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DE9C2187-B0CD-460D-B058-081A093FC844}" xr6:coauthVersionLast="47" xr6:coauthVersionMax="47" xr10:uidLastSave="{00000000-0000-0000-0000-000000000000}"/>
  <bookViews>
    <workbookView xWindow="-120" yWindow="-120" windowWidth="20730" windowHeight="11160" firstSheet="2" activeTab="3" xr2:uid="{00000000-000D-0000-FFFF-FFFF00000000}"/>
  </bookViews>
  <sheets>
    <sheet name="Row Data" sheetId="2" r:id="rId1"/>
    <sheet name="Q" sheetId="4" r:id="rId2"/>
    <sheet name="Data Cleaning" sheetId="3" r:id="rId3"/>
    <sheet name="Data Analysis" sheetId="5" r:id="rId4"/>
    <sheet name="Data Viz" sheetId="6" r:id="rId5"/>
    <sheet name="Dashboard" sheetId="10" r:id="rId6"/>
  </sheets>
  <definedNames>
    <definedName name="_xlnm._FilterDatabase" localSheetId="2" hidden="1">'Data Cleaning'!$B$2:$P$1202</definedName>
    <definedName name="Slicer_City">#N/A</definedName>
  </definedNames>
  <calcPr calcId="191029"/>
  <pivotCaches>
    <pivotCache cacheId="7"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3" l="1"/>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3" i="3"/>
  <c r="C7" i="5"/>
  <c r="B7" i="5"/>
  <c r="D7" i="5"/>
</calcChain>
</file>

<file path=xl/sharedStrings.xml><?xml version="1.0" encoding="utf-8"?>
<sst xmlns="http://schemas.openxmlformats.org/spreadsheetml/2006/main" count="21687" uniqueCount="2994">
  <si>
    <t>Order ID</t>
  </si>
  <si>
    <t>Customer ID</t>
  </si>
  <si>
    <t>Restaurant</t>
  </si>
  <si>
    <t>City</t>
  </si>
  <si>
    <t>Order Date</t>
  </si>
  <si>
    <t>Order Time</t>
  </si>
  <si>
    <t>Food Category</t>
  </si>
  <si>
    <t>Amount (EGP)</t>
  </si>
  <si>
    <t>Payment Method</t>
  </si>
  <si>
    <t>Status</t>
  </si>
  <si>
    <t>Delivery Time (min)</t>
  </si>
  <si>
    <t>Rating</t>
  </si>
  <si>
    <t>ORD10000</t>
  </si>
  <si>
    <t>CUST2743</t>
  </si>
  <si>
    <t>Shawarma Express</t>
  </si>
  <si>
    <t>Luxor</t>
  </si>
  <si>
    <t>2024-01-09</t>
  </si>
  <si>
    <t>10:38</t>
  </si>
  <si>
    <t>Fast Food</t>
  </si>
  <si>
    <t>Wallet</t>
  </si>
  <si>
    <t>Delivered</t>
  </si>
  <si>
    <t>ORD10001</t>
  </si>
  <si>
    <t>CUST2169</t>
  </si>
  <si>
    <t>Subway</t>
  </si>
  <si>
    <t>2024-01-21</t>
  </si>
  <si>
    <t>23:22</t>
  </si>
  <si>
    <t>Failed</t>
  </si>
  <si>
    <t>ORD10002</t>
  </si>
  <si>
    <t>CUST3568</t>
  </si>
  <si>
    <t>Pizza Hut</t>
  </si>
  <si>
    <t xml:space="preserve">  tanta</t>
  </si>
  <si>
    <t>2024-01-14</t>
  </si>
  <si>
    <t>21:50</t>
  </si>
  <si>
    <t>Sushi</t>
  </si>
  <si>
    <t xml:space="preserve">  payPal</t>
  </si>
  <si>
    <t>ORD10003</t>
  </si>
  <si>
    <t>CUST9967</t>
  </si>
  <si>
    <t>Sharm El Sheikh</t>
  </si>
  <si>
    <t>2024-01-11</t>
  </si>
  <si>
    <t>16:56</t>
  </si>
  <si>
    <t>Healthy</t>
  </si>
  <si>
    <t>Cancelled</t>
  </si>
  <si>
    <t>ORD10004</t>
  </si>
  <si>
    <t>CUST1747</t>
  </si>
  <si>
    <t>Domino's</t>
  </si>
  <si>
    <t>Mansoura</t>
  </si>
  <si>
    <t>2024-01-17</t>
  </si>
  <si>
    <t>13:53</t>
  </si>
  <si>
    <t>BBQ</t>
  </si>
  <si>
    <t>PayPal</t>
  </si>
  <si>
    <t>Pending</t>
  </si>
  <si>
    <t>ORD10005</t>
  </si>
  <si>
    <t>CUST6470</t>
  </si>
  <si>
    <t>KFC</t>
  </si>
  <si>
    <t>Tanta</t>
  </si>
  <si>
    <t>2024-01-08</t>
  </si>
  <si>
    <t>16:38</t>
  </si>
  <si>
    <t>Seafood</t>
  </si>
  <si>
    <t>ORD10006</t>
  </si>
  <si>
    <t>CUST2345</t>
  </si>
  <si>
    <t>Popeyes</t>
  </si>
  <si>
    <t>Hurghada</t>
  </si>
  <si>
    <t>2024-01-31</t>
  </si>
  <si>
    <t>15:50</t>
  </si>
  <si>
    <t>Beverages</t>
  </si>
  <si>
    <t>Cash</t>
  </si>
  <si>
    <t>ORD10007</t>
  </si>
  <si>
    <t>CUST3729</t>
  </si>
  <si>
    <t>Sushi World</t>
  </si>
  <si>
    <t>2024-01-27</t>
  </si>
  <si>
    <t>14:31</t>
  </si>
  <si>
    <t>ORD10008</t>
  </si>
  <si>
    <t>CUST5206</t>
  </si>
  <si>
    <t>McDonald's</t>
  </si>
  <si>
    <t>Aswan</t>
  </si>
  <si>
    <t>2024-01-25</t>
  </si>
  <si>
    <t>14:39</t>
  </si>
  <si>
    <t>Pizza</t>
  </si>
  <si>
    <t>ORD10009</t>
  </si>
  <si>
    <t>CUST5482</t>
  </si>
  <si>
    <t>Alexandria</t>
  </si>
  <si>
    <t>2024-01-18</t>
  </si>
  <si>
    <t>18:52</t>
  </si>
  <si>
    <t>ORD10010</t>
  </si>
  <si>
    <t>CUST8261</t>
  </si>
  <si>
    <t>2024-01-16</t>
  </si>
  <si>
    <t>11:47</t>
  </si>
  <si>
    <t>ORD10011</t>
  </si>
  <si>
    <t>CUST1792</t>
  </si>
  <si>
    <t>Zagazig</t>
  </si>
  <si>
    <t>14:52</t>
  </si>
  <si>
    <t>Desserts</t>
  </si>
  <si>
    <t>ORD10012</t>
  </si>
  <si>
    <t>CUST8892</t>
  </si>
  <si>
    <t>22:57</t>
  </si>
  <si>
    <t>ORD10013</t>
  </si>
  <si>
    <t>CUST1831</t>
  </si>
  <si>
    <t>2024-01-23</t>
  </si>
  <si>
    <t>14:35</t>
  </si>
  <si>
    <t xml:space="preserve">  credit Card</t>
  </si>
  <si>
    <t>ORD10014</t>
  </si>
  <si>
    <t>CUST7182</t>
  </si>
  <si>
    <t>2024-01-26</t>
  </si>
  <si>
    <t>11:17</t>
  </si>
  <si>
    <t>ORD10015</t>
  </si>
  <si>
    <t>CUST8043</t>
  </si>
  <si>
    <t>Hardee's</t>
  </si>
  <si>
    <t>17:44</t>
  </si>
  <si>
    <t>ORD10016</t>
  </si>
  <si>
    <t>CUST9917</t>
  </si>
  <si>
    <t>11:59</t>
  </si>
  <si>
    <t>ORD10017</t>
  </si>
  <si>
    <t>CUST1805</t>
  </si>
  <si>
    <t>2024-01-15</t>
  </si>
  <si>
    <t>12:52</t>
  </si>
  <si>
    <t>ORD10018</t>
  </si>
  <si>
    <t>CUST5245</t>
  </si>
  <si>
    <t>Burger King</t>
  </si>
  <si>
    <t>2024-01-24</t>
  </si>
  <si>
    <t>18:14</t>
  </si>
  <si>
    <t>ORD10019</t>
  </si>
  <si>
    <t>CUST8851</t>
  </si>
  <si>
    <t>Credit Card</t>
  </si>
  <si>
    <t>ORD10020</t>
  </si>
  <si>
    <t>CUST6257</t>
  </si>
  <si>
    <t>Giza</t>
  </si>
  <si>
    <t>13:41</t>
  </si>
  <si>
    <t>ORD10021</t>
  </si>
  <si>
    <t>CUST9035</t>
  </si>
  <si>
    <t>2024-01-19</t>
  </si>
  <si>
    <t>ORD10022</t>
  </si>
  <si>
    <t>CUST2543</t>
  </si>
  <si>
    <t>2024-01-06</t>
  </si>
  <si>
    <t>14:54</t>
  </si>
  <si>
    <t>ORD10023</t>
  </si>
  <si>
    <t>CUST5734</t>
  </si>
  <si>
    <t>12:19</t>
  </si>
  <si>
    <t>ORD10024</t>
  </si>
  <si>
    <t>CUST1477</t>
  </si>
  <si>
    <t>Cairo</t>
  </si>
  <si>
    <t>2024-01-29</t>
  </si>
  <si>
    <t>15:47</t>
  </si>
  <si>
    <t>ORD10025</t>
  </si>
  <si>
    <t>CUST4475</t>
  </si>
  <si>
    <t>2024-01-07</t>
  </si>
  <si>
    <t>16:52</t>
  </si>
  <si>
    <t>ORD10026</t>
  </si>
  <si>
    <t>CUST5175</t>
  </si>
  <si>
    <t>22:32</t>
  </si>
  <si>
    <t>ORD10027</t>
  </si>
  <si>
    <t>CUST8076</t>
  </si>
  <si>
    <t>17:53</t>
  </si>
  <si>
    <t>ORD10028</t>
  </si>
  <si>
    <t>CUST5376</t>
  </si>
  <si>
    <t>2024-01-22</t>
  </si>
  <si>
    <t>13:51</t>
  </si>
  <si>
    <t>ORD10029</t>
  </si>
  <si>
    <t>CUST7876</t>
  </si>
  <si>
    <t>20:29</t>
  </si>
  <si>
    <t>ORD10030</t>
  </si>
  <si>
    <t>CUST9075</t>
  </si>
  <si>
    <t>2024-01-05</t>
  </si>
  <si>
    <t>22:53</t>
  </si>
  <si>
    <t>ORD10031</t>
  </si>
  <si>
    <t>CUST2351</t>
  </si>
  <si>
    <t>14:53</t>
  </si>
  <si>
    <t>ORD10032</t>
  </si>
  <si>
    <t>CUST7173</t>
  </si>
  <si>
    <t>20:12</t>
  </si>
  <si>
    <t>ORD10033</t>
  </si>
  <si>
    <t>CUST1402</t>
  </si>
  <si>
    <t>23:32</t>
  </si>
  <si>
    <t>ORD10034</t>
  </si>
  <si>
    <t>CUST3408</t>
  </si>
  <si>
    <t>20:54</t>
  </si>
  <si>
    <t>ORD10035</t>
  </si>
  <si>
    <t>CUST9188</t>
  </si>
  <si>
    <t>11:34</t>
  </si>
  <si>
    <t>ORD10036</t>
  </si>
  <si>
    <t>CUST4239</t>
  </si>
  <si>
    <t>2024-01-28</t>
  </si>
  <si>
    <t>20:25</t>
  </si>
  <si>
    <t>ORD10037</t>
  </si>
  <si>
    <t>CUST1839</t>
  </si>
  <si>
    <t>19:58</t>
  </si>
  <si>
    <t>ORD10038</t>
  </si>
  <si>
    <t>CUST5751</t>
  </si>
  <si>
    <t>16:48</t>
  </si>
  <si>
    <t>ORD10039</t>
  </si>
  <si>
    <t>CUST9400</t>
  </si>
  <si>
    <t>14:47</t>
  </si>
  <si>
    <t>ORD10040</t>
  </si>
  <si>
    <t>CUST6794</t>
  </si>
  <si>
    <t>ORD10041</t>
  </si>
  <si>
    <t>CUST7505</t>
  </si>
  <si>
    <t>16:35</t>
  </si>
  <si>
    <t>ORD10042</t>
  </si>
  <si>
    <t>CUST4529</t>
  </si>
  <si>
    <t>2024-01-04</t>
  </si>
  <si>
    <t>11:10</t>
  </si>
  <si>
    <t>ORD10043</t>
  </si>
  <si>
    <t>CUST8564</t>
  </si>
  <si>
    <t>19:17</t>
  </si>
  <si>
    <t>ORD10044</t>
  </si>
  <si>
    <t>CUST1087</t>
  </si>
  <si>
    <t>20:24</t>
  </si>
  <si>
    <t>ORD10045</t>
  </si>
  <si>
    <t>CUST4222</t>
  </si>
  <si>
    <t>15:22</t>
  </si>
  <si>
    <t>ORD10046</t>
  </si>
  <si>
    <t>CUST1441</t>
  </si>
  <si>
    <t>23:16</t>
  </si>
  <si>
    <t>ORD10047</t>
  </si>
  <si>
    <t>CUST6313</t>
  </si>
  <si>
    <t>16:49</t>
  </si>
  <si>
    <t>ORD10048</t>
  </si>
  <si>
    <t>CUST1604</t>
  </si>
  <si>
    <t>15:10</t>
  </si>
  <si>
    <t>ORD10049</t>
  </si>
  <si>
    <t>CUST1329</t>
  </si>
  <si>
    <t>11:23</t>
  </si>
  <si>
    <t>ORD10050</t>
  </si>
  <si>
    <t>CUST2068</t>
  </si>
  <si>
    <t>23:54</t>
  </si>
  <si>
    <t>ORD10051</t>
  </si>
  <si>
    <t>CUST8160</t>
  </si>
  <si>
    <t>15:14</t>
  </si>
  <si>
    <t>ORD10052</t>
  </si>
  <si>
    <t>CUST9202</t>
  </si>
  <si>
    <t>13:22</t>
  </si>
  <si>
    <t>ORD10053</t>
  </si>
  <si>
    <t>CUST6984</t>
  </si>
  <si>
    <t>12:34</t>
  </si>
  <si>
    <t>ORD10054</t>
  </si>
  <si>
    <t>CUST8562</t>
  </si>
  <si>
    <t>18:59</t>
  </si>
  <si>
    <t>ORD10055</t>
  </si>
  <si>
    <t>CUST1123</t>
  </si>
  <si>
    <t>2024-01-20</t>
  </si>
  <si>
    <t>18:18</t>
  </si>
  <si>
    <t>ORD10056</t>
  </si>
  <si>
    <t>CUST8783</t>
  </si>
  <si>
    <t>13:10</t>
  </si>
  <si>
    <t>ORD10057</t>
  </si>
  <si>
    <t>CUST1822</t>
  </si>
  <si>
    <t>21:10</t>
  </si>
  <si>
    <t>ORD10058</t>
  </si>
  <si>
    <t>CUST8873</t>
  </si>
  <si>
    <t>13:39</t>
  </si>
  <si>
    <t>ORD10059</t>
  </si>
  <si>
    <t>CUST8384</t>
  </si>
  <si>
    <t>18:53</t>
  </si>
  <si>
    <t>ORD10060</t>
  </si>
  <si>
    <t>CUST3712</t>
  </si>
  <si>
    <t>15:24</t>
  </si>
  <si>
    <t>ORD10061</t>
  </si>
  <si>
    <t>CUST8286</t>
  </si>
  <si>
    <t>2024-01-10</t>
  </si>
  <si>
    <t>11:11</t>
  </si>
  <si>
    <t>ORD10062</t>
  </si>
  <si>
    <t>CUST6310</t>
  </si>
  <si>
    <t>16:53</t>
  </si>
  <si>
    <t>ORD10063</t>
  </si>
  <si>
    <t>CUST4039</t>
  </si>
  <si>
    <t>12:13</t>
  </si>
  <si>
    <t>ORD10064</t>
  </si>
  <si>
    <t>CUST2692</t>
  </si>
  <si>
    <t>ORD10065</t>
  </si>
  <si>
    <t>CUST2392</t>
  </si>
  <si>
    <t>10:58</t>
  </si>
  <si>
    <t>ORD10066</t>
  </si>
  <si>
    <t>CUST4811</t>
  </si>
  <si>
    <t>2024-01-01</t>
  </si>
  <si>
    <t>18:45</t>
  </si>
  <si>
    <t>ORD10067</t>
  </si>
  <si>
    <t>CUST2022</t>
  </si>
  <si>
    <t>22:31</t>
  </si>
  <si>
    <t>ORD10068</t>
  </si>
  <si>
    <t>CUST8989</t>
  </si>
  <si>
    <t>22:20</t>
  </si>
  <si>
    <t>ORD10069</t>
  </si>
  <si>
    <t>CUST1325</t>
  </si>
  <si>
    <t>20:36</t>
  </si>
  <si>
    <t>ORD10070</t>
  </si>
  <si>
    <t>CUST2280</t>
  </si>
  <si>
    <t>12:11</t>
  </si>
  <si>
    <t>ORD10071</t>
  </si>
  <si>
    <t>CUST7944</t>
  </si>
  <si>
    <t>16:26</t>
  </si>
  <si>
    <t>ORD10072</t>
  </si>
  <si>
    <t>CUST4472</t>
  </si>
  <si>
    <t>10:31</t>
  </si>
  <si>
    <t>ORD10073</t>
  </si>
  <si>
    <t>CUST7716</t>
  </si>
  <si>
    <t>ORD10074</t>
  </si>
  <si>
    <t>CUST8801</t>
  </si>
  <si>
    <t>12:38</t>
  </si>
  <si>
    <t>ORD10075</t>
  </si>
  <si>
    <t>CUST9782</t>
  </si>
  <si>
    <t>12:27</t>
  </si>
  <si>
    <t>ORD10076</t>
  </si>
  <si>
    <t>CUST8648</t>
  </si>
  <si>
    <t>2024-01-02</t>
  </si>
  <si>
    <t>20:34</t>
  </si>
  <si>
    <t>ORD10077</t>
  </si>
  <si>
    <t>CUST8963</t>
  </si>
  <si>
    <t>13:15</t>
  </si>
  <si>
    <t>ORD10078</t>
  </si>
  <si>
    <t>CUST4762</t>
  </si>
  <si>
    <t>15:56</t>
  </si>
  <si>
    <t>ORD10079</t>
  </si>
  <si>
    <t>CUST5863</t>
  </si>
  <si>
    <t>23:38</t>
  </si>
  <si>
    <t>ORD10080</t>
  </si>
  <si>
    <t>CUST4661</t>
  </si>
  <si>
    <t>23:12</t>
  </si>
  <si>
    <t>ORD10081</t>
  </si>
  <si>
    <t>2024-01-03</t>
  </si>
  <si>
    <t>16:13</t>
  </si>
  <si>
    <t>ORD10082</t>
  </si>
  <si>
    <t>CUST5337</t>
  </si>
  <si>
    <t>ORD10083</t>
  </si>
  <si>
    <t>CUST9601</t>
  </si>
  <si>
    <t>23:14</t>
  </si>
  <si>
    <t>ORD10084</t>
  </si>
  <si>
    <t>CUST9356</t>
  </si>
  <si>
    <t>14:51</t>
  </si>
  <si>
    <t>ORD10085</t>
  </si>
  <si>
    <t>CUST2381</t>
  </si>
  <si>
    <t>12:23</t>
  </si>
  <si>
    <t>ORD10086</t>
  </si>
  <si>
    <t>CUST7494</t>
  </si>
  <si>
    <t>ORD10087</t>
  </si>
  <si>
    <t>CUST4329</t>
  </si>
  <si>
    <t>20:11</t>
  </si>
  <si>
    <t>ORD10088</t>
  </si>
  <si>
    <t>CUST6850</t>
  </si>
  <si>
    <t>14:15</t>
  </si>
  <si>
    <t>ORD10089</t>
  </si>
  <si>
    <t>CUST5415</t>
  </si>
  <si>
    <t>15:20</t>
  </si>
  <si>
    <t>ORD10090</t>
  </si>
  <si>
    <t>CUST9238</t>
  </si>
  <si>
    <t>2024-01-13</t>
  </si>
  <si>
    <t>19:38</t>
  </si>
  <si>
    <t>ORD10091</t>
  </si>
  <si>
    <t>CUST4307</t>
  </si>
  <si>
    <t>ORD10092</t>
  </si>
  <si>
    <t>CUST1126</t>
  </si>
  <si>
    <t>2024-01-12</t>
  </si>
  <si>
    <t>17:11</t>
  </si>
  <si>
    <t>ORD10093</t>
  </si>
  <si>
    <t>CUST9461</t>
  </si>
  <si>
    <t>21:51</t>
  </si>
  <si>
    <t>ORD10094</t>
  </si>
  <si>
    <t>CUST7280</t>
  </si>
  <si>
    <t>10:39</t>
  </si>
  <si>
    <t>ORD10095</t>
  </si>
  <si>
    <t>CUST2113</t>
  </si>
  <si>
    <t>20:28</t>
  </si>
  <si>
    <t>ORD10096</t>
  </si>
  <si>
    <t>CUST9381</t>
  </si>
  <si>
    <t>19:48</t>
  </si>
  <si>
    <t>ORD10097</t>
  </si>
  <si>
    <t>CUST3301</t>
  </si>
  <si>
    <t>10:15</t>
  </si>
  <si>
    <t>ORD10098</t>
  </si>
  <si>
    <t>CUST8295</t>
  </si>
  <si>
    <t>ORD10099</t>
  </si>
  <si>
    <t>CUST4153</t>
  </si>
  <si>
    <t>10:50</t>
  </si>
  <si>
    <t>ORD10100</t>
  </si>
  <si>
    <t>CUST4138</t>
  </si>
  <si>
    <t>ORD10101</t>
  </si>
  <si>
    <t>CUST2249</t>
  </si>
  <si>
    <t>ORD10102</t>
  </si>
  <si>
    <t>ORD10103</t>
  </si>
  <si>
    <t>CUST6808</t>
  </si>
  <si>
    <t>17:21</t>
  </si>
  <si>
    <t>ORD10104</t>
  </si>
  <si>
    <t>CUST6259</t>
  </si>
  <si>
    <t>22:34</t>
  </si>
  <si>
    <t>ORD10105</t>
  </si>
  <si>
    <t>CUST1009</t>
  </si>
  <si>
    <t>13:47</t>
  </si>
  <si>
    <t>ORD10106</t>
  </si>
  <si>
    <t>CUST3787</t>
  </si>
  <si>
    <t>20:56</t>
  </si>
  <si>
    <t>ORD10107</t>
  </si>
  <si>
    <t>CUST8947</t>
  </si>
  <si>
    <t>19:44</t>
  </si>
  <si>
    <t>ORD10108</t>
  </si>
  <si>
    <t>CUST7115</t>
  </si>
  <si>
    <t>23:25</t>
  </si>
  <si>
    <t>ORD10109</t>
  </si>
  <si>
    <t>CUST2757</t>
  </si>
  <si>
    <t>12:53</t>
  </si>
  <si>
    <t>ORD10110</t>
  </si>
  <si>
    <t>CUST3381</t>
  </si>
  <si>
    <t>11:24</t>
  </si>
  <si>
    <t>ORD10111</t>
  </si>
  <si>
    <t>CUST3071</t>
  </si>
  <si>
    <t>ORD10112</t>
  </si>
  <si>
    <t>18:20</t>
  </si>
  <si>
    <t>ORD10113</t>
  </si>
  <si>
    <t>CUST8610</t>
  </si>
  <si>
    <t>11:31</t>
  </si>
  <si>
    <t>ORD10114</t>
  </si>
  <si>
    <t>CUST3965</t>
  </si>
  <si>
    <t>19:42</t>
  </si>
  <si>
    <t>ORD10115</t>
  </si>
  <si>
    <t>CUST1303</t>
  </si>
  <si>
    <t>10:41</t>
  </si>
  <si>
    <t>ORD10116</t>
  </si>
  <si>
    <t>CUST7275</t>
  </si>
  <si>
    <t>14:29</t>
  </si>
  <si>
    <t>ORD10117</t>
  </si>
  <si>
    <t>CUST6969</t>
  </si>
  <si>
    <t>12:10</t>
  </si>
  <si>
    <t>ORD10118</t>
  </si>
  <si>
    <t>CUST8217</t>
  </si>
  <si>
    <t>11:46</t>
  </si>
  <si>
    <t>ORD10119</t>
  </si>
  <si>
    <t>CUST2427</t>
  </si>
  <si>
    <t>14:20</t>
  </si>
  <si>
    <t>ORD10120</t>
  </si>
  <si>
    <t>CUST6449</t>
  </si>
  <si>
    <t>ORD10121</t>
  </si>
  <si>
    <t>CUST3987</t>
  </si>
  <si>
    <t>ORD10122</t>
  </si>
  <si>
    <t>CUST6718</t>
  </si>
  <si>
    <t>14:24</t>
  </si>
  <si>
    <t>ORD10123</t>
  </si>
  <si>
    <t>CUST9295</t>
  </si>
  <si>
    <t>21:38</t>
  </si>
  <si>
    <t>ORD10124</t>
  </si>
  <si>
    <t>CUST4421</t>
  </si>
  <si>
    <t>19:28</t>
  </si>
  <si>
    <t>ORD10125</t>
  </si>
  <si>
    <t>CUST3547</t>
  </si>
  <si>
    <t>12:20</t>
  </si>
  <si>
    <t>ORD10126</t>
  </si>
  <si>
    <t>CUST3620</t>
  </si>
  <si>
    <t>15:26</t>
  </si>
  <si>
    <t>ORD10127</t>
  </si>
  <si>
    <t>CUST4094</t>
  </si>
  <si>
    <t>23:45</t>
  </si>
  <si>
    <t>ORD10128</t>
  </si>
  <si>
    <t>CUST2270</t>
  </si>
  <si>
    <t>16:47</t>
  </si>
  <si>
    <t>ORD10129</t>
  </si>
  <si>
    <t>CUST7322</t>
  </si>
  <si>
    <t>20:46</t>
  </si>
  <si>
    <t>ORD10130</t>
  </si>
  <si>
    <t>CUST5402</t>
  </si>
  <si>
    <t>ORD10131</t>
  </si>
  <si>
    <t>CUST7405</t>
  </si>
  <si>
    <t>23:57</t>
  </si>
  <si>
    <t>ORD10132</t>
  </si>
  <si>
    <t>CUST6927</t>
  </si>
  <si>
    <t>ORD10133</t>
  </si>
  <si>
    <t>CUST9666</t>
  </si>
  <si>
    <t>11:14</t>
  </si>
  <si>
    <t>ORD10134</t>
  </si>
  <si>
    <t>CUST2714</t>
  </si>
  <si>
    <t>16:15</t>
  </si>
  <si>
    <t>ORD10135</t>
  </si>
  <si>
    <t>CUST8229</t>
  </si>
  <si>
    <t>ORD10136</t>
  </si>
  <si>
    <t>CUST5671</t>
  </si>
  <si>
    <t>12:35</t>
  </si>
  <si>
    <t>ORD10137</t>
  </si>
  <si>
    <t>CUST6348</t>
  </si>
  <si>
    <t>2024-01-30</t>
  </si>
  <si>
    <t>ORD10138</t>
  </si>
  <si>
    <t>CUST5683</t>
  </si>
  <si>
    <t>19:49</t>
  </si>
  <si>
    <t>ORD10139</t>
  </si>
  <si>
    <t>CUST7642</t>
  </si>
  <si>
    <t>19:16</t>
  </si>
  <si>
    <t>ORD10140</t>
  </si>
  <si>
    <t>CUST6486</t>
  </si>
  <si>
    <t>16:20</t>
  </si>
  <si>
    <t>ORD10141</t>
  </si>
  <si>
    <t>CUST6580</t>
  </si>
  <si>
    <t>ORD10142</t>
  </si>
  <si>
    <t>CUST8849</t>
  </si>
  <si>
    <t>ORD10143</t>
  </si>
  <si>
    <t>CUST3563</t>
  </si>
  <si>
    <t>14:18</t>
  </si>
  <si>
    <t>ORD10144</t>
  </si>
  <si>
    <t>CUST3281</t>
  </si>
  <si>
    <t>ORD10145</t>
  </si>
  <si>
    <t>CUST1403</t>
  </si>
  <si>
    <t>21:30</t>
  </si>
  <si>
    <t>ORD10146</t>
  </si>
  <si>
    <t>CUST4583</t>
  </si>
  <si>
    <t>18:11</t>
  </si>
  <si>
    <t>ORD10147</t>
  </si>
  <si>
    <t>CUST8612</t>
  </si>
  <si>
    <t>ORD10148</t>
  </si>
  <si>
    <t>CUST3582</t>
  </si>
  <si>
    <t>12:12</t>
  </si>
  <si>
    <t>ORD10149</t>
  </si>
  <si>
    <t>CUST8017</t>
  </si>
  <si>
    <t>ORD10150</t>
  </si>
  <si>
    <t>CUST4345</t>
  </si>
  <si>
    <t>19:35</t>
  </si>
  <si>
    <t>ORD10151</t>
  </si>
  <si>
    <t>CUST2945</t>
  </si>
  <si>
    <t>22:26</t>
  </si>
  <si>
    <t>ORD10152</t>
  </si>
  <si>
    <t>CUST9137</t>
  </si>
  <si>
    <t>17:54</t>
  </si>
  <si>
    <t>ORD10153</t>
  </si>
  <si>
    <t>CUST3200</t>
  </si>
  <si>
    <t>10:40</t>
  </si>
  <si>
    <t>ORD10154</t>
  </si>
  <si>
    <t>CUST6790</t>
  </si>
  <si>
    <t>20:22</t>
  </si>
  <si>
    <t>ORD10155</t>
  </si>
  <si>
    <t>CUST9319</t>
  </si>
  <si>
    <t>15:27</t>
  </si>
  <si>
    <t>ORD10156</t>
  </si>
  <si>
    <t>CUST4819</t>
  </si>
  <si>
    <t>23:55</t>
  </si>
  <si>
    <t>ORD10157</t>
  </si>
  <si>
    <t>CUST1878</t>
  </si>
  <si>
    <t>11:38</t>
  </si>
  <si>
    <t>ORD10158</t>
  </si>
  <si>
    <t>CUST6485</t>
  </si>
  <si>
    <t>18:31</t>
  </si>
  <si>
    <t>ORD10159</t>
  </si>
  <si>
    <t>CUST2877</t>
  </si>
  <si>
    <t>19:20</t>
  </si>
  <si>
    <t>ORD10160</t>
  </si>
  <si>
    <t>CUST2358</t>
  </si>
  <si>
    <t>21:43</t>
  </si>
  <si>
    <t>ORD10161</t>
  </si>
  <si>
    <t>CUST5663</t>
  </si>
  <si>
    <t>10:43</t>
  </si>
  <si>
    <t>ORD10162</t>
  </si>
  <si>
    <t>CUST1077</t>
  </si>
  <si>
    <t>ORD10163</t>
  </si>
  <si>
    <t>CUST9488</t>
  </si>
  <si>
    <t>11:44</t>
  </si>
  <si>
    <t>ORD10164</t>
  </si>
  <si>
    <t>CUST2255</t>
  </si>
  <si>
    <t>ORD10165</t>
  </si>
  <si>
    <t>CUST6227</t>
  </si>
  <si>
    <t>13:28</t>
  </si>
  <si>
    <t>ORD10166</t>
  </si>
  <si>
    <t>CUST2089</t>
  </si>
  <si>
    <t>13:27</t>
  </si>
  <si>
    <t>ORD10167</t>
  </si>
  <si>
    <t>CUST2625</t>
  </si>
  <si>
    <t>ORD10168</t>
  </si>
  <si>
    <t>CUST5916</t>
  </si>
  <si>
    <t>21:11</t>
  </si>
  <si>
    <t>ORD10169</t>
  </si>
  <si>
    <t>CUST5096</t>
  </si>
  <si>
    <t>13:13</t>
  </si>
  <si>
    <t>ORD10170</t>
  </si>
  <si>
    <t>CUST8901</t>
  </si>
  <si>
    <t>ORD10171</t>
  </si>
  <si>
    <t>CUST8134</t>
  </si>
  <si>
    <t>ORD10172</t>
  </si>
  <si>
    <t>CUST1655</t>
  </si>
  <si>
    <t>21:54</t>
  </si>
  <si>
    <t>ORD10173</t>
  </si>
  <si>
    <t>CUST8105</t>
  </si>
  <si>
    <t>11:30</t>
  </si>
  <si>
    <t>ORD10174</t>
  </si>
  <si>
    <t>CUST9935</t>
  </si>
  <si>
    <t>19:43</t>
  </si>
  <si>
    <t>ORD10175</t>
  </si>
  <si>
    <t>CUST5658</t>
  </si>
  <si>
    <t>15:30</t>
  </si>
  <si>
    <t>ORD10176</t>
  </si>
  <si>
    <t>CUST6458</t>
  </si>
  <si>
    <t>17:36</t>
  </si>
  <si>
    <t>ORD10177</t>
  </si>
  <si>
    <t>CUST3042</t>
  </si>
  <si>
    <t>11:48</t>
  </si>
  <si>
    <t>ORD10178</t>
  </si>
  <si>
    <t>CUST6840</t>
  </si>
  <si>
    <t>18:37</t>
  </si>
  <si>
    <t>ORD10179</t>
  </si>
  <si>
    <t>CUST9825</t>
  </si>
  <si>
    <t>ORD10180</t>
  </si>
  <si>
    <t>CUST1833</t>
  </si>
  <si>
    <t>20:37</t>
  </si>
  <si>
    <t>ORD10181</t>
  </si>
  <si>
    <t>CUST5073</t>
  </si>
  <si>
    <t>14:59</t>
  </si>
  <si>
    <t>ORD10182</t>
  </si>
  <si>
    <t>CUST5196</t>
  </si>
  <si>
    <t>10:29</t>
  </si>
  <si>
    <t>ORD10183</t>
  </si>
  <si>
    <t>CUST9023</t>
  </si>
  <si>
    <t>15:43</t>
  </si>
  <si>
    <t>ORD10184</t>
  </si>
  <si>
    <t>CUST1775</t>
  </si>
  <si>
    <t>ORD10185</t>
  </si>
  <si>
    <t>CUST3779</t>
  </si>
  <si>
    <t>13:19</t>
  </si>
  <si>
    <t>ORD10186</t>
  </si>
  <si>
    <t>CUST2891</t>
  </si>
  <si>
    <t>20:20</t>
  </si>
  <si>
    <t>ORD10187</t>
  </si>
  <si>
    <t>CUST8988</t>
  </si>
  <si>
    <t>ORD10188</t>
  </si>
  <si>
    <t>CUST4394</t>
  </si>
  <si>
    <t>22:48</t>
  </si>
  <si>
    <t>ORD10189</t>
  </si>
  <si>
    <t>CUST7157</t>
  </si>
  <si>
    <t>20:41</t>
  </si>
  <si>
    <t>ORD10190</t>
  </si>
  <si>
    <t>17:27</t>
  </si>
  <si>
    <t>ORD10191</t>
  </si>
  <si>
    <t>CUST3370</t>
  </si>
  <si>
    <t>12:43</t>
  </si>
  <si>
    <t>ORD10192</t>
  </si>
  <si>
    <t>CUST9006</t>
  </si>
  <si>
    <t>13:21</t>
  </si>
  <si>
    <t>ORD10193</t>
  </si>
  <si>
    <t>CUST8495</t>
  </si>
  <si>
    <t>17:12</t>
  </si>
  <si>
    <t>ORD10194</t>
  </si>
  <si>
    <t>CUST5888</t>
  </si>
  <si>
    <t>13:59</t>
  </si>
  <si>
    <t>ORD10195</t>
  </si>
  <si>
    <t>11:20</t>
  </si>
  <si>
    <t>ORD10196</t>
  </si>
  <si>
    <t>CUST9910</t>
  </si>
  <si>
    <t>ORD10197</t>
  </si>
  <si>
    <t>CUST7004</t>
  </si>
  <si>
    <t>11:37</t>
  </si>
  <si>
    <t>ORD10198</t>
  </si>
  <si>
    <t>CUST2050</t>
  </si>
  <si>
    <t>ORD10199</t>
  </si>
  <si>
    <t>CUST5938</t>
  </si>
  <si>
    <t>23:19</t>
  </si>
  <si>
    <t>ORD10200</t>
  </si>
  <si>
    <t>CUST3141</t>
  </si>
  <si>
    <t>ORD10201</t>
  </si>
  <si>
    <t>CUST7856</t>
  </si>
  <si>
    <t>18:33</t>
  </si>
  <si>
    <t>ORD10202</t>
  </si>
  <si>
    <t>CUST5852</t>
  </si>
  <si>
    <t>ORD10203</t>
  </si>
  <si>
    <t>CUST4960</t>
  </si>
  <si>
    <t>ORD10204</t>
  </si>
  <si>
    <t>CUST9290</t>
  </si>
  <si>
    <t>22:15</t>
  </si>
  <si>
    <t>ORD10205</t>
  </si>
  <si>
    <t>CUST1930</t>
  </si>
  <si>
    <t>ORD10206</t>
  </si>
  <si>
    <t>CUST8083</t>
  </si>
  <si>
    <t>20:57</t>
  </si>
  <si>
    <t>ORD10207</t>
  </si>
  <si>
    <t>CUST5711</t>
  </si>
  <si>
    <t>23:21</t>
  </si>
  <si>
    <t>ORD10208</t>
  </si>
  <si>
    <t>CUST9830</t>
  </si>
  <si>
    <t>17:48</t>
  </si>
  <si>
    <t>ORD10209</t>
  </si>
  <si>
    <t>CUST2541</t>
  </si>
  <si>
    <t>23:41</t>
  </si>
  <si>
    <t>ORD10210</t>
  </si>
  <si>
    <t>CUST4387</t>
  </si>
  <si>
    <t>11:51</t>
  </si>
  <si>
    <t>ORD10211</t>
  </si>
  <si>
    <t>CUST8905</t>
  </si>
  <si>
    <t>22:41</t>
  </si>
  <si>
    <t>ORD10212</t>
  </si>
  <si>
    <t>CUST8837</t>
  </si>
  <si>
    <t>ORD10213</t>
  </si>
  <si>
    <t>CUST2986</t>
  </si>
  <si>
    <t>ORD10214</t>
  </si>
  <si>
    <t>CUST3451</t>
  </si>
  <si>
    <t>22:16</t>
  </si>
  <si>
    <t>ORD10215</t>
  </si>
  <si>
    <t>CUST9948</t>
  </si>
  <si>
    <t>ORD10216</t>
  </si>
  <si>
    <t>CUST1316</t>
  </si>
  <si>
    <t>17:34</t>
  </si>
  <si>
    <t>ORD10217</t>
  </si>
  <si>
    <t>CUST9042</t>
  </si>
  <si>
    <t>12:17</t>
  </si>
  <si>
    <t>ORD10218</t>
  </si>
  <si>
    <t>CUST4837</t>
  </si>
  <si>
    <t>17:20</t>
  </si>
  <si>
    <t>ORD10219</t>
  </si>
  <si>
    <t>CUST5090</t>
  </si>
  <si>
    <t>19:39</t>
  </si>
  <si>
    <t>ORD10220</t>
  </si>
  <si>
    <t>CUST3023</t>
  </si>
  <si>
    <t>19:40</t>
  </si>
  <si>
    <t>ORD10221</t>
  </si>
  <si>
    <t>CUST3543</t>
  </si>
  <si>
    <t>20:33</t>
  </si>
  <si>
    <t>ORD10222</t>
  </si>
  <si>
    <t>CUST3056</t>
  </si>
  <si>
    <t>ORD10223</t>
  </si>
  <si>
    <t>CUST6620</t>
  </si>
  <si>
    <t>23:23</t>
  </si>
  <si>
    <t>ORD10224</t>
  </si>
  <si>
    <t>CUST5226</t>
  </si>
  <si>
    <t>21:19</t>
  </si>
  <si>
    <t>ORD10225</t>
  </si>
  <si>
    <t>CUST5521</t>
  </si>
  <si>
    <t>11:15</t>
  </si>
  <si>
    <t>ORD10226</t>
  </si>
  <si>
    <t>CUST5955</t>
  </si>
  <si>
    <t>ORD10227</t>
  </si>
  <si>
    <t>CUST7925</t>
  </si>
  <si>
    <t>ORD10228</t>
  </si>
  <si>
    <t>CUST5427</t>
  </si>
  <si>
    <t>ORD10229</t>
  </si>
  <si>
    <t>CUST4358</t>
  </si>
  <si>
    <t>12:56</t>
  </si>
  <si>
    <t>ORD10230</t>
  </si>
  <si>
    <t>CUST1687</t>
  </si>
  <si>
    <t>21:15</t>
  </si>
  <si>
    <t>ORD10231</t>
  </si>
  <si>
    <t>CUST5405</t>
  </si>
  <si>
    <t>23:51</t>
  </si>
  <si>
    <t>ORD10232</t>
  </si>
  <si>
    <t>CUST5263</t>
  </si>
  <si>
    <t>18:40</t>
  </si>
  <si>
    <t>ORD10233</t>
  </si>
  <si>
    <t>CUST6114</t>
  </si>
  <si>
    <t>21:59</t>
  </si>
  <si>
    <t>ORD10234</t>
  </si>
  <si>
    <t>CUST3360</t>
  </si>
  <si>
    <t>17:56</t>
  </si>
  <si>
    <t>ORD10235</t>
  </si>
  <si>
    <t>CUST5752</t>
  </si>
  <si>
    <t>18:16</t>
  </si>
  <si>
    <t>ORD10236</t>
  </si>
  <si>
    <t>CUST7345</t>
  </si>
  <si>
    <t>21:57</t>
  </si>
  <si>
    <t>ORD10237</t>
  </si>
  <si>
    <t>CUST3244</t>
  </si>
  <si>
    <t>14:43</t>
  </si>
  <si>
    <t>ORD10238</t>
  </si>
  <si>
    <t>CUST7315</t>
  </si>
  <si>
    <t>ORD10239</t>
  </si>
  <si>
    <t>22:44</t>
  </si>
  <si>
    <t>ORD10240</t>
  </si>
  <si>
    <t>CUST8304</t>
  </si>
  <si>
    <t>ORD10241</t>
  </si>
  <si>
    <t>CUST2724</t>
  </si>
  <si>
    <t>ORD10242</t>
  </si>
  <si>
    <t>CUST4289</t>
  </si>
  <si>
    <t>23:39</t>
  </si>
  <si>
    <t>ORD10243</t>
  </si>
  <si>
    <t>CUST4100</t>
  </si>
  <si>
    <t>ORD10244</t>
  </si>
  <si>
    <t>CUST8341</t>
  </si>
  <si>
    <t>17:46</t>
  </si>
  <si>
    <t>ORD10245</t>
  </si>
  <si>
    <t>CUST9510</t>
  </si>
  <si>
    <t>20:48</t>
  </si>
  <si>
    <t>ORD10246</t>
  </si>
  <si>
    <t>CUST1813</t>
  </si>
  <si>
    <t>12:47</t>
  </si>
  <si>
    <t>ORD10247</t>
  </si>
  <si>
    <t>CUST7289</t>
  </si>
  <si>
    <t>18:41</t>
  </si>
  <si>
    <t>ORD10248</t>
  </si>
  <si>
    <t>CUST6746</t>
  </si>
  <si>
    <t>10:27</t>
  </si>
  <si>
    <t>ORD10249</t>
  </si>
  <si>
    <t>CUST1935</t>
  </si>
  <si>
    <t>20:52</t>
  </si>
  <si>
    <t>ORD10250</t>
  </si>
  <si>
    <t>CUST4037</t>
  </si>
  <si>
    <t>16:33</t>
  </si>
  <si>
    <t>ORD10251</t>
  </si>
  <si>
    <t>CUST4395</t>
  </si>
  <si>
    <t>12:49</t>
  </si>
  <si>
    <t>ORD10252</t>
  </si>
  <si>
    <t>CUST9877</t>
  </si>
  <si>
    <t>21:28</t>
  </si>
  <si>
    <t>ORD10253</t>
  </si>
  <si>
    <t>CUST3404</t>
  </si>
  <si>
    <t>ORD10254</t>
  </si>
  <si>
    <t>CUST4209</t>
  </si>
  <si>
    <t>22:43</t>
  </si>
  <si>
    <t>ORD10255</t>
  </si>
  <si>
    <t>CUST2987</t>
  </si>
  <si>
    <t>ORD10256</t>
  </si>
  <si>
    <t>CUST2146</t>
  </si>
  <si>
    <t>22:27</t>
  </si>
  <si>
    <t>ORD10257</t>
  </si>
  <si>
    <t>CUST4363</t>
  </si>
  <si>
    <t>17:45</t>
  </si>
  <si>
    <t>ORD10258</t>
  </si>
  <si>
    <t>CUST8512</t>
  </si>
  <si>
    <t>14:13</t>
  </si>
  <si>
    <t>ORD10259</t>
  </si>
  <si>
    <t>CUST1072</t>
  </si>
  <si>
    <t>ORD10260</t>
  </si>
  <si>
    <t>CUST5102</t>
  </si>
  <si>
    <t>22:51</t>
  </si>
  <si>
    <t>ORD10261</t>
  </si>
  <si>
    <t>CUST1568</t>
  </si>
  <si>
    <t>ORD10262</t>
  </si>
  <si>
    <t>CUST7795</t>
  </si>
  <si>
    <t>14:55</t>
  </si>
  <si>
    <t>ORD10263</t>
  </si>
  <si>
    <t>CUST9904</t>
  </si>
  <si>
    <t>23:28</t>
  </si>
  <si>
    <t>ORD10264</t>
  </si>
  <si>
    <t>CUST6711</t>
  </si>
  <si>
    <t>21:12</t>
  </si>
  <si>
    <t>ORD10265</t>
  </si>
  <si>
    <t>19:11</t>
  </si>
  <si>
    <t>ORD10266</t>
  </si>
  <si>
    <t>CUST3778</t>
  </si>
  <si>
    <t>ORD10267</t>
  </si>
  <si>
    <t>CUST3801</t>
  </si>
  <si>
    <t>21:17</t>
  </si>
  <si>
    <t>ORD10268</t>
  </si>
  <si>
    <t>CUST7321</t>
  </si>
  <si>
    <t>ORD10269</t>
  </si>
  <si>
    <t>CUST7871</t>
  </si>
  <si>
    <t>20:51</t>
  </si>
  <si>
    <t>ORD10270</t>
  </si>
  <si>
    <t>CUST3842</t>
  </si>
  <si>
    <t>ORD10271</t>
  </si>
  <si>
    <t>CUST7721</t>
  </si>
  <si>
    <t>ORD10272</t>
  </si>
  <si>
    <t>CUST2083</t>
  </si>
  <si>
    <t>ORD10273</t>
  </si>
  <si>
    <t>CUST3866</t>
  </si>
  <si>
    <t>ORD10274</t>
  </si>
  <si>
    <t>CUST2750</t>
  </si>
  <si>
    <t>16:27</t>
  </si>
  <si>
    <t>ORD10275</t>
  </si>
  <si>
    <t>CUST4268</t>
  </si>
  <si>
    <t>20:40</t>
  </si>
  <si>
    <t>ORD10276</t>
  </si>
  <si>
    <t>CUST3922</t>
  </si>
  <si>
    <t>12:14</t>
  </si>
  <si>
    <t>ORD10277</t>
  </si>
  <si>
    <t>CUST4166</t>
  </si>
  <si>
    <t>18:22</t>
  </si>
  <si>
    <t>ORD10278</t>
  </si>
  <si>
    <t>CUST1486</t>
  </si>
  <si>
    <t>ORD10279</t>
  </si>
  <si>
    <t>CUST4974</t>
  </si>
  <si>
    <t>14:28</t>
  </si>
  <si>
    <t>ORD10280</t>
  </si>
  <si>
    <t>CUST6756</t>
  </si>
  <si>
    <t>12:50</t>
  </si>
  <si>
    <t>ORD10281</t>
  </si>
  <si>
    <t>CUST8591</t>
  </si>
  <si>
    <t>10:28</t>
  </si>
  <si>
    <t>ORD10282</t>
  </si>
  <si>
    <t>CUST3208</t>
  </si>
  <si>
    <t>19:33</t>
  </si>
  <si>
    <t>ORD10283</t>
  </si>
  <si>
    <t>CUST6426</t>
  </si>
  <si>
    <t>22:11</t>
  </si>
  <si>
    <t>ORD10284</t>
  </si>
  <si>
    <t>CUST9631</t>
  </si>
  <si>
    <t>13:31</t>
  </si>
  <si>
    <t>ORD10285</t>
  </si>
  <si>
    <t>CUST5165</t>
  </si>
  <si>
    <t>ORD10286</t>
  </si>
  <si>
    <t>CUST7956</t>
  </si>
  <si>
    <t>21:23</t>
  </si>
  <si>
    <t>ORD10287</t>
  </si>
  <si>
    <t>CUST2117</t>
  </si>
  <si>
    <t>ORD10288</t>
  </si>
  <si>
    <t>CUST7125</t>
  </si>
  <si>
    <t>11:32</t>
  </si>
  <si>
    <t>ORD10289</t>
  </si>
  <si>
    <t>CUST6112</t>
  </si>
  <si>
    <t>15:29</t>
  </si>
  <si>
    <t>ORD10290</t>
  </si>
  <si>
    <t>ORD10291</t>
  </si>
  <si>
    <t>CUST3597</t>
  </si>
  <si>
    <t>10:44</t>
  </si>
  <si>
    <t>ORD10292</t>
  </si>
  <si>
    <t>CUST4047</t>
  </si>
  <si>
    <t>17:30</t>
  </si>
  <si>
    <t>ORD10293</t>
  </si>
  <si>
    <t>CUST7263</t>
  </si>
  <si>
    <t>16:54</t>
  </si>
  <si>
    <t>ORD10294</t>
  </si>
  <si>
    <t>CUST3227</t>
  </si>
  <si>
    <t>ORD10295</t>
  </si>
  <si>
    <t>CUST5557</t>
  </si>
  <si>
    <t>ORD10296</t>
  </si>
  <si>
    <t>CUST4749</t>
  </si>
  <si>
    <t>ORD10297</t>
  </si>
  <si>
    <t>CUST8165</t>
  </si>
  <si>
    <t>15:35</t>
  </si>
  <si>
    <t>ORD10298</t>
  </si>
  <si>
    <t>CUST1642</t>
  </si>
  <si>
    <t>ORD10299</t>
  </si>
  <si>
    <t>CUST6518</t>
  </si>
  <si>
    <t>15:45</t>
  </si>
  <si>
    <t>ORD10300</t>
  </si>
  <si>
    <t>CUST9443</t>
  </si>
  <si>
    <t>15:19</t>
  </si>
  <si>
    <t>ORD10301</t>
  </si>
  <si>
    <t>CUST8456</t>
  </si>
  <si>
    <t>ORD10302</t>
  </si>
  <si>
    <t>CUST4754</t>
  </si>
  <si>
    <t>13:25</t>
  </si>
  <si>
    <t>ORD10303</t>
  </si>
  <si>
    <t>CUST8467</t>
  </si>
  <si>
    <t>21:25</t>
  </si>
  <si>
    <t>ORD10304</t>
  </si>
  <si>
    <t>CUST6060</t>
  </si>
  <si>
    <t>13:32</t>
  </si>
  <si>
    <t>ORD10305</t>
  </si>
  <si>
    <t>CUST4714</t>
  </si>
  <si>
    <t>ORD10306</t>
  </si>
  <si>
    <t>CUST3307</t>
  </si>
  <si>
    <t>22:28</t>
  </si>
  <si>
    <t>ORD10307</t>
  </si>
  <si>
    <t>CUST7727</t>
  </si>
  <si>
    <t>11:27</t>
  </si>
  <si>
    <t>ORD10308</t>
  </si>
  <si>
    <t>CUST7717</t>
  </si>
  <si>
    <t>20:13</t>
  </si>
  <si>
    <t>ORD10309</t>
  </si>
  <si>
    <t>CUST2909</t>
  </si>
  <si>
    <t>ORD10310</t>
  </si>
  <si>
    <t>CUST6606</t>
  </si>
  <si>
    <t>20:32</t>
  </si>
  <si>
    <t>ORD10311</t>
  </si>
  <si>
    <t>CUST3861</t>
  </si>
  <si>
    <t>18:50</t>
  </si>
  <si>
    <t>ORD10312</t>
  </si>
  <si>
    <t>CUST4886</t>
  </si>
  <si>
    <t>17:38</t>
  </si>
  <si>
    <t>ORD10313</t>
  </si>
  <si>
    <t>CUST5993</t>
  </si>
  <si>
    <t>16:12</t>
  </si>
  <si>
    <t>ORD10314</t>
  </si>
  <si>
    <t>CUST3249</t>
  </si>
  <si>
    <t>ORD10315</t>
  </si>
  <si>
    <t>CUST8415</t>
  </si>
  <si>
    <t>16:42</t>
  </si>
  <si>
    <t>ORD10316</t>
  </si>
  <si>
    <t>CUST6252</t>
  </si>
  <si>
    <t>16:11</t>
  </si>
  <si>
    <t>ORD10317</t>
  </si>
  <si>
    <t>CUST3183</t>
  </si>
  <si>
    <t>23:11</t>
  </si>
  <si>
    <t>ORD10318</t>
  </si>
  <si>
    <t>CUST7765</t>
  </si>
  <si>
    <t>ORD10319</t>
  </si>
  <si>
    <t>CUST1690</t>
  </si>
  <si>
    <t>ORD10320</t>
  </si>
  <si>
    <t>CUST1818</t>
  </si>
  <si>
    <t>ORD10321</t>
  </si>
  <si>
    <t>CUST3685</t>
  </si>
  <si>
    <t>ORD10322</t>
  </si>
  <si>
    <t>CUST4789</t>
  </si>
  <si>
    <t>16:31</t>
  </si>
  <si>
    <t>ORD10323</t>
  </si>
  <si>
    <t>CUST7919</t>
  </si>
  <si>
    <t>22:46</t>
  </si>
  <si>
    <t>ORD10324</t>
  </si>
  <si>
    <t>CUST5066</t>
  </si>
  <si>
    <t>14:42</t>
  </si>
  <si>
    <t>ORD10325</t>
  </si>
  <si>
    <t>CUST3070</t>
  </si>
  <si>
    <t>ORD10326</t>
  </si>
  <si>
    <t>CUST5316</t>
  </si>
  <si>
    <t>17:58</t>
  </si>
  <si>
    <t>ORD10327</t>
  </si>
  <si>
    <t>ORD10328</t>
  </si>
  <si>
    <t>CUST8174</t>
  </si>
  <si>
    <t>ORD10329</t>
  </si>
  <si>
    <t>CUST2096</t>
  </si>
  <si>
    <t>ORD10330</t>
  </si>
  <si>
    <t>CUST3067</t>
  </si>
  <si>
    <t>ORD10331</t>
  </si>
  <si>
    <t>CUST8646</t>
  </si>
  <si>
    <t>21:18</t>
  </si>
  <si>
    <t>ORD10332</t>
  </si>
  <si>
    <t>CUST4701</t>
  </si>
  <si>
    <t>ORD10333</t>
  </si>
  <si>
    <t>CUST8569</t>
  </si>
  <si>
    <t>ORD10334</t>
  </si>
  <si>
    <t>CUST9619</t>
  </si>
  <si>
    <t>ORD10335</t>
  </si>
  <si>
    <t>CUST8197</t>
  </si>
  <si>
    <t>19:26</t>
  </si>
  <si>
    <t>ORD10336</t>
  </si>
  <si>
    <t>CUST3518</t>
  </si>
  <si>
    <t>21:49</t>
  </si>
  <si>
    <t>ORD10337</t>
  </si>
  <si>
    <t>CUST7190</t>
  </si>
  <si>
    <t>ORD10338</t>
  </si>
  <si>
    <t>CUST2680</t>
  </si>
  <si>
    <t>12:16</t>
  </si>
  <si>
    <t>ORD10339</t>
  </si>
  <si>
    <t>13:58</t>
  </si>
  <si>
    <t>ORD10340</t>
  </si>
  <si>
    <t>CUST4832</t>
  </si>
  <si>
    <t>21:45</t>
  </si>
  <si>
    <t>ORD10341</t>
  </si>
  <si>
    <t>CUST4800</t>
  </si>
  <si>
    <t>ORD10342</t>
  </si>
  <si>
    <t>CUST5971</t>
  </si>
  <si>
    <t>10:59</t>
  </si>
  <si>
    <t>ORD10343</t>
  </si>
  <si>
    <t>CUST7429</t>
  </si>
  <si>
    <t>15:37</t>
  </si>
  <si>
    <t>ORD10344</t>
  </si>
  <si>
    <t>CUST2090</t>
  </si>
  <si>
    <t>ORD10345</t>
  </si>
  <si>
    <t>CUST1172</t>
  </si>
  <si>
    <t>23:15</t>
  </si>
  <si>
    <t>ORD10346</t>
  </si>
  <si>
    <t>CUST9360</t>
  </si>
  <si>
    <t>ORD10347</t>
  </si>
  <si>
    <t>CUST5272</t>
  </si>
  <si>
    <t>18:17</t>
  </si>
  <si>
    <t>ORD10348</t>
  </si>
  <si>
    <t>CUST4863</t>
  </si>
  <si>
    <t>19:54</t>
  </si>
  <si>
    <t>ORD10349</t>
  </si>
  <si>
    <t>CUST6978</t>
  </si>
  <si>
    <t>ORD10350</t>
  </si>
  <si>
    <t>CUST2187</t>
  </si>
  <si>
    <t>16:30</t>
  </si>
  <si>
    <t>ORD10351</t>
  </si>
  <si>
    <t>CUST6005</t>
  </si>
  <si>
    <t>11:49</t>
  </si>
  <si>
    <t>ORD10352</t>
  </si>
  <si>
    <t>CUST9408</t>
  </si>
  <si>
    <t>ORD10353</t>
  </si>
  <si>
    <t>CUST7410</t>
  </si>
  <si>
    <t>ORD10354</t>
  </si>
  <si>
    <t>CUST1465</t>
  </si>
  <si>
    <t>20:30</t>
  </si>
  <si>
    <t>ORD10355</t>
  </si>
  <si>
    <t>CUST3661</t>
  </si>
  <si>
    <t>ORD10356</t>
  </si>
  <si>
    <t>CUST5515</t>
  </si>
  <si>
    <t>22:33</t>
  </si>
  <si>
    <t>ORD10357</t>
  </si>
  <si>
    <t>CUST5877</t>
  </si>
  <si>
    <t>19:30</t>
  </si>
  <si>
    <t>ORD10358</t>
  </si>
  <si>
    <t>CUST2842</t>
  </si>
  <si>
    <t>12:24</t>
  </si>
  <si>
    <t>ORD10359</t>
  </si>
  <si>
    <t>CUST4660</t>
  </si>
  <si>
    <t>ORD10360</t>
  </si>
  <si>
    <t>CUST2883</t>
  </si>
  <si>
    <t>23:50</t>
  </si>
  <si>
    <t>ORD10361</t>
  </si>
  <si>
    <t>CUST2435</t>
  </si>
  <si>
    <t>16:57</t>
  </si>
  <si>
    <t>ORD10362</t>
  </si>
  <si>
    <t>CUST2281</t>
  </si>
  <si>
    <t>ORD10363</t>
  </si>
  <si>
    <t>CUST2467</t>
  </si>
  <si>
    <t>ORD10364</t>
  </si>
  <si>
    <t>CUST1220</t>
  </si>
  <si>
    <t>ORD10365</t>
  </si>
  <si>
    <t>CUST7177</t>
  </si>
  <si>
    <t>12:51</t>
  </si>
  <si>
    <t>ORD10366</t>
  </si>
  <si>
    <t>CUST3978</t>
  </si>
  <si>
    <t>21:55</t>
  </si>
  <si>
    <t>ORD10367</t>
  </si>
  <si>
    <t>CUST5709</t>
  </si>
  <si>
    <t>ORD10368</t>
  </si>
  <si>
    <t>CUST4926</t>
  </si>
  <si>
    <t>18:54</t>
  </si>
  <si>
    <t>ORD10369</t>
  </si>
  <si>
    <t>CUST6660</t>
  </si>
  <si>
    <t>13:49</t>
  </si>
  <si>
    <t>ORD10370</t>
  </si>
  <si>
    <t>CUST5712</t>
  </si>
  <si>
    <t>ORD10371</t>
  </si>
  <si>
    <t>CUST1341</t>
  </si>
  <si>
    <t>ORD10372</t>
  </si>
  <si>
    <t>CUST2663</t>
  </si>
  <si>
    <t>ORD10373</t>
  </si>
  <si>
    <t>CUST6183</t>
  </si>
  <si>
    <t>ORD10374</t>
  </si>
  <si>
    <t>CUST1561</t>
  </si>
  <si>
    <t>12:58</t>
  </si>
  <si>
    <t>ORD10375</t>
  </si>
  <si>
    <t>CUST1764</t>
  </si>
  <si>
    <t>18:15</t>
  </si>
  <si>
    <t>ORD10376</t>
  </si>
  <si>
    <t>CUST7556</t>
  </si>
  <si>
    <t>21:40</t>
  </si>
  <si>
    <t>ORD10377</t>
  </si>
  <si>
    <t>CUST8738</t>
  </si>
  <si>
    <t>16:39</t>
  </si>
  <si>
    <t>ORD10378</t>
  </si>
  <si>
    <t>CUST7619</t>
  </si>
  <si>
    <t>ORD10379</t>
  </si>
  <si>
    <t>CUST9871</t>
  </si>
  <si>
    <t>14:22</t>
  </si>
  <si>
    <t>ORD10380</t>
  </si>
  <si>
    <t>CUST9124</t>
  </si>
  <si>
    <t>10:49</t>
  </si>
  <si>
    <t>ORD10381</t>
  </si>
  <si>
    <t>CUST7336</t>
  </si>
  <si>
    <t>18:10</t>
  </si>
  <si>
    <t>ORD10382</t>
  </si>
  <si>
    <t>CUST5915</t>
  </si>
  <si>
    <t>ORD10383</t>
  </si>
  <si>
    <t>CUST9143</t>
  </si>
  <si>
    <t>16:46</t>
  </si>
  <si>
    <t>ORD10384</t>
  </si>
  <si>
    <t>CUST7285</t>
  </si>
  <si>
    <t>ORD10385</t>
  </si>
  <si>
    <t>CUST9486</t>
  </si>
  <si>
    <t>ORD10386</t>
  </si>
  <si>
    <t>CUST9628</t>
  </si>
  <si>
    <t>17:14</t>
  </si>
  <si>
    <t>ORD10387</t>
  </si>
  <si>
    <t>CUST3082</t>
  </si>
  <si>
    <t>14:34</t>
  </si>
  <si>
    <t>ORD10388</t>
  </si>
  <si>
    <t>CUST7189</t>
  </si>
  <si>
    <t>ORD10389</t>
  </si>
  <si>
    <t>CUST2878</t>
  </si>
  <si>
    <t>18:27</t>
  </si>
  <si>
    <t>ORD10390</t>
  </si>
  <si>
    <t>CUST7874</t>
  </si>
  <si>
    <t>21:27</t>
  </si>
  <si>
    <t>ORD10391</t>
  </si>
  <si>
    <t>CUST1049</t>
  </si>
  <si>
    <t>21:26</t>
  </si>
  <si>
    <t>ORD10392</t>
  </si>
  <si>
    <t>CUST6594</t>
  </si>
  <si>
    <t>23:35</t>
  </si>
  <si>
    <t>ORD10393</t>
  </si>
  <si>
    <t>CUST2178</t>
  </si>
  <si>
    <t>ORD10394</t>
  </si>
  <si>
    <t>CUST5232</t>
  </si>
  <si>
    <t>16:17</t>
  </si>
  <si>
    <t>ORD10395</t>
  </si>
  <si>
    <t>CUST7528</t>
  </si>
  <si>
    <t>ORD10396</t>
  </si>
  <si>
    <t>CUST7213</t>
  </si>
  <si>
    <t>ORD10397</t>
  </si>
  <si>
    <t>CUST6170</t>
  </si>
  <si>
    <t>22:56</t>
  </si>
  <si>
    <t>ORD10398</t>
  </si>
  <si>
    <t>CUST4424</t>
  </si>
  <si>
    <t>10:32</t>
  </si>
  <si>
    <t>ORD10399</t>
  </si>
  <si>
    <t>ORD10400</t>
  </si>
  <si>
    <t>CUST7581</t>
  </si>
  <si>
    <t>15:38</t>
  </si>
  <si>
    <t>ORD10401</t>
  </si>
  <si>
    <t>CUST3639</t>
  </si>
  <si>
    <t>23:24</t>
  </si>
  <si>
    <t>ORD10402</t>
  </si>
  <si>
    <t>CUST1018</t>
  </si>
  <si>
    <t>ORD10403</t>
  </si>
  <si>
    <t>CUST5702</t>
  </si>
  <si>
    <t>14:56</t>
  </si>
  <si>
    <t>ORD10404</t>
  </si>
  <si>
    <t>23:29</t>
  </si>
  <si>
    <t>ORD10405</t>
  </si>
  <si>
    <t>CUST7447</t>
  </si>
  <si>
    <t>23:13</t>
  </si>
  <si>
    <t>ORD10406</t>
  </si>
  <si>
    <t>CUST3162</t>
  </si>
  <si>
    <t>23:40</t>
  </si>
  <si>
    <t>ORD10407</t>
  </si>
  <si>
    <t>CUST7631</t>
  </si>
  <si>
    <t>10:22</t>
  </si>
  <si>
    <t>ORD10408</t>
  </si>
  <si>
    <t>CUST7482</t>
  </si>
  <si>
    <t>ORD10409</t>
  </si>
  <si>
    <t>CUST2747</t>
  </si>
  <si>
    <t>ORD10410</t>
  </si>
  <si>
    <t>CUST3358</t>
  </si>
  <si>
    <t>ORD10411</t>
  </si>
  <si>
    <t>CUST6678</t>
  </si>
  <si>
    <t>18:35</t>
  </si>
  <si>
    <t>ORD10412</t>
  </si>
  <si>
    <t>CUST7340</t>
  </si>
  <si>
    <t>12:46</t>
  </si>
  <si>
    <t>ORD10413</t>
  </si>
  <si>
    <t>22:50</t>
  </si>
  <si>
    <t>ORD10414</t>
  </si>
  <si>
    <t>CUST2529</t>
  </si>
  <si>
    <t>10:24</t>
  </si>
  <si>
    <t>ORD10415</t>
  </si>
  <si>
    <t>CUST5927</t>
  </si>
  <si>
    <t>13:50</t>
  </si>
  <si>
    <t>ORD10416</t>
  </si>
  <si>
    <t>CUST7273</t>
  </si>
  <si>
    <t>15:13</t>
  </si>
  <si>
    <t>ORD10417</t>
  </si>
  <si>
    <t>ORD10418</t>
  </si>
  <si>
    <t>CUST7191</t>
  </si>
  <si>
    <t>ORD10419</t>
  </si>
  <si>
    <t>CUST3101</t>
  </si>
  <si>
    <t>15:54</t>
  </si>
  <si>
    <t>ORD10420</t>
  </si>
  <si>
    <t>ORD10421</t>
  </si>
  <si>
    <t>CUST3110</t>
  </si>
  <si>
    <t>19:52</t>
  </si>
  <si>
    <t>ORD10422</t>
  </si>
  <si>
    <t>CUST3199</t>
  </si>
  <si>
    <t>ORD10423</t>
  </si>
  <si>
    <t>CUST6214</t>
  </si>
  <si>
    <t>18:34</t>
  </si>
  <si>
    <t>ORD10424</t>
  </si>
  <si>
    <t>CUST4174</t>
  </si>
  <si>
    <t>14:44</t>
  </si>
  <si>
    <t>ORD10425</t>
  </si>
  <si>
    <t>CUST8729</t>
  </si>
  <si>
    <t>ORD10426</t>
  </si>
  <si>
    <t>CUST6450</t>
  </si>
  <si>
    <t>23:10</t>
  </si>
  <si>
    <t>ORD10427</t>
  </si>
  <si>
    <t>CUST6147</t>
  </si>
  <si>
    <t>15:34</t>
  </si>
  <si>
    <t>ORD10428</t>
  </si>
  <si>
    <t>CUST2499</t>
  </si>
  <si>
    <t>20:16</t>
  </si>
  <si>
    <t>ORD10429</t>
  </si>
  <si>
    <t>CUST3925</t>
  </si>
  <si>
    <t>22:45</t>
  </si>
  <si>
    <t>ORD10430</t>
  </si>
  <si>
    <t>CUST2796</t>
  </si>
  <si>
    <t>ORD10431</t>
  </si>
  <si>
    <t>CUST5285</t>
  </si>
  <si>
    <t>12:32</t>
  </si>
  <si>
    <t>ORD10432</t>
  </si>
  <si>
    <t>CUST1530</t>
  </si>
  <si>
    <t>ORD10433</t>
  </si>
  <si>
    <t>CUST7375</t>
  </si>
  <si>
    <t>14:46</t>
  </si>
  <si>
    <t>ORD10434</t>
  </si>
  <si>
    <t>CUST1299</t>
  </si>
  <si>
    <t>ORD10435</t>
  </si>
  <si>
    <t>CUST5653</t>
  </si>
  <si>
    <t>19:12</t>
  </si>
  <si>
    <t>ORD10436</t>
  </si>
  <si>
    <t>CUST5601</t>
  </si>
  <si>
    <t>ORD10437</t>
  </si>
  <si>
    <t>CUST5607</t>
  </si>
  <si>
    <t>13:46</t>
  </si>
  <si>
    <t>ORD10438</t>
  </si>
  <si>
    <t>CUST8314</t>
  </si>
  <si>
    <t>10:16</t>
  </si>
  <si>
    <t>ORD10439</t>
  </si>
  <si>
    <t>CUST6875</t>
  </si>
  <si>
    <t>20:17</t>
  </si>
  <si>
    <t>ORD10440</t>
  </si>
  <si>
    <t>CUST2275</t>
  </si>
  <si>
    <t>ORD10441</t>
  </si>
  <si>
    <t>CUST9047</t>
  </si>
  <si>
    <t>16:58</t>
  </si>
  <si>
    <t>ORD10442</t>
  </si>
  <si>
    <t>CUST6383</t>
  </si>
  <si>
    <t>ORD10443</t>
  </si>
  <si>
    <t>CUST5822</t>
  </si>
  <si>
    <t>17:32</t>
  </si>
  <si>
    <t>ORD10444</t>
  </si>
  <si>
    <t>CUST9652</t>
  </si>
  <si>
    <t>ORD10445</t>
  </si>
  <si>
    <t>CUST3746</t>
  </si>
  <si>
    <t>ORD10446</t>
  </si>
  <si>
    <t>CUST6499</t>
  </si>
  <si>
    <t>ORD10447</t>
  </si>
  <si>
    <t>CUST7007</t>
  </si>
  <si>
    <t>ORD10448</t>
  </si>
  <si>
    <t>CUST7778</t>
  </si>
  <si>
    <t>ORD10449</t>
  </si>
  <si>
    <t>CUST3514</t>
  </si>
  <si>
    <t>11:52</t>
  </si>
  <si>
    <t>ORD10450</t>
  </si>
  <si>
    <t>CUST9808</t>
  </si>
  <si>
    <t>18:32</t>
  </si>
  <si>
    <t>ORD10451</t>
  </si>
  <si>
    <t>CUST8796</t>
  </si>
  <si>
    <t>19:32</t>
  </si>
  <si>
    <t>ORD10452</t>
  </si>
  <si>
    <t>CUST2059</t>
  </si>
  <si>
    <t>16:36</t>
  </si>
  <si>
    <t>ORD10453</t>
  </si>
  <si>
    <t>CUST5957</t>
  </si>
  <si>
    <t>19:24</t>
  </si>
  <si>
    <t>ORD10454</t>
  </si>
  <si>
    <t>CUST8586</t>
  </si>
  <si>
    <t>11:56</t>
  </si>
  <si>
    <t>ORD10455</t>
  </si>
  <si>
    <t>CUST8617</t>
  </si>
  <si>
    <t>ORD10456</t>
  </si>
  <si>
    <t>CUST8449</t>
  </si>
  <si>
    <t>12:28</t>
  </si>
  <si>
    <t>ORD10457</t>
  </si>
  <si>
    <t>CUST5572</t>
  </si>
  <si>
    <t>19:47</t>
  </si>
  <si>
    <t>ORD10458</t>
  </si>
  <si>
    <t>CUST1342</t>
  </si>
  <si>
    <t>19:25</t>
  </si>
  <si>
    <t>ORD10459</t>
  </si>
  <si>
    <t>CUST8387</t>
  </si>
  <si>
    <t>17:37</t>
  </si>
  <si>
    <t>ORD10460</t>
  </si>
  <si>
    <t>CUST2668</t>
  </si>
  <si>
    <t>10:25</t>
  </si>
  <si>
    <t>ORD10461</t>
  </si>
  <si>
    <t>CUST7010</t>
  </si>
  <si>
    <t>19:59</t>
  </si>
  <si>
    <t>ORD10462</t>
  </si>
  <si>
    <t>CUST9470</t>
  </si>
  <si>
    <t>ORD10463</t>
  </si>
  <si>
    <t>CUST3892</t>
  </si>
  <si>
    <t>13:34</t>
  </si>
  <si>
    <t>ORD10464</t>
  </si>
  <si>
    <t>CUST2303</t>
  </si>
  <si>
    <t>ORD10465</t>
  </si>
  <si>
    <t>CUST2026</t>
  </si>
  <si>
    <t>10:47</t>
  </si>
  <si>
    <t>ORD10466</t>
  </si>
  <si>
    <t>CUST7391</t>
  </si>
  <si>
    <t>16:44</t>
  </si>
  <si>
    <t>ORD10467</t>
  </si>
  <si>
    <t>CUST7155</t>
  </si>
  <si>
    <t>ORD10468</t>
  </si>
  <si>
    <t>CUST6771</t>
  </si>
  <si>
    <t>18:49</t>
  </si>
  <si>
    <t>ORD10469</t>
  </si>
  <si>
    <t>CUST6156</t>
  </si>
  <si>
    <t>ORD10470</t>
  </si>
  <si>
    <t>CUST9803</t>
  </si>
  <si>
    <t>ORD10471</t>
  </si>
  <si>
    <t>CUST1062</t>
  </si>
  <si>
    <t>12:21</t>
  </si>
  <si>
    <t>ORD10472</t>
  </si>
  <si>
    <t>CUST3419</t>
  </si>
  <si>
    <t>ORD10473</t>
  </si>
  <si>
    <t>CUST5975</t>
  </si>
  <si>
    <t>10:52</t>
  </si>
  <si>
    <t>ORD10474</t>
  </si>
  <si>
    <t>CUST5115</t>
  </si>
  <si>
    <t>18:30</t>
  </si>
  <si>
    <t>ORD10475</t>
  </si>
  <si>
    <t>CUST3252</t>
  </si>
  <si>
    <t>ORD10476</t>
  </si>
  <si>
    <t>CUST1400</t>
  </si>
  <si>
    <t>15:32</t>
  </si>
  <si>
    <t>ORD10477</t>
  </si>
  <si>
    <t>CUST2963</t>
  </si>
  <si>
    <t>13:57</t>
  </si>
  <si>
    <t>ORD10478</t>
  </si>
  <si>
    <t>CUST3214</t>
  </si>
  <si>
    <t>22:19</t>
  </si>
  <si>
    <t>ORD10479</t>
  </si>
  <si>
    <t>CUST8224</t>
  </si>
  <si>
    <t>ORD10480</t>
  </si>
  <si>
    <t>CUST7900</t>
  </si>
  <si>
    <t>ORD10481</t>
  </si>
  <si>
    <t>CUST3528</t>
  </si>
  <si>
    <t>ORD10482</t>
  </si>
  <si>
    <t>CUST1734</t>
  </si>
  <si>
    <t>14:33</t>
  </si>
  <si>
    <t>ORD10483</t>
  </si>
  <si>
    <t>CUST1354</t>
  </si>
  <si>
    <t>ORD10484</t>
  </si>
  <si>
    <t>CUST4467</t>
  </si>
  <si>
    <t>ORD10485</t>
  </si>
  <si>
    <t>CUST9542</t>
  </si>
  <si>
    <t>ORD10486</t>
  </si>
  <si>
    <t>CUST7355</t>
  </si>
  <si>
    <t>ORD10487</t>
  </si>
  <si>
    <t>CUST7994</t>
  </si>
  <si>
    <t>19:18</t>
  </si>
  <si>
    <t>ORD10488</t>
  </si>
  <si>
    <t>CUST2662</t>
  </si>
  <si>
    <t>ORD10489</t>
  </si>
  <si>
    <t>CUST4240</t>
  </si>
  <si>
    <t>ORD10490</t>
  </si>
  <si>
    <t>CUST6590</t>
  </si>
  <si>
    <t>ORD10491</t>
  </si>
  <si>
    <t>CUST8029</t>
  </si>
  <si>
    <t>17:16</t>
  </si>
  <si>
    <t>ORD10492</t>
  </si>
  <si>
    <t>CUST6904</t>
  </si>
  <si>
    <t>ORD10493</t>
  </si>
  <si>
    <t>CUST7255</t>
  </si>
  <si>
    <t>ORD10494</t>
  </si>
  <si>
    <t>CUST7256</t>
  </si>
  <si>
    <t>16:37</t>
  </si>
  <si>
    <t>ORD10495</t>
  </si>
  <si>
    <t>CUST4643</t>
  </si>
  <si>
    <t>ORD10496</t>
  </si>
  <si>
    <t>CUST7372</t>
  </si>
  <si>
    <t>ORD10497</t>
  </si>
  <si>
    <t>CUST4112</t>
  </si>
  <si>
    <t>23:27</t>
  </si>
  <si>
    <t>ORD10498</t>
  </si>
  <si>
    <t>CUST4712</t>
  </si>
  <si>
    <t>12:15</t>
  </si>
  <si>
    <t>ORD10499</t>
  </si>
  <si>
    <t>CUST2507</t>
  </si>
  <si>
    <t>ORD10500</t>
  </si>
  <si>
    <t>CUST6870</t>
  </si>
  <si>
    <t>13:54</t>
  </si>
  <si>
    <t>ORD10501</t>
  </si>
  <si>
    <t>CUST2228</t>
  </si>
  <si>
    <t>ORD10502</t>
  </si>
  <si>
    <t>CUST2534</t>
  </si>
  <si>
    <t>20:45</t>
  </si>
  <si>
    <t>ORD10503</t>
  </si>
  <si>
    <t>CUST6919</t>
  </si>
  <si>
    <t>18:26</t>
  </si>
  <si>
    <t>ORD10504</t>
  </si>
  <si>
    <t>CUST9274</t>
  </si>
  <si>
    <t>20:47</t>
  </si>
  <si>
    <t>ORD10505</t>
  </si>
  <si>
    <t>CUST2833</t>
  </si>
  <si>
    <t>ORD10506</t>
  </si>
  <si>
    <t>ORD10507</t>
  </si>
  <si>
    <t>CUST8282</t>
  </si>
  <si>
    <t>ORD10508</t>
  </si>
  <si>
    <t>CUST1708</t>
  </si>
  <si>
    <t>ORD10509</t>
  </si>
  <si>
    <t>10:11</t>
  </si>
  <si>
    <t>ORD10510</t>
  </si>
  <si>
    <t>CUST5795</t>
  </si>
  <si>
    <t>ORD10511</t>
  </si>
  <si>
    <t>CUST5496</t>
  </si>
  <si>
    <t>21:44</t>
  </si>
  <si>
    <t>ORD10512</t>
  </si>
  <si>
    <t>CUST2436</t>
  </si>
  <si>
    <t>ORD10513</t>
  </si>
  <si>
    <t>CUST4131</t>
  </si>
  <si>
    <t>21:46</t>
  </si>
  <si>
    <t>ORD10514</t>
  </si>
  <si>
    <t>CUST5774</t>
  </si>
  <si>
    <t>19:56</t>
  </si>
  <si>
    <t>ORD10515</t>
  </si>
  <si>
    <t>ORD10516</t>
  </si>
  <si>
    <t>CUST5289</t>
  </si>
  <si>
    <t>ORD10517</t>
  </si>
  <si>
    <t>CUST1771</t>
  </si>
  <si>
    <t>ORD10518</t>
  </si>
  <si>
    <t>CUST9670</t>
  </si>
  <si>
    <t>ORD10519</t>
  </si>
  <si>
    <t>CUST7133</t>
  </si>
  <si>
    <t>ORD10520</t>
  </si>
  <si>
    <t>CUST7526</t>
  </si>
  <si>
    <t>ORD10521</t>
  </si>
  <si>
    <t>CUST5584</t>
  </si>
  <si>
    <t>13:23</t>
  </si>
  <si>
    <t>ORD10522</t>
  </si>
  <si>
    <t>CUST8645</t>
  </si>
  <si>
    <t>ORD10523</t>
  </si>
  <si>
    <t>CUST9095</t>
  </si>
  <si>
    <t>ORD10524</t>
  </si>
  <si>
    <t>CUST3487</t>
  </si>
  <si>
    <t>23:43</t>
  </si>
  <si>
    <t>ORD10525</t>
  </si>
  <si>
    <t>CUST9184</t>
  </si>
  <si>
    <t>21:13</t>
  </si>
  <si>
    <t>ORD10526</t>
  </si>
  <si>
    <t>CUST2192</t>
  </si>
  <si>
    <t>14:30</t>
  </si>
  <si>
    <t>ORD10527</t>
  </si>
  <si>
    <t>CUST4362</t>
  </si>
  <si>
    <t>16:51</t>
  </si>
  <si>
    <t>ORD10528</t>
  </si>
  <si>
    <t>CUST3332</t>
  </si>
  <si>
    <t>19:50</t>
  </si>
  <si>
    <t>ORD10529</t>
  </si>
  <si>
    <t>CUST4081</t>
  </si>
  <si>
    <t>ORD10530</t>
  </si>
  <si>
    <t>CUST1394</t>
  </si>
  <si>
    <t>ORD10531</t>
  </si>
  <si>
    <t>CUST4618</t>
  </si>
  <si>
    <t>ORD10532</t>
  </si>
  <si>
    <t>CUST4748</t>
  </si>
  <si>
    <t>ORD10533</t>
  </si>
  <si>
    <t>CUST3703</t>
  </si>
  <si>
    <t>ORD10534</t>
  </si>
  <si>
    <t>CUST2884</t>
  </si>
  <si>
    <t>15:16</t>
  </si>
  <si>
    <t>ORD10535</t>
  </si>
  <si>
    <t>CUST8811</t>
  </si>
  <si>
    <t>11:19</t>
  </si>
  <si>
    <t>ORD10536</t>
  </si>
  <si>
    <t>CUST7578</t>
  </si>
  <si>
    <t>23:52</t>
  </si>
  <si>
    <t>ORD10537</t>
  </si>
  <si>
    <t>CUST7657</t>
  </si>
  <si>
    <t>10:18</t>
  </si>
  <si>
    <t>ORD10538</t>
  </si>
  <si>
    <t>CUST1546</t>
  </si>
  <si>
    <t>ORD10539</t>
  </si>
  <si>
    <t>ORD10540</t>
  </si>
  <si>
    <t>CUST7404</t>
  </si>
  <si>
    <t>12:25</t>
  </si>
  <si>
    <t>ORD10541</t>
  </si>
  <si>
    <t>CUST1067</t>
  </si>
  <si>
    <t>17:17</t>
  </si>
  <si>
    <t>ORD10542</t>
  </si>
  <si>
    <t>CUST4667</t>
  </si>
  <si>
    <t>17:55</t>
  </si>
  <si>
    <t>ORD10543</t>
  </si>
  <si>
    <t>CUST4327</t>
  </si>
  <si>
    <t>ORD10544</t>
  </si>
  <si>
    <t>CUST1827</t>
  </si>
  <si>
    <t>ORD10545</t>
  </si>
  <si>
    <t>CUST6989</t>
  </si>
  <si>
    <t>ORD10546</t>
  </si>
  <si>
    <t>CUST7337</t>
  </si>
  <si>
    <t>19:14</t>
  </si>
  <si>
    <t>ORD10547</t>
  </si>
  <si>
    <t>CUST3755</t>
  </si>
  <si>
    <t>ORD10548</t>
  </si>
  <si>
    <t>CUST9191</t>
  </si>
  <si>
    <t>23:48</t>
  </si>
  <si>
    <t>ORD10549</t>
  </si>
  <si>
    <t>CUST9256</t>
  </si>
  <si>
    <t>ORD10550</t>
  </si>
  <si>
    <t>CUST3867</t>
  </si>
  <si>
    <t>ORD10551</t>
  </si>
  <si>
    <t>CUST3117</t>
  </si>
  <si>
    <t>ORD10552</t>
  </si>
  <si>
    <t>CUST1667</t>
  </si>
  <si>
    <t>16:55</t>
  </si>
  <si>
    <t>ORD10553</t>
  </si>
  <si>
    <t>CUST5443</t>
  </si>
  <si>
    <t>21:35</t>
  </si>
  <si>
    <t>ORD10554</t>
  </si>
  <si>
    <t>CUST3891</t>
  </si>
  <si>
    <t>ORD10555</t>
  </si>
  <si>
    <t>CUST1135</t>
  </si>
  <si>
    <t>22:38</t>
  </si>
  <si>
    <t>ORD10556</t>
  </si>
  <si>
    <t>CUST2227</t>
  </si>
  <si>
    <t>ORD10557</t>
  </si>
  <si>
    <t>CUST2002</t>
  </si>
  <si>
    <t>10:45</t>
  </si>
  <si>
    <t>ORD10558</t>
  </si>
  <si>
    <t>CUST6365</t>
  </si>
  <si>
    <t>ORD10559</t>
  </si>
  <si>
    <t>CUST6734</t>
  </si>
  <si>
    <t>ORD10560</t>
  </si>
  <si>
    <t>CUST4185</t>
  </si>
  <si>
    <t>ORD10561</t>
  </si>
  <si>
    <t>CUST9800</t>
  </si>
  <si>
    <t>18:24</t>
  </si>
  <si>
    <t>ORD10562</t>
  </si>
  <si>
    <t>CUST4588</t>
  </si>
  <si>
    <t>ORD10563</t>
  </si>
  <si>
    <t>CUST6758</t>
  </si>
  <si>
    <t>18:36</t>
  </si>
  <si>
    <t>ORD10564</t>
  </si>
  <si>
    <t>CUST4230</t>
  </si>
  <si>
    <t>23:37</t>
  </si>
  <si>
    <t>ORD10565</t>
  </si>
  <si>
    <t>CUST6910</t>
  </si>
  <si>
    <t>ORD10566</t>
  </si>
  <si>
    <t>CUST8434</t>
  </si>
  <si>
    <t>ORD10567</t>
  </si>
  <si>
    <t>CUST5823</t>
  </si>
  <si>
    <t>ORD10568</t>
  </si>
  <si>
    <t>CUST7562</t>
  </si>
  <si>
    <t>17:23</t>
  </si>
  <si>
    <t>ORD10569</t>
  </si>
  <si>
    <t>CUST6303</t>
  </si>
  <si>
    <t>16:32</t>
  </si>
  <si>
    <t>ORD10570</t>
  </si>
  <si>
    <t>CUST4996</t>
  </si>
  <si>
    <t>ORD10571</t>
  </si>
  <si>
    <t>CUST2565</t>
  </si>
  <si>
    <t>17:18</t>
  </si>
  <si>
    <t>ORD10572</t>
  </si>
  <si>
    <t>CUST4426</t>
  </si>
  <si>
    <t>ORD10573</t>
  </si>
  <si>
    <t>CUST5160</t>
  </si>
  <si>
    <t>ORD10574</t>
  </si>
  <si>
    <t>CUST7145</t>
  </si>
  <si>
    <t>ORD10575</t>
  </si>
  <si>
    <t>CUST2574</t>
  </si>
  <si>
    <t>23:53</t>
  </si>
  <si>
    <t>ORD10576</t>
  </si>
  <si>
    <t>CUST5780</t>
  </si>
  <si>
    <t>15:33</t>
  </si>
  <si>
    <t>ORD10577</t>
  </si>
  <si>
    <t>CUST6944</t>
  </si>
  <si>
    <t>ORD10578</t>
  </si>
  <si>
    <t>CUST4910</t>
  </si>
  <si>
    <t>19:46</t>
  </si>
  <si>
    <t>ORD10579</t>
  </si>
  <si>
    <t>CUST3660</t>
  </si>
  <si>
    <t>ORD10580</t>
  </si>
  <si>
    <t>CUST3793</t>
  </si>
  <si>
    <t>ORD10581</t>
  </si>
  <si>
    <t>CUST4823</t>
  </si>
  <si>
    <t>11:55</t>
  </si>
  <si>
    <t>ORD10582</t>
  </si>
  <si>
    <t>CUST3357</t>
  </si>
  <si>
    <t>ORD10583</t>
  </si>
  <si>
    <t>CUST7128</t>
  </si>
  <si>
    <t>18:28</t>
  </si>
  <si>
    <t>ORD10584</t>
  </si>
  <si>
    <t>CUST1922</t>
  </si>
  <si>
    <t>10:17</t>
  </si>
  <si>
    <t>ORD10585</t>
  </si>
  <si>
    <t>CUST1150</t>
  </si>
  <si>
    <t>20:38</t>
  </si>
  <si>
    <t>ORD10586</t>
  </si>
  <si>
    <t>16:23</t>
  </si>
  <si>
    <t>ORD10587</t>
  </si>
  <si>
    <t>CUST7670</t>
  </si>
  <si>
    <t>13:24</t>
  </si>
  <si>
    <t>ORD10588</t>
  </si>
  <si>
    <t>CUST5834</t>
  </si>
  <si>
    <t>ORD10589</t>
  </si>
  <si>
    <t>CUST6155</t>
  </si>
  <si>
    <t>ORD10590</t>
  </si>
  <si>
    <t>CUST1609</t>
  </si>
  <si>
    <t>ORD10591</t>
  </si>
  <si>
    <t>CUST4113</t>
  </si>
  <si>
    <t>22:21</t>
  </si>
  <si>
    <t>ORD10592</t>
  </si>
  <si>
    <t>CUST8698</t>
  </si>
  <si>
    <t>ORD10593</t>
  </si>
  <si>
    <t>CUST1330</t>
  </si>
  <si>
    <t>17:51</t>
  </si>
  <si>
    <t>ORD10594</t>
  </si>
  <si>
    <t>CUST4106</t>
  </si>
  <si>
    <t>ORD10595</t>
  </si>
  <si>
    <t>CUST9447</t>
  </si>
  <si>
    <t>21:39</t>
  </si>
  <si>
    <t>ORD10596</t>
  </si>
  <si>
    <t>CUST7524</t>
  </si>
  <si>
    <t>20:35</t>
  </si>
  <si>
    <t>ORD10597</t>
  </si>
  <si>
    <t>CUST3918</t>
  </si>
  <si>
    <t>ORD10598</t>
  </si>
  <si>
    <t>CUST8290</t>
  </si>
  <si>
    <t>ORD10599</t>
  </si>
  <si>
    <t>CUST2578</t>
  </si>
  <si>
    <t>12:39</t>
  </si>
  <si>
    <t>ORD10600</t>
  </si>
  <si>
    <t>CUST5163</t>
  </si>
  <si>
    <t>ORD10601</t>
  </si>
  <si>
    <t>CUST2540</t>
  </si>
  <si>
    <t>ORD10602</t>
  </si>
  <si>
    <t>CUST4939</t>
  </si>
  <si>
    <t>12:26</t>
  </si>
  <si>
    <t>ORD10603</t>
  </si>
  <si>
    <t>CUST3762</t>
  </si>
  <si>
    <t>ORD10604</t>
  </si>
  <si>
    <t>CUST6701</t>
  </si>
  <si>
    <t>13:20</t>
  </si>
  <si>
    <t>ORD10605</t>
  </si>
  <si>
    <t>CUST6909</t>
  </si>
  <si>
    <t>19:10</t>
  </si>
  <si>
    <t>ORD10606</t>
  </si>
  <si>
    <t>CUST5983</t>
  </si>
  <si>
    <t>ORD10607</t>
  </si>
  <si>
    <t>CUST5997</t>
  </si>
  <si>
    <t>20:21</t>
  </si>
  <si>
    <t>ORD10608</t>
  </si>
  <si>
    <t>CUST1745</t>
  </si>
  <si>
    <t>ORD10609</t>
  </si>
  <si>
    <t>CUST8703</t>
  </si>
  <si>
    <t>ORD10610</t>
  </si>
  <si>
    <t>CUST6769</t>
  </si>
  <si>
    <t>23:18</t>
  </si>
  <si>
    <t>ORD10611</t>
  </si>
  <si>
    <t>CUST4470</t>
  </si>
  <si>
    <t>23:47</t>
  </si>
  <si>
    <t>ORD10612</t>
  </si>
  <si>
    <t>CUST5864</t>
  </si>
  <si>
    <t>20:27</t>
  </si>
  <si>
    <t>ORD10613</t>
  </si>
  <si>
    <t>CUST9463</t>
  </si>
  <si>
    <t>ORD10614</t>
  </si>
  <si>
    <t>CUST2383</t>
  </si>
  <si>
    <t>ORD10615</t>
  </si>
  <si>
    <t>CUST8060</t>
  </si>
  <si>
    <t>ORD10616</t>
  </si>
  <si>
    <t>CUST7731</t>
  </si>
  <si>
    <t>ORD10617</t>
  </si>
  <si>
    <t>CUST9487</t>
  </si>
  <si>
    <t>ORD10618</t>
  </si>
  <si>
    <t>CUST2204</t>
  </si>
  <si>
    <t>ORD10619</t>
  </si>
  <si>
    <t>CUST1011</t>
  </si>
  <si>
    <t>ORD10620</t>
  </si>
  <si>
    <t>CUST3983</t>
  </si>
  <si>
    <t>ORD10621</t>
  </si>
  <si>
    <t>CUST1119</t>
  </si>
  <si>
    <t>16:22</t>
  </si>
  <si>
    <t>ORD10622</t>
  </si>
  <si>
    <t>CUST8400</t>
  </si>
  <si>
    <t>22:58</t>
  </si>
  <si>
    <t>ORD10623</t>
  </si>
  <si>
    <t>CUST1741</t>
  </si>
  <si>
    <t>ORD10624</t>
  </si>
  <si>
    <t>CUST5491</t>
  </si>
  <si>
    <t>ORD10625</t>
  </si>
  <si>
    <t>ORD10626</t>
  </si>
  <si>
    <t>CUST8787</t>
  </si>
  <si>
    <t>20:15</t>
  </si>
  <si>
    <t>ORD10627</t>
  </si>
  <si>
    <t>CUST6235</t>
  </si>
  <si>
    <t>ORD10628</t>
  </si>
  <si>
    <t>CUST4647</t>
  </si>
  <si>
    <t>ORD10629</t>
  </si>
  <si>
    <t>CUST5099</t>
  </si>
  <si>
    <t>ORD10630</t>
  </si>
  <si>
    <t>CUST6179</t>
  </si>
  <si>
    <t>ORD10631</t>
  </si>
  <si>
    <t>CUST8603</t>
  </si>
  <si>
    <t>ORD10632</t>
  </si>
  <si>
    <t>CUST7985</t>
  </si>
  <si>
    <t>ORD10633</t>
  </si>
  <si>
    <t>CUST2360</t>
  </si>
  <si>
    <t>16:28</t>
  </si>
  <si>
    <t>ORD10634</t>
  </si>
  <si>
    <t>CUST2451</t>
  </si>
  <si>
    <t>ORD10635</t>
  </si>
  <si>
    <t>CUST3948</t>
  </si>
  <si>
    <t>16:21</t>
  </si>
  <si>
    <t>ORD10636</t>
  </si>
  <si>
    <t>CUST4241</t>
  </si>
  <si>
    <t>ORD10637</t>
  </si>
  <si>
    <t>CUST5614</t>
  </si>
  <si>
    <t>ORD10638</t>
  </si>
  <si>
    <t>CUST4178</t>
  </si>
  <si>
    <t>ORD10639</t>
  </si>
  <si>
    <t>CUST9722</t>
  </si>
  <si>
    <t>ORD10640</t>
  </si>
  <si>
    <t>CUST1103</t>
  </si>
  <si>
    <t>ORD10641</t>
  </si>
  <si>
    <t>CUST5685</t>
  </si>
  <si>
    <t>13:37</t>
  </si>
  <si>
    <t>ORD10642</t>
  </si>
  <si>
    <t>CUST9126</t>
  </si>
  <si>
    <t>ORD10643</t>
  </si>
  <si>
    <t>CUST5737</t>
  </si>
  <si>
    <t>22:55</t>
  </si>
  <si>
    <t>ORD10644</t>
  </si>
  <si>
    <t>CUST1541</t>
  </si>
  <si>
    <t>14:10</t>
  </si>
  <si>
    <t>ORD10645</t>
  </si>
  <si>
    <t>CUST9403</t>
  </si>
  <si>
    <t>ORD10646</t>
  </si>
  <si>
    <t>CUST6212</t>
  </si>
  <si>
    <t>ORD10647</t>
  </si>
  <si>
    <t>CUST6957</t>
  </si>
  <si>
    <t>20:23</t>
  </si>
  <si>
    <t>ORD10648</t>
  </si>
  <si>
    <t>CUST8649</t>
  </si>
  <si>
    <t>17:42</t>
  </si>
  <si>
    <t>ORD10649</t>
  </si>
  <si>
    <t>ORD10650</t>
  </si>
  <si>
    <t>CUST2646</t>
  </si>
  <si>
    <t>ORD10651</t>
  </si>
  <si>
    <t>CUST8877</t>
  </si>
  <si>
    <t>ORD10652</t>
  </si>
  <si>
    <t>CUST4610</t>
  </si>
  <si>
    <t>ORD10653</t>
  </si>
  <si>
    <t>CUST7241</t>
  </si>
  <si>
    <t>ORD10654</t>
  </si>
  <si>
    <t>CUST8565</t>
  </si>
  <si>
    <t>ORD10655</t>
  </si>
  <si>
    <t>15:12</t>
  </si>
  <si>
    <t>ORD10656</t>
  </si>
  <si>
    <t>CUST7140</t>
  </si>
  <si>
    <t>ORD10657</t>
  </si>
  <si>
    <t>CUST6967</t>
  </si>
  <si>
    <t>11:41</t>
  </si>
  <si>
    <t>ORD10658</t>
  </si>
  <si>
    <t>CUST9263</t>
  </si>
  <si>
    <t>ORD10659</t>
  </si>
  <si>
    <t>CUST1658</t>
  </si>
  <si>
    <t>14:16</t>
  </si>
  <si>
    <t>ORD10660</t>
  </si>
  <si>
    <t>CUST6031</t>
  </si>
  <si>
    <t>22:10</t>
  </si>
  <si>
    <t>ORD10661</t>
  </si>
  <si>
    <t>CUST5810</t>
  </si>
  <si>
    <t>ORD10662</t>
  </si>
  <si>
    <t>CUST9901</t>
  </si>
  <si>
    <t>15:41</t>
  </si>
  <si>
    <t>ORD10663</t>
  </si>
  <si>
    <t>CUST1879</t>
  </si>
  <si>
    <t>ORD10664</t>
  </si>
  <si>
    <t>CUST3385</t>
  </si>
  <si>
    <t>ORD10665</t>
  </si>
  <si>
    <t>CUST7264</t>
  </si>
  <si>
    <t>ORD10666</t>
  </si>
  <si>
    <t>CUST8451</t>
  </si>
  <si>
    <t>ORD10667</t>
  </si>
  <si>
    <t>CUST1913</t>
  </si>
  <si>
    <t>14:23</t>
  </si>
  <si>
    <t>ORD10668</t>
  </si>
  <si>
    <t>CUST6712</t>
  </si>
  <si>
    <t>22:29</t>
  </si>
  <si>
    <t>ORD10669</t>
  </si>
  <si>
    <t>CUST6835</t>
  </si>
  <si>
    <t>14:21</t>
  </si>
  <si>
    <t>ORD10670</t>
  </si>
  <si>
    <t>CUST9096</t>
  </si>
  <si>
    <t>20:53</t>
  </si>
  <si>
    <t>ORD10671</t>
  </si>
  <si>
    <t>CUST1648</t>
  </si>
  <si>
    <t>23:56</t>
  </si>
  <si>
    <t>ORD10672</t>
  </si>
  <si>
    <t>CUST5113</t>
  </si>
  <si>
    <t>13:33</t>
  </si>
  <si>
    <t>ORD10673</t>
  </si>
  <si>
    <t>CUST4703</t>
  </si>
  <si>
    <t>ORD10674</t>
  </si>
  <si>
    <t>CUST6125</t>
  </si>
  <si>
    <t>ORD10675</t>
  </si>
  <si>
    <t>CUST4632</t>
  </si>
  <si>
    <t>ORD10676</t>
  </si>
  <si>
    <t>13:12</t>
  </si>
  <si>
    <t>ORD10677</t>
  </si>
  <si>
    <t>CUST9814</t>
  </si>
  <si>
    <t>ORD10678</t>
  </si>
  <si>
    <t>CUST4291</t>
  </si>
  <si>
    <t>ORD10679</t>
  </si>
  <si>
    <t>CUST3060</t>
  </si>
  <si>
    <t>ORD10680</t>
  </si>
  <si>
    <t>CUST5284</t>
  </si>
  <si>
    <t>ORD10681</t>
  </si>
  <si>
    <t>CUST4158</t>
  </si>
  <si>
    <t>ORD10682</t>
  </si>
  <si>
    <t>CUST9312</t>
  </si>
  <si>
    <t>ORD10683</t>
  </si>
  <si>
    <t>CUST9966</t>
  </si>
  <si>
    <t>17:28</t>
  </si>
  <si>
    <t>ORD10684</t>
  </si>
  <si>
    <t>CUST5598</t>
  </si>
  <si>
    <t>ORD10685</t>
  </si>
  <si>
    <t>CUST2803</t>
  </si>
  <si>
    <t>21:20</t>
  </si>
  <si>
    <t>ORD10686</t>
  </si>
  <si>
    <t>CUST9030</t>
  </si>
  <si>
    <t>ORD10687</t>
  </si>
  <si>
    <t>CUST4045</t>
  </si>
  <si>
    <t>ORD10688</t>
  </si>
  <si>
    <t>CUST6199</t>
  </si>
  <si>
    <t>ORD10689</t>
  </si>
  <si>
    <t>CUST5602</t>
  </si>
  <si>
    <t>17:43</t>
  </si>
  <si>
    <t>ORD10690</t>
  </si>
  <si>
    <t>CUST1210</t>
  </si>
  <si>
    <t>ORD10691</t>
  </si>
  <si>
    <t>CUST2087</t>
  </si>
  <si>
    <t>11:40</t>
  </si>
  <si>
    <t>ORD10692</t>
  </si>
  <si>
    <t>CUST9960</t>
  </si>
  <si>
    <t>10:56</t>
  </si>
  <si>
    <t>ORD10693</t>
  </si>
  <si>
    <t>CUST1926</t>
  </si>
  <si>
    <t>18:46</t>
  </si>
  <si>
    <t>ORD10694</t>
  </si>
  <si>
    <t>CUST2075</t>
  </si>
  <si>
    <t>ORD10695</t>
  </si>
  <si>
    <t>CUST2145</t>
  </si>
  <si>
    <t>ORD10696</t>
  </si>
  <si>
    <t>CUST2929</t>
  </si>
  <si>
    <t>10:51</t>
  </si>
  <si>
    <t>ORD10697</t>
  </si>
  <si>
    <t>CUST5853</t>
  </si>
  <si>
    <t>18:23</t>
  </si>
  <si>
    <t>ORD10698</t>
  </si>
  <si>
    <t>CUST3163</t>
  </si>
  <si>
    <t>ORD10699</t>
  </si>
  <si>
    <t>CUST8161</t>
  </si>
  <si>
    <t>ORD10700</t>
  </si>
  <si>
    <t>CUST1940</t>
  </si>
  <si>
    <t>ORD10701</t>
  </si>
  <si>
    <t>CUST9207</t>
  </si>
  <si>
    <t>ORD10702</t>
  </si>
  <si>
    <t>CUST5300</t>
  </si>
  <si>
    <t>ORD10703</t>
  </si>
  <si>
    <t>CUST2852</t>
  </si>
  <si>
    <t>ORD10704</t>
  </si>
  <si>
    <t>CUST4613</t>
  </si>
  <si>
    <t>19:13</t>
  </si>
  <si>
    <t>ORD10705</t>
  </si>
  <si>
    <t>CUST1535</t>
  </si>
  <si>
    <t>16:50</t>
  </si>
  <si>
    <t>ORD10706</t>
  </si>
  <si>
    <t>CUST4760</t>
  </si>
  <si>
    <t>ORD10707</t>
  </si>
  <si>
    <t>CUST5301</t>
  </si>
  <si>
    <t>ORD10708</t>
  </si>
  <si>
    <t>CUST8389</t>
  </si>
  <si>
    <t>ORD10709</t>
  </si>
  <si>
    <t>CUST3302</t>
  </si>
  <si>
    <t>ORD10710</t>
  </si>
  <si>
    <t>CUST9862</t>
  </si>
  <si>
    <t>ORD10711</t>
  </si>
  <si>
    <t>ORD10712</t>
  </si>
  <si>
    <t>CUST1236</t>
  </si>
  <si>
    <t>ORD10713</t>
  </si>
  <si>
    <t>CUST6880</t>
  </si>
  <si>
    <t>ORD10714</t>
  </si>
  <si>
    <t>CUST6980</t>
  </si>
  <si>
    <t>11:43</t>
  </si>
  <si>
    <t>ORD10715</t>
  </si>
  <si>
    <t>CUST6650</t>
  </si>
  <si>
    <t>ORD10716</t>
  </si>
  <si>
    <t>CUST1206</t>
  </si>
  <si>
    <t>ORD10717</t>
  </si>
  <si>
    <t>CUST8514</t>
  </si>
  <si>
    <t>ORD10718</t>
  </si>
  <si>
    <t>CUST3246</t>
  </si>
  <si>
    <t>12:45</t>
  </si>
  <si>
    <t>ORD10719</t>
  </si>
  <si>
    <t>CUST2326</t>
  </si>
  <si>
    <t>22:25</t>
  </si>
  <si>
    <t>ORD10720</t>
  </si>
  <si>
    <t>CUST7320</t>
  </si>
  <si>
    <t>22:39</t>
  </si>
  <si>
    <t>ORD10721</t>
  </si>
  <si>
    <t>CUST3449</t>
  </si>
  <si>
    <t>ORD10722</t>
  </si>
  <si>
    <t>CUST5052</t>
  </si>
  <si>
    <t>17:13</t>
  </si>
  <si>
    <t>ORD10723</t>
  </si>
  <si>
    <t>CUST7020</t>
  </si>
  <si>
    <t>ORD10724</t>
  </si>
  <si>
    <t>CUST4303</t>
  </si>
  <si>
    <t>ORD10725</t>
  </si>
  <si>
    <t>CUST6913</t>
  </si>
  <si>
    <t>15:25</t>
  </si>
  <si>
    <t>ORD10726</t>
  </si>
  <si>
    <t>CUST5871</t>
  </si>
  <si>
    <t>11:16</t>
  </si>
  <si>
    <t>ORD10727</t>
  </si>
  <si>
    <t>CUST4885</t>
  </si>
  <si>
    <t>12:54</t>
  </si>
  <si>
    <t>ORD10728</t>
  </si>
  <si>
    <t>CUST7983</t>
  </si>
  <si>
    <t>ORD10729</t>
  </si>
  <si>
    <t>CUST7897</t>
  </si>
  <si>
    <t>16:59</t>
  </si>
  <si>
    <t>ORD10730</t>
  </si>
  <si>
    <t>CUST6442</t>
  </si>
  <si>
    <t>ORD10731</t>
  </si>
  <si>
    <t>CUST3896</t>
  </si>
  <si>
    <t>ORD10732</t>
  </si>
  <si>
    <t>CUST4344</t>
  </si>
  <si>
    <t>14:36</t>
  </si>
  <si>
    <t>ORD10733</t>
  </si>
  <si>
    <t>CUST6765</t>
  </si>
  <si>
    <t>10:53</t>
  </si>
  <si>
    <t>ORD10734</t>
  </si>
  <si>
    <t>CUST3697</t>
  </si>
  <si>
    <t>ORD10735</t>
  </si>
  <si>
    <t>CUST8691</t>
  </si>
  <si>
    <t>ORD10736</t>
  </si>
  <si>
    <t>CUST5004</t>
  </si>
  <si>
    <t>ORD10737</t>
  </si>
  <si>
    <t>CUST2251</t>
  </si>
  <si>
    <t>ORD10738</t>
  </si>
  <si>
    <t>CUST7395</t>
  </si>
  <si>
    <t>ORD10739</t>
  </si>
  <si>
    <t>CUST2856</t>
  </si>
  <si>
    <t>13:11</t>
  </si>
  <si>
    <t>ORD10740</t>
  </si>
  <si>
    <t>13:42</t>
  </si>
  <si>
    <t>ORD10741</t>
  </si>
  <si>
    <t>ORD10742</t>
  </si>
  <si>
    <t>CUST4246</t>
  </si>
  <si>
    <t>ORD10743</t>
  </si>
  <si>
    <t>CUST7081</t>
  </si>
  <si>
    <t>23:44</t>
  </si>
  <si>
    <t>ORD10744</t>
  </si>
  <si>
    <t>CUST6612</t>
  </si>
  <si>
    <t>ORD10745</t>
  </si>
  <si>
    <t>CUST2012</t>
  </si>
  <si>
    <t>23:59</t>
  </si>
  <si>
    <t>ORD10746</t>
  </si>
  <si>
    <t>CUST5710</t>
  </si>
  <si>
    <t>ORD10747</t>
  </si>
  <si>
    <t>CUST1846</t>
  </si>
  <si>
    <t>ORD10748</t>
  </si>
  <si>
    <t>CUST6495</t>
  </si>
  <si>
    <t>ORD10749</t>
  </si>
  <si>
    <t>CUST8022</t>
  </si>
  <si>
    <t>ORD10750</t>
  </si>
  <si>
    <t>CUST3165</t>
  </si>
  <si>
    <t>14:41</t>
  </si>
  <si>
    <t>ORD10751</t>
  </si>
  <si>
    <t>CUST6936</t>
  </si>
  <si>
    <t>ORD10752</t>
  </si>
  <si>
    <t>CUST2913</t>
  </si>
  <si>
    <t>ORD10753</t>
  </si>
  <si>
    <t>CUST6950</t>
  </si>
  <si>
    <t>ORD10754</t>
  </si>
  <si>
    <t>CUST2789</t>
  </si>
  <si>
    <t>20:39</t>
  </si>
  <si>
    <t>ORD10755</t>
  </si>
  <si>
    <t>CUST9592</t>
  </si>
  <si>
    <t>14:37</t>
  </si>
  <si>
    <t>ORD10756</t>
  </si>
  <si>
    <t>CUST7376</t>
  </si>
  <si>
    <t>14:27</t>
  </si>
  <si>
    <t>ORD10757</t>
  </si>
  <si>
    <t>CUST7915</t>
  </si>
  <si>
    <t>ORD10758</t>
  </si>
  <si>
    <t>CUST9460</t>
  </si>
  <si>
    <t>ORD10759</t>
  </si>
  <si>
    <t>CUST6246</t>
  </si>
  <si>
    <t>ORD10760</t>
  </si>
  <si>
    <t>CUST7965</t>
  </si>
  <si>
    <t>ORD10761</t>
  </si>
  <si>
    <t>CUST1949</t>
  </si>
  <si>
    <t>ORD10762</t>
  </si>
  <si>
    <t>13:52</t>
  </si>
  <si>
    <t>ORD10763</t>
  </si>
  <si>
    <t>CUST9558</t>
  </si>
  <si>
    <t>11:26</t>
  </si>
  <si>
    <t>ORD10764</t>
  </si>
  <si>
    <t>CUST4231</t>
  </si>
  <si>
    <t>ORD10765</t>
  </si>
  <si>
    <t>CUST1700</t>
  </si>
  <si>
    <t>17:49</t>
  </si>
  <si>
    <t>ORD10766</t>
  </si>
  <si>
    <t>CUST1189</t>
  </si>
  <si>
    <t>ORD10767</t>
  </si>
  <si>
    <t>CUST5806</t>
  </si>
  <si>
    <t>ORD10768</t>
  </si>
  <si>
    <t>CUST1919</t>
  </si>
  <si>
    <t>ORD10769</t>
  </si>
  <si>
    <t>CUST9378</t>
  </si>
  <si>
    <t>ORD10770</t>
  </si>
  <si>
    <t>CUST5276</t>
  </si>
  <si>
    <t>ORD10771</t>
  </si>
  <si>
    <t>CUST3628</t>
  </si>
  <si>
    <t>ORD10772</t>
  </si>
  <si>
    <t>CUST2561</t>
  </si>
  <si>
    <t>10:48</t>
  </si>
  <si>
    <t>ORD10773</t>
  </si>
  <si>
    <t>CUST3813</t>
  </si>
  <si>
    <t>ORD10774</t>
  </si>
  <si>
    <t>CUST2425</t>
  </si>
  <si>
    <t>ORD10775</t>
  </si>
  <si>
    <t>16:25</t>
  </si>
  <si>
    <t>ORD10776</t>
  </si>
  <si>
    <t>CUST9947</t>
  </si>
  <si>
    <t>22:18</t>
  </si>
  <si>
    <t>ORD10777</t>
  </si>
  <si>
    <t>CUST2902</t>
  </si>
  <si>
    <t>23:36</t>
  </si>
  <si>
    <t>ORD10778</t>
  </si>
  <si>
    <t>CUST6273</t>
  </si>
  <si>
    <t>ORD10779</t>
  </si>
  <si>
    <t>ORD10780</t>
  </si>
  <si>
    <t>CUST2823</t>
  </si>
  <si>
    <t>ORD10781</t>
  </si>
  <si>
    <t>CUST7049</t>
  </si>
  <si>
    <t>ORD10782</t>
  </si>
  <si>
    <t>CUST7002</t>
  </si>
  <si>
    <t>ORD10783</t>
  </si>
  <si>
    <t>CUST7452</t>
  </si>
  <si>
    <t>10:19</t>
  </si>
  <si>
    <t>ORD10784</t>
  </si>
  <si>
    <t>CUST1159</t>
  </si>
  <si>
    <t>12:48</t>
  </si>
  <si>
    <t>ORD10785</t>
  </si>
  <si>
    <t>CUST8547</t>
  </si>
  <si>
    <t>ORD10786</t>
  </si>
  <si>
    <t>CUST7268</t>
  </si>
  <si>
    <t>13:43</t>
  </si>
  <si>
    <t>ORD10787</t>
  </si>
  <si>
    <t>CUST5628</t>
  </si>
  <si>
    <t>ORD10788</t>
  </si>
  <si>
    <t>CUST8309</t>
  </si>
  <si>
    <t>ORD10789</t>
  </si>
  <si>
    <t>CUST6496</t>
  </si>
  <si>
    <t>ORD10790</t>
  </si>
  <si>
    <t>CUST4695</t>
  </si>
  <si>
    <t>ORD10791</t>
  </si>
  <si>
    <t>CUST6500</t>
  </si>
  <si>
    <t>17:15</t>
  </si>
  <si>
    <t>ORD10792</t>
  </si>
  <si>
    <t>CUST1057</t>
  </si>
  <si>
    <t>ORD10793</t>
  </si>
  <si>
    <t>CUST3121</t>
  </si>
  <si>
    <t>21:42</t>
  </si>
  <si>
    <t>ORD10794</t>
  </si>
  <si>
    <t>ORD10795</t>
  </si>
  <si>
    <t>ORD10796</t>
  </si>
  <si>
    <t>CUST1704</t>
  </si>
  <si>
    <t>ORD10797</t>
  </si>
  <si>
    <t>CUST3698</t>
  </si>
  <si>
    <t>12:40</t>
  </si>
  <si>
    <t>ORD10798</t>
  </si>
  <si>
    <t>CUST2263</t>
  </si>
  <si>
    <t>ORD10799</t>
  </si>
  <si>
    <t>CUST5403</t>
  </si>
  <si>
    <t>ORD10800</t>
  </si>
  <si>
    <t>CUST3447</t>
  </si>
  <si>
    <t>16:14</t>
  </si>
  <si>
    <t>ORD10801</t>
  </si>
  <si>
    <t>CUST9432</t>
  </si>
  <si>
    <t>ORD10802</t>
  </si>
  <si>
    <t>CUST8802</t>
  </si>
  <si>
    <t>ORD10803</t>
  </si>
  <si>
    <t>CUST8287</t>
  </si>
  <si>
    <t>10:57</t>
  </si>
  <si>
    <t>ORD10804</t>
  </si>
  <si>
    <t>CUST9341</t>
  </si>
  <si>
    <t>ORD10805</t>
  </si>
  <si>
    <t>CUST4398</t>
  </si>
  <si>
    <t>18:58</t>
  </si>
  <si>
    <t>ORD10806</t>
  </si>
  <si>
    <t>CUST5418</t>
  </si>
  <si>
    <t>23:30</t>
  </si>
  <si>
    <t>ORD10807</t>
  </si>
  <si>
    <t>CUST7561</t>
  </si>
  <si>
    <t>ORD10808</t>
  </si>
  <si>
    <t>CUST9199</t>
  </si>
  <si>
    <t>ORD10809</t>
  </si>
  <si>
    <t>CUST9950</t>
  </si>
  <si>
    <t>19:27</t>
  </si>
  <si>
    <t>ORD10810</t>
  </si>
  <si>
    <t>CUST2770</t>
  </si>
  <si>
    <t>ORD10811</t>
  </si>
  <si>
    <t>CUST4067</t>
  </si>
  <si>
    <t>ORD10812</t>
  </si>
  <si>
    <t>CUST8754</t>
  </si>
  <si>
    <t>10:26</t>
  </si>
  <si>
    <t>ORD10813</t>
  </si>
  <si>
    <t>CUST7242</t>
  </si>
  <si>
    <t>ORD10814</t>
  </si>
  <si>
    <t>CUST8094</t>
  </si>
  <si>
    <t>18:47</t>
  </si>
  <si>
    <t>ORD10815</t>
  </si>
  <si>
    <t>CUST2223</t>
  </si>
  <si>
    <t>ORD10816</t>
  </si>
  <si>
    <t>CUST2978</t>
  </si>
  <si>
    <t>18:25</t>
  </si>
  <si>
    <t>ORD10817</t>
  </si>
  <si>
    <t>CUST4502</t>
  </si>
  <si>
    <t>ORD10818</t>
  </si>
  <si>
    <t>19:22</t>
  </si>
  <si>
    <t>ORD10819</t>
  </si>
  <si>
    <t>CUST1110</t>
  </si>
  <si>
    <t>ORD10820</t>
  </si>
  <si>
    <t>ORD10821</t>
  </si>
  <si>
    <t>CUST1495</t>
  </si>
  <si>
    <t>16:41</t>
  </si>
  <si>
    <t>ORD10822</t>
  </si>
  <si>
    <t>CUST5457</t>
  </si>
  <si>
    <t>ORD10823</t>
  </si>
  <si>
    <t>CUST8647</t>
  </si>
  <si>
    <t>ORD10824</t>
  </si>
  <si>
    <t>CUST9115</t>
  </si>
  <si>
    <t>ORD10825</t>
  </si>
  <si>
    <t>CUST7508</t>
  </si>
  <si>
    <t>12:42</t>
  </si>
  <si>
    <t>ORD10826</t>
  </si>
  <si>
    <t>CUST6157</t>
  </si>
  <si>
    <t>15:59</t>
  </si>
  <si>
    <t>ORD10827</t>
  </si>
  <si>
    <t>CUST4504</t>
  </si>
  <si>
    <t>ORD10828</t>
  </si>
  <si>
    <t>CUST5224</t>
  </si>
  <si>
    <t>ORD10829</t>
  </si>
  <si>
    <t>CUST3851</t>
  </si>
  <si>
    <t>ORD10830</t>
  </si>
  <si>
    <t>CUST4844</t>
  </si>
  <si>
    <t>12:30</t>
  </si>
  <si>
    <t>ORD10831</t>
  </si>
  <si>
    <t>CUST3880</t>
  </si>
  <si>
    <t>ORD10832</t>
  </si>
  <si>
    <t>CUST5372</t>
  </si>
  <si>
    <t>ORD10833</t>
  </si>
  <si>
    <t>CUST1073</t>
  </si>
  <si>
    <t>ORD10834</t>
  </si>
  <si>
    <t>CUST1527</t>
  </si>
  <si>
    <t>22:23</t>
  </si>
  <si>
    <t>ORD10835</t>
  </si>
  <si>
    <t>CUST2011</t>
  </si>
  <si>
    <t>15:51</t>
  </si>
  <si>
    <t>ORD10836</t>
  </si>
  <si>
    <t>CUST2777</t>
  </si>
  <si>
    <t>10:33</t>
  </si>
  <si>
    <t>ORD10837</t>
  </si>
  <si>
    <t>CUST2763</t>
  </si>
  <si>
    <t>ORD10838</t>
  </si>
  <si>
    <t>CUST1625</t>
  </si>
  <si>
    <t>ORD10839</t>
  </si>
  <si>
    <t>CUST1781</t>
  </si>
  <si>
    <t>ORD10840</t>
  </si>
  <si>
    <t>CUST3837</t>
  </si>
  <si>
    <t>21:33</t>
  </si>
  <si>
    <t>ORD10841</t>
  </si>
  <si>
    <t>CUST6478</t>
  </si>
  <si>
    <t>15:44</t>
  </si>
  <si>
    <t>ORD10842</t>
  </si>
  <si>
    <t>23:46</t>
  </si>
  <si>
    <t>ORD10843</t>
  </si>
  <si>
    <t>CUST5138</t>
  </si>
  <si>
    <t>ORD10844</t>
  </si>
  <si>
    <t>CUST9546</t>
  </si>
  <si>
    <t>ORD10845</t>
  </si>
  <si>
    <t>CUST3285</t>
  </si>
  <si>
    <t>ORD10846</t>
  </si>
  <si>
    <t>ORD10847</t>
  </si>
  <si>
    <t>CUST6954</t>
  </si>
  <si>
    <t>ORD10848</t>
  </si>
  <si>
    <t>CUST9731</t>
  </si>
  <si>
    <t>ORD10849</t>
  </si>
  <si>
    <t>ORD10850</t>
  </si>
  <si>
    <t>CUST8104</t>
  </si>
  <si>
    <t>ORD10851</t>
  </si>
  <si>
    <t>CUST7390</t>
  </si>
  <si>
    <t>11:39</t>
  </si>
  <si>
    <t>ORD10852</t>
  </si>
  <si>
    <t>CUST4950</t>
  </si>
  <si>
    <t>ORD10853</t>
  </si>
  <si>
    <t>CUST8252</t>
  </si>
  <si>
    <t>ORD10854</t>
  </si>
  <si>
    <t>CUST4976</t>
  </si>
  <si>
    <t>ORD10855</t>
  </si>
  <si>
    <t>CUST8850</t>
  </si>
  <si>
    <t>ORD10856</t>
  </si>
  <si>
    <t>CUST1996</t>
  </si>
  <si>
    <t>ORD10857</t>
  </si>
  <si>
    <t>ORD10858</t>
  </si>
  <si>
    <t>CUST7995</t>
  </si>
  <si>
    <t>ORD10859</t>
  </si>
  <si>
    <t>CUST3312</t>
  </si>
  <si>
    <t>ORD10860</t>
  </si>
  <si>
    <t>CUST3659</t>
  </si>
  <si>
    <t>ORD10861</t>
  </si>
  <si>
    <t>CUST1934</t>
  </si>
  <si>
    <t>ORD10862</t>
  </si>
  <si>
    <t>CUST5314</t>
  </si>
  <si>
    <t>ORD10863</t>
  </si>
  <si>
    <t>CUST3719</t>
  </si>
  <si>
    <t>ORD10864</t>
  </si>
  <si>
    <t>CUST8767</t>
  </si>
  <si>
    <t>ORD10865</t>
  </si>
  <si>
    <t>CUST1498</t>
  </si>
  <si>
    <t>ORD10866</t>
  </si>
  <si>
    <t>CUST6690</t>
  </si>
  <si>
    <t>10:23</t>
  </si>
  <si>
    <t>ORD10867</t>
  </si>
  <si>
    <t>CUST4598</t>
  </si>
  <si>
    <t>ORD10868</t>
  </si>
  <si>
    <t>CUST6352</t>
  </si>
  <si>
    <t>20:43</t>
  </si>
  <si>
    <t>ORD10869</t>
  </si>
  <si>
    <t>CUST2866</t>
  </si>
  <si>
    <t>18:57</t>
  </si>
  <si>
    <t>ORD10870</t>
  </si>
  <si>
    <t>CUST5140</t>
  </si>
  <si>
    <t>ORD10871</t>
  </si>
  <si>
    <t>CUST5615</t>
  </si>
  <si>
    <t>ORD10872</t>
  </si>
  <si>
    <t>CUST1821</t>
  </si>
  <si>
    <t>21:53</t>
  </si>
  <si>
    <t>ORD10873</t>
  </si>
  <si>
    <t>CUST2124</t>
  </si>
  <si>
    <t>ORD10874</t>
  </si>
  <si>
    <t>CUST3412</t>
  </si>
  <si>
    <t>19:37</t>
  </si>
  <si>
    <t>ORD10875</t>
  </si>
  <si>
    <t>CUST8103</t>
  </si>
  <si>
    <t>ORD10876</t>
  </si>
  <si>
    <t>CUST6062</t>
  </si>
  <si>
    <t>ORD10877</t>
  </si>
  <si>
    <t>CUST5540</t>
  </si>
  <si>
    <t>ORD10878</t>
  </si>
  <si>
    <t>CUST6018</t>
  </si>
  <si>
    <t>13:44</t>
  </si>
  <si>
    <t>ORD10879</t>
  </si>
  <si>
    <t>CUST6446</t>
  </si>
  <si>
    <t>ORD10880</t>
  </si>
  <si>
    <t>CUST9876</t>
  </si>
  <si>
    <t>ORD10881</t>
  </si>
  <si>
    <t>CUST2971</t>
  </si>
  <si>
    <t>ORD10882</t>
  </si>
  <si>
    <t>CUST2321</t>
  </si>
  <si>
    <t>ORD10883</t>
  </si>
  <si>
    <t>CUST2722</t>
  </si>
  <si>
    <t>16:16</t>
  </si>
  <si>
    <t>ORD10884</t>
  </si>
  <si>
    <t>CUST4328</t>
  </si>
  <si>
    <t>11:45</t>
  </si>
  <si>
    <t>ORD10885</t>
  </si>
  <si>
    <t>22:54</t>
  </si>
  <si>
    <t>ORD10886</t>
  </si>
  <si>
    <t>CUST5131</t>
  </si>
  <si>
    <t>ORD10887</t>
  </si>
  <si>
    <t>CUST4378</t>
  </si>
  <si>
    <t>23:31</t>
  </si>
  <si>
    <t>ORD10888</t>
  </si>
  <si>
    <t>CUST2368</t>
  </si>
  <si>
    <t>ORD10889</t>
  </si>
  <si>
    <t>CUST8552</t>
  </si>
  <si>
    <t>16:10</t>
  </si>
  <si>
    <t>ORD10890</t>
  </si>
  <si>
    <t>CUST1469</t>
  </si>
  <si>
    <t>18:43</t>
  </si>
  <si>
    <t>ORD10891</t>
  </si>
  <si>
    <t>CUST3596</t>
  </si>
  <si>
    <t>15:31</t>
  </si>
  <si>
    <t>ORD10892</t>
  </si>
  <si>
    <t>CUST2746</t>
  </si>
  <si>
    <t>ORD10893</t>
  </si>
  <si>
    <t>CUST6629</t>
  </si>
  <si>
    <t>ORD10894</t>
  </si>
  <si>
    <t>CUST6423</t>
  </si>
  <si>
    <t>ORD10895</t>
  </si>
  <si>
    <t>CUST4382</t>
  </si>
  <si>
    <t>ORD10896</t>
  </si>
  <si>
    <t>CUST1556</t>
  </si>
  <si>
    <t>ORD10897</t>
  </si>
  <si>
    <t>CUST5392</t>
  </si>
  <si>
    <t>ORD10898</t>
  </si>
  <si>
    <t>CUST4251</t>
  </si>
  <si>
    <t>ORD10899</t>
  </si>
  <si>
    <t>CUST3073</t>
  </si>
  <si>
    <t>18:19</t>
  </si>
  <si>
    <t>ORD10900</t>
  </si>
  <si>
    <t>CUST9049</t>
  </si>
  <si>
    <t>ORD10901</t>
  </si>
  <si>
    <t>CUST3105</t>
  </si>
  <si>
    <t>ORD10902</t>
  </si>
  <si>
    <t>ORD10903</t>
  </si>
  <si>
    <t>CUST5698</t>
  </si>
  <si>
    <t>ORD10904</t>
  </si>
  <si>
    <t>CUST9233</t>
  </si>
  <si>
    <t>14:38</t>
  </si>
  <si>
    <t>ORD10905</t>
  </si>
  <si>
    <t>CUST6983</t>
  </si>
  <si>
    <t>ORD10906</t>
  </si>
  <si>
    <t>CUST7250</t>
  </si>
  <si>
    <t>ORD10907</t>
  </si>
  <si>
    <t>CUST6872</t>
  </si>
  <si>
    <t>13:48</t>
  </si>
  <si>
    <t>ORD10908</t>
  </si>
  <si>
    <t>CUST7899</t>
  </si>
  <si>
    <t>ORD10909</t>
  </si>
  <si>
    <t>CUST9282</t>
  </si>
  <si>
    <t>ORD10910</t>
  </si>
  <si>
    <t>CUST6247</t>
  </si>
  <si>
    <t>ORD10911</t>
  </si>
  <si>
    <t>ORD10912</t>
  </si>
  <si>
    <t>ORD10913</t>
  </si>
  <si>
    <t>CUST9509</t>
  </si>
  <si>
    <t>ORD10914</t>
  </si>
  <si>
    <t>CUST7113</t>
  </si>
  <si>
    <t>ORD10915</t>
  </si>
  <si>
    <t>CUST6543</t>
  </si>
  <si>
    <t>ORD10916</t>
  </si>
  <si>
    <t>CUST1749</t>
  </si>
  <si>
    <t>15:52</t>
  </si>
  <si>
    <t>ORD10917</t>
  </si>
  <si>
    <t>CUST7808</t>
  </si>
  <si>
    <t>ORD10918</t>
  </si>
  <si>
    <t>CUST1481</t>
  </si>
  <si>
    <t>17:10</t>
  </si>
  <si>
    <t>ORD10919</t>
  </si>
  <si>
    <t>CUST9480</t>
  </si>
  <si>
    <t>ORD10920</t>
  </si>
  <si>
    <t>CUST5651</t>
  </si>
  <si>
    <t>ORD10921</t>
  </si>
  <si>
    <t>CUST9466</t>
  </si>
  <si>
    <t>ORD10922</t>
  </si>
  <si>
    <t>CUST2086</t>
  </si>
  <si>
    <t>15:36</t>
  </si>
  <si>
    <t>ORD10923</t>
  </si>
  <si>
    <t>CUST5155</t>
  </si>
  <si>
    <t>14:14</t>
  </si>
  <si>
    <t>ORD10924</t>
  </si>
  <si>
    <t>CUST5387</t>
  </si>
  <si>
    <t>ORD10925</t>
  </si>
  <si>
    <t>CUST8386</t>
  </si>
  <si>
    <t>ORD10926</t>
  </si>
  <si>
    <t>CUST4868</t>
  </si>
  <si>
    <t>ORD10927</t>
  </si>
  <si>
    <t>CUST8091</t>
  </si>
  <si>
    <t>ORD10928</t>
  </si>
  <si>
    <t>10:37</t>
  </si>
  <si>
    <t>ORD10929</t>
  </si>
  <si>
    <t>CUST2151</t>
  </si>
  <si>
    <t>ORD10930</t>
  </si>
  <si>
    <t>CUST1078</t>
  </si>
  <si>
    <t>ORD10931</t>
  </si>
  <si>
    <t>CUST3452</t>
  </si>
  <si>
    <t>20:14</t>
  </si>
  <si>
    <t>ORD10932</t>
  </si>
  <si>
    <t>CUST2962</t>
  </si>
  <si>
    <t>ORD10933</t>
  </si>
  <si>
    <t>CUST6492</t>
  </si>
  <si>
    <t>14:49</t>
  </si>
  <si>
    <t>ORD10934</t>
  </si>
  <si>
    <t>CUST2975</t>
  </si>
  <si>
    <t>ORD10935</t>
  </si>
  <si>
    <t>CUST4071</t>
  </si>
  <si>
    <t>ORD10936</t>
  </si>
  <si>
    <t>ORD10937</t>
  </si>
  <si>
    <t>CUST7927</t>
  </si>
  <si>
    <t>ORD10938</t>
  </si>
  <si>
    <t>CUST6234</t>
  </si>
  <si>
    <t>ORD10939</t>
  </si>
  <si>
    <t>CUST2184</t>
  </si>
  <si>
    <t>ORD10940</t>
  </si>
  <si>
    <t>CUST1131</t>
  </si>
  <si>
    <t>ORD10941</t>
  </si>
  <si>
    <t>CUST8011</t>
  </si>
  <si>
    <t>ORD10942</t>
  </si>
  <si>
    <t>CUST9949</t>
  </si>
  <si>
    <t>ORD10943</t>
  </si>
  <si>
    <t>CUST8416</t>
  </si>
  <si>
    <t>ORD10944</t>
  </si>
  <si>
    <t>CUST1412</t>
  </si>
  <si>
    <t>ORD10945</t>
  </si>
  <si>
    <t>CUST6615</t>
  </si>
  <si>
    <t>ORD10946</t>
  </si>
  <si>
    <t>CUST7618</t>
  </si>
  <si>
    <t>ORD10947</t>
  </si>
  <si>
    <t>CUST6006</t>
  </si>
  <si>
    <t>ORD10948</t>
  </si>
  <si>
    <t>ORD10949</t>
  </si>
  <si>
    <t>CUST8855</t>
  </si>
  <si>
    <t>ORD10950</t>
  </si>
  <si>
    <t>CUST2802</t>
  </si>
  <si>
    <t>ORD10951</t>
  </si>
  <si>
    <t>CUST9169</t>
  </si>
  <si>
    <t>ORD10952</t>
  </si>
  <si>
    <t>CUST9908</t>
  </si>
  <si>
    <t>14:32</t>
  </si>
  <si>
    <t>ORD10953</t>
  </si>
  <si>
    <t>CUST2379</t>
  </si>
  <si>
    <t>ORD10954</t>
  </si>
  <si>
    <t>CUST2618</t>
  </si>
  <si>
    <t>14:19</t>
  </si>
  <si>
    <t>ORD10955</t>
  </si>
  <si>
    <t>CUST3976</t>
  </si>
  <si>
    <t>ORD10956</t>
  </si>
  <si>
    <t>CUST3106</t>
  </si>
  <si>
    <t>ORD10957</t>
  </si>
  <si>
    <t>CUST5550</t>
  </si>
  <si>
    <t>ORD10958</t>
  </si>
  <si>
    <t>CUST2687</t>
  </si>
  <si>
    <t>ORD10959</t>
  </si>
  <si>
    <t>CUST1120</t>
  </si>
  <si>
    <t>13:14</t>
  </si>
  <si>
    <t>ORD10960</t>
  </si>
  <si>
    <t>CUST4568</t>
  </si>
  <si>
    <t>15:15</t>
  </si>
  <si>
    <t>ORD10961</t>
  </si>
  <si>
    <t>CUST6839</t>
  </si>
  <si>
    <t>ORD10962</t>
  </si>
  <si>
    <t>CUST7227</t>
  </si>
  <si>
    <t>ORD10963</t>
  </si>
  <si>
    <t>CUST4570</t>
  </si>
  <si>
    <t>ORD10964</t>
  </si>
  <si>
    <t>CUST7684</t>
  </si>
  <si>
    <t>ORD10965</t>
  </si>
  <si>
    <t>CUST6142</t>
  </si>
  <si>
    <t>ORD10966</t>
  </si>
  <si>
    <t>CUST4083</t>
  </si>
  <si>
    <t>ORD10967</t>
  </si>
  <si>
    <t>CUST7332</t>
  </si>
  <si>
    <t>ORD10968</t>
  </si>
  <si>
    <t>CUST1778</t>
  </si>
  <si>
    <t>ORD10969</t>
  </si>
  <si>
    <t>CUST5745</t>
  </si>
  <si>
    <t>ORD10970</t>
  </si>
  <si>
    <t>CUST3309</t>
  </si>
  <si>
    <t>21:48</t>
  </si>
  <si>
    <t>ORD10971</t>
  </si>
  <si>
    <t>CUST8490</t>
  </si>
  <si>
    <t>23:33</t>
  </si>
  <si>
    <t>ORD10972</t>
  </si>
  <si>
    <t>CUST2943</t>
  </si>
  <si>
    <t>ORD10973</t>
  </si>
  <si>
    <t>CUST3486</t>
  </si>
  <si>
    <t>ORD10974</t>
  </si>
  <si>
    <t>CUST8535</t>
  </si>
  <si>
    <t>17:52</t>
  </si>
  <si>
    <t>ORD10975</t>
  </si>
  <si>
    <t>CUST5274</t>
  </si>
  <si>
    <t>ORD10976</t>
  </si>
  <si>
    <t>CUST9425</t>
  </si>
  <si>
    <t>ORD10977</t>
  </si>
  <si>
    <t>CUST2799</t>
  </si>
  <si>
    <t>ORD10978</t>
  </si>
  <si>
    <t>CUST3022</t>
  </si>
  <si>
    <t>ORD10979</t>
  </si>
  <si>
    <t>ORD10980</t>
  </si>
  <si>
    <t>CUST9219</t>
  </si>
  <si>
    <t>ORD10981</t>
  </si>
  <si>
    <t>CUST2550</t>
  </si>
  <si>
    <t>ORD10982</t>
  </si>
  <si>
    <t>CUST9954</t>
  </si>
  <si>
    <t>ORD10983</t>
  </si>
  <si>
    <t>19:31</t>
  </si>
  <si>
    <t>ORD10984</t>
  </si>
  <si>
    <t>CUST7496</t>
  </si>
  <si>
    <t>ORD10985</t>
  </si>
  <si>
    <t>CUST5881</t>
  </si>
  <si>
    <t>15:58</t>
  </si>
  <si>
    <t>ORD10986</t>
  </si>
  <si>
    <t>CUST4049</t>
  </si>
  <si>
    <t>23:34</t>
  </si>
  <si>
    <t>ORD10987</t>
  </si>
  <si>
    <t>CUST1219</t>
  </si>
  <si>
    <t>ORD10988</t>
  </si>
  <si>
    <t>CUST2860</t>
  </si>
  <si>
    <t>ORD10989</t>
  </si>
  <si>
    <t>CUST1964</t>
  </si>
  <si>
    <t>23:20</t>
  </si>
  <si>
    <t>ORD10990</t>
  </si>
  <si>
    <t>CUST9798</t>
  </si>
  <si>
    <t>ORD10991</t>
  </si>
  <si>
    <t>CUST4177</t>
  </si>
  <si>
    <t>11:53</t>
  </si>
  <si>
    <t>ORD10992</t>
  </si>
  <si>
    <t>CUST5514</t>
  </si>
  <si>
    <t>ORD10993</t>
  </si>
  <si>
    <t>CUST1538</t>
  </si>
  <si>
    <t>ORD10994</t>
  </si>
  <si>
    <t>11:28</t>
  </si>
  <si>
    <t>ORD10995</t>
  </si>
  <si>
    <t>CUST9727</t>
  </si>
  <si>
    <t>14:12</t>
  </si>
  <si>
    <t>ORD10996</t>
  </si>
  <si>
    <t>CUST6874</t>
  </si>
  <si>
    <t>ORD10997</t>
  </si>
  <si>
    <t>CUST1275</t>
  </si>
  <si>
    <t>ORD10998</t>
  </si>
  <si>
    <t>CUST8745</t>
  </si>
  <si>
    <t>ORD10999</t>
  </si>
  <si>
    <t>CUST8605</t>
  </si>
  <si>
    <t>ORD11000</t>
  </si>
  <si>
    <t>CUST1111</t>
  </si>
  <si>
    <t>ORD11001</t>
  </si>
  <si>
    <t>CUST4810</t>
  </si>
  <si>
    <t>ORD11002</t>
  </si>
  <si>
    <t>ORD11003</t>
  </si>
  <si>
    <t>CUST4672</t>
  </si>
  <si>
    <t>17:19</t>
  </si>
  <si>
    <t>ORD11004</t>
  </si>
  <si>
    <t>CUST8894</t>
  </si>
  <si>
    <t>ORD11005</t>
  </si>
  <si>
    <t>CUST5006</t>
  </si>
  <si>
    <t>ORD11006</t>
  </si>
  <si>
    <t>CUST6871</t>
  </si>
  <si>
    <t>19:34</t>
  </si>
  <si>
    <t>ORD11007</t>
  </si>
  <si>
    <t>CUST9526</t>
  </si>
  <si>
    <t>ORD11008</t>
  </si>
  <si>
    <t>CUST3736</t>
  </si>
  <si>
    <t>ORD11009</t>
  </si>
  <si>
    <t>CUST6592</t>
  </si>
  <si>
    <t>ORD11010</t>
  </si>
  <si>
    <t>CUST8887</t>
  </si>
  <si>
    <t>ORD11011</t>
  </si>
  <si>
    <t>CUST8544</t>
  </si>
  <si>
    <t>ORD11012</t>
  </si>
  <si>
    <t>CUST7832</t>
  </si>
  <si>
    <t>ORD11013</t>
  </si>
  <si>
    <t>CUST8419</t>
  </si>
  <si>
    <t>ORD11014</t>
  </si>
  <si>
    <t>CUST8950</t>
  </si>
  <si>
    <t>ORD11015</t>
  </si>
  <si>
    <t>CUST6130</t>
  </si>
  <si>
    <t>ORD11016</t>
  </si>
  <si>
    <t>CUST6652</t>
  </si>
  <si>
    <t>ORD11017</t>
  </si>
  <si>
    <t>CUST5674</t>
  </si>
  <si>
    <t>19:21</t>
  </si>
  <si>
    <t>ORD11018</t>
  </si>
  <si>
    <t>CUST7868</t>
  </si>
  <si>
    <t>ORD11019</t>
  </si>
  <si>
    <t>CUST3621</t>
  </si>
  <si>
    <t>ORD11020</t>
  </si>
  <si>
    <t>CUST2598</t>
  </si>
  <si>
    <t>10:46</t>
  </si>
  <si>
    <t>ORD11021</t>
  </si>
  <si>
    <t>ORD11022</t>
  </si>
  <si>
    <t>CUST8175</t>
  </si>
  <si>
    <t>ORD11023</t>
  </si>
  <si>
    <t>CUST4841</t>
  </si>
  <si>
    <t>ORD11024</t>
  </si>
  <si>
    <t>CUST7181</t>
  </si>
  <si>
    <t>ORD11025</t>
  </si>
  <si>
    <t>CUST7855</t>
  </si>
  <si>
    <t>11:18</t>
  </si>
  <si>
    <t>ORD11026</t>
  </si>
  <si>
    <t>CUST8351</t>
  </si>
  <si>
    <t>ORD11027</t>
  </si>
  <si>
    <t>ORD11028</t>
  </si>
  <si>
    <t>CUST8372</t>
  </si>
  <si>
    <t>ORD11029</t>
  </si>
  <si>
    <t>CUST4894</t>
  </si>
  <si>
    <t>ORD11030</t>
  </si>
  <si>
    <t>CUST3907</t>
  </si>
  <si>
    <t>ORD11031</t>
  </si>
  <si>
    <t>ORD11032</t>
  </si>
  <si>
    <t>CUST9809</t>
  </si>
  <si>
    <t>ORD11033</t>
  </si>
  <si>
    <t>CUST1435</t>
  </si>
  <si>
    <t>13:16</t>
  </si>
  <si>
    <t>ORD11034</t>
  </si>
  <si>
    <t>CUST4801</t>
  </si>
  <si>
    <t>ORD11035</t>
  </si>
  <si>
    <t>CUST2219</t>
  </si>
  <si>
    <t>ORD11036</t>
  </si>
  <si>
    <t>CUST4544</t>
  </si>
  <si>
    <t>ORD11037</t>
  </si>
  <si>
    <t>CUST4054</t>
  </si>
  <si>
    <t>ORD11038</t>
  </si>
  <si>
    <t>CUST5370</t>
  </si>
  <si>
    <t>ORD11039</t>
  </si>
  <si>
    <t>CUST1464</t>
  </si>
  <si>
    <t>22:17</t>
  </si>
  <si>
    <t>ORD11040</t>
  </si>
  <si>
    <t>CUST5450</t>
  </si>
  <si>
    <t>ORD11041</t>
  </si>
  <si>
    <t>CUST9622</t>
  </si>
  <si>
    <t>ORD11042</t>
  </si>
  <si>
    <t>CUST1795</t>
  </si>
  <si>
    <t>ORD11043</t>
  </si>
  <si>
    <t>CUST7114</t>
  </si>
  <si>
    <t>ORD11044</t>
  </si>
  <si>
    <t>CUST4101</t>
  </si>
  <si>
    <t>ORD11045</t>
  </si>
  <si>
    <t>CUST2032</t>
  </si>
  <si>
    <t>ORD11046</t>
  </si>
  <si>
    <t>CUST9106</t>
  </si>
  <si>
    <t>ORD11047</t>
  </si>
  <si>
    <t>CUST6165</t>
  </si>
  <si>
    <t>ORD11048</t>
  </si>
  <si>
    <t>CUST2024</t>
  </si>
  <si>
    <t>ORD11049</t>
  </si>
  <si>
    <t>CUST9280</t>
  </si>
  <si>
    <t>ORD11050</t>
  </si>
  <si>
    <t>CUST5306</t>
  </si>
  <si>
    <t>ORD11051</t>
  </si>
  <si>
    <t>ORD11052</t>
  </si>
  <si>
    <t>CUST7035</t>
  </si>
  <si>
    <t>ORD11053</t>
  </si>
  <si>
    <t>CUST8874</t>
  </si>
  <si>
    <t>ORD11054</t>
  </si>
  <si>
    <t>CUST6523</t>
  </si>
  <si>
    <t>20:18</t>
  </si>
  <si>
    <t>ORD11055</t>
  </si>
  <si>
    <t>CUST1001</t>
  </si>
  <si>
    <t>16:40</t>
  </si>
  <si>
    <t>ORD11056</t>
  </si>
  <si>
    <t>CUST5889</t>
  </si>
  <si>
    <t>ORD11057</t>
  </si>
  <si>
    <t>CUST4693</t>
  </si>
  <si>
    <t>ORD11058</t>
  </si>
  <si>
    <t>CUST9544</t>
  </si>
  <si>
    <t>13:17</t>
  </si>
  <si>
    <t>ORD11059</t>
  </si>
  <si>
    <t>CUST4392</t>
  </si>
  <si>
    <t>ORD11060</t>
  </si>
  <si>
    <t>CUST5453</t>
  </si>
  <si>
    <t>ORD11061</t>
  </si>
  <si>
    <t>CUST6318</t>
  </si>
  <si>
    <t>21:31</t>
  </si>
  <si>
    <t>ORD11062</t>
  </si>
  <si>
    <t>CUST1146</t>
  </si>
  <si>
    <t>ORD11063</t>
  </si>
  <si>
    <t>CUST8891</t>
  </si>
  <si>
    <t>ORD11064</t>
  </si>
  <si>
    <t>CUST1408</t>
  </si>
  <si>
    <t>ORD11065</t>
  </si>
  <si>
    <t>CUST5779</t>
  </si>
  <si>
    <t>21:22</t>
  </si>
  <si>
    <t>ORD11066</t>
  </si>
  <si>
    <t>CUST6004</t>
  </si>
  <si>
    <t>22:14</t>
  </si>
  <si>
    <t>ORD11067</t>
  </si>
  <si>
    <t>CUST9306</t>
  </si>
  <si>
    <t>ORD11068</t>
  </si>
  <si>
    <t>CUST7009</t>
  </si>
  <si>
    <t>ORD11069</t>
  </si>
  <si>
    <t>CUST6788</t>
  </si>
  <si>
    <t>ORD11070</t>
  </si>
  <si>
    <t>ORD11071</t>
  </si>
  <si>
    <t>ORD11072</t>
  </si>
  <si>
    <t>CUST6490</t>
  </si>
  <si>
    <t>ORD11073</t>
  </si>
  <si>
    <t>CUST8609</t>
  </si>
  <si>
    <t>ORD11074</t>
  </si>
  <si>
    <t>CUST8325</t>
  </si>
  <si>
    <t>ORD11075</t>
  </si>
  <si>
    <t>CUST4155</t>
  </si>
  <si>
    <t>ORD11076</t>
  </si>
  <si>
    <t>CUST9148</t>
  </si>
  <si>
    <t>14:17</t>
  </si>
  <si>
    <t>ORD11077</t>
  </si>
  <si>
    <t>ORD11078</t>
  </si>
  <si>
    <t>CUST5865</t>
  </si>
  <si>
    <t>14:45</t>
  </si>
  <si>
    <t>ORD11079</t>
  </si>
  <si>
    <t>CUST6664</t>
  </si>
  <si>
    <t>ORD11080</t>
  </si>
  <si>
    <t>CUST1519</t>
  </si>
  <si>
    <t>ORD11081</t>
  </si>
  <si>
    <t>CUST9792</t>
  </si>
  <si>
    <t>ORD11082</t>
  </si>
  <si>
    <t>CUST7644</t>
  </si>
  <si>
    <t>ORD11083</t>
  </si>
  <si>
    <t>CUST6068</t>
  </si>
  <si>
    <t>ORD11084</t>
  </si>
  <si>
    <t>CUST1702</t>
  </si>
  <si>
    <t>ORD11085</t>
  </si>
  <si>
    <t>CUST5086</t>
  </si>
  <si>
    <t>ORD11086</t>
  </si>
  <si>
    <t>CUST8046</t>
  </si>
  <si>
    <t>11:13</t>
  </si>
  <si>
    <t>ORD11087</t>
  </si>
  <si>
    <t>CUST2295</t>
  </si>
  <si>
    <t>ORD11088</t>
  </si>
  <si>
    <t>CUST7018</t>
  </si>
  <si>
    <t>ORD11089</t>
  </si>
  <si>
    <t>ORD11090</t>
  </si>
  <si>
    <t>CUST8775</t>
  </si>
  <si>
    <t>ORD11091</t>
  </si>
  <si>
    <t>CUST2267</t>
  </si>
  <si>
    <t>ORD11092</t>
  </si>
  <si>
    <t>CUST3853</t>
  </si>
  <si>
    <t>ORD11093</t>
  </si>
  <si>
    <t>CUST3081</t>
  </si>
  <si>
    <t>ORD11094</t>
  </si>
  <si>
    <t>CUST7413</t>
  </si>
  <si>
    <t>10:55</t>
  </si>
  <si>
    <t>ORD11095</t>
  </si>
  <si>
    <t>CUST7780</t>
  </si>
  <si>
    <t>ORD11096</t>
  </si>
  <si>
    <t>CUST5297</t>
  </si>
  <si>
    <t>ORD11097</t>
  </si>
  <si>
    <t>ORD11098</t>
  </si>
  <si>
    <t>CUST9471</t>
  </si>
  <si>
    <t>ORD11099</t>
  </si>
  <si>
    <t>CUST6638</t>
  </si>
  <si>
    <t>17:57</t>
  </si>
  <si>
    <t>ORD11100</t>
  </si>
  <si>
    <t>CUST8469</t>
  </si>
  <si>
    <t>ORD11101</t>
  </si>
  <si>
    <t>CUST4681</t>
  </si>
  <si>
    <t>ORD11102</t>
  </si>
  <si>
    <t>CUST2979</t>
  </si>
  <si>
    <t>ORD11103</t>
  </si>
  <si>
    <t>ORD11104</t>
  </si>
  <si>
    <t>CUST8378</t>
  </si>
  <si>
    <t>ORD11105</t>
  </si>
  <si>
    <t>CUST4043</t>
  </si>
  <si>
    <t>22:40</t>
  </si>
  <si>
    <t>ORD11106</t>
  </si>
  <si>
    <t>CUST3815</t>
  </si>
  <si>
    <t>ORD11107</t>
  </si>
  <si>
    <t>CUST7713</t>
  </si>
  <si>
    <t>ORD11108</t>
  </si>
  <si>
    <t>ORD11109</t>
  </si>
  <si>
    <t>CUST6881</t>
  </si>
  <si>
    <t>20:44</t>
  </si>
  <si>
    <t>ORD11110</t>
  </si>
  <si>
    <t>CUST3460</t>
  </si>
  <si>
    <t>17:25</t>
  </si>
  <si>
    <t>ORD11111</t>
  </si>
  <si>
    <t>CUST7770</t>
  </si>
  <si>
    <t>ORD11112</t>
  </si>
  <si>
    <t>CUST1473</t>
  </si>
  <si>
    <t>ORD11113</t>
  </si>
  <si>
    <t>CUST6286</t>
  </si>
  <si>
    <t>ORD11114</t>
  </si>
  <si>
    <t>CUST3240</t>
  </si>
  <si>
    <t>ORD11115</t>
  </si>
  <si>
    <t>12:33</t>
  </si>
  <si>
    <t>ORD11116</t>
  </si>
  <si>
    <t>CUST1506</t>
  </si>
  <si>
    <t>17:47</t>
  </si>
  <si>
    <t>ORD11117</t>
  </si>
  <si>
    <t>CUST4349</t>
  </si>
  <si>
    <t>ORD11118</t>
  </si>
  <si>
    <t>CUST5106</t>
  </si>
  <si>
    <t>16:29</t>
  </si>
  <si>
    <t>ORD11119</t>
  </si>
  <si>
    <t>ORD11120</t>
  </si>
  <si>
    <t>CUST8736</t>
  </si>
  <si>
    <t>ORD11121</t>
  </si>
  <si>
    <t>CUST7425</t>
  </si>
  <si>
    <t>21:58</t>
  </si>
  <si>
    <t>ORD11122</t>
  </si>
  <si>
    <t>CUST4818</t>
  </si>
  <si>
    <t>ORD11123</t>
  </si>
  <si>
    <t>CUST1061</t>
  </si>
  <si>
    <t>ORD11124</t>
  </si>
  <si>
    <t>ORD11125</t>
  </si>
  <si>
    <t>CUST8289</t>
  </si>
  <si>
    <t>ORD11126</t>
  </si>
  <si>
    <t>CUST6489</t>
  </si>
  <si>
    <t>ORD11127</t>
  </si>
  <si>
    <t>CUST8447</t>
  </si>
  <si>
    <t>13:38</t>
  </si>
  <si>
    <t>ORD11128</t>
  </si>
  <si>
    <t>CUST7221</t>
  </si>
  <si>
    <t>ORD11129</t>
  </si>
  <si>
    <t>CUST9390</t>
  </si>
  <si>
    <t>ORD11130</t>
  </si>
  <si>
    <t>CUST2964</t>
  </si>
  <si>
    <t>ORD11131</t>
  </si>
  <si>
    <t>CUST7777</t>
  </si>
  <si>
    <t>ORD11132</t>
  </si>
  <si>
    <t>CUST2558</t>
  </si>
  <si>
    <t>17:40</t>
  </si>
  <si>
    <t>ORD11133</t>
  </si>
  <si>
    <t>CUST8494</t>
  </si>
  <si>
    <t>ORD11134</t>
  </si>
  <si>
    <t>CUST6461</t>
  </si>
  <si>
    <t>21:56</t>
  </si>
  <si>
    <t>ORD11135</t>
  </si>
  <si>
    <t>CUST4384</t>
  </si>
  <si>
    <t>ORD11136</t>
  </si>
  <si>
    <t>10:35</t>
  </si>
  <si>
    <t>ORD11137</t>
  </si>
  <si>
    <t>CUST2163</t>
  </si>
  <si>
    <t>ORD11138</t>
  </si>
  <si>
    <t>CUST5017</t>
  </si>
  <si>
    <t>ORD11139</t>
  </si>
  <si>
    <t>ORD11140</t>
  </si>
  <si>
    <t>CUST2610</t>
  </si>
  <si>
    <t>11:54</t>
  </si>
  <si>
    <t>ORD11141</t>
  </si>
  <si>
    <t>CUST6582</t>
  </si>
  <si>
    <t>17:41</t>
  </si>
  <si>
    <t>ORD11142</t>
  </si>
  <si>
    <t>CUST6812</t>
  </si>
  <si>
    <t>12:31</t>
  </si>
  <si>
    <t>ORD11143</t>
  </si>
  <si>
    <t>CUST2998</t>
  </si>
  <si>
    <t>ORD11144</t>
  </si>
  <si>
    <t>CUST7910</t>
  </si>
  <si>
    <t>ORD11145</t>
  </si>
  <si>
    <t>CUST4238</t>
  </si>
  <si>
    <t>ORD11146</t>
  </si>
  <si>
    <t>ORD11147</t>
  </si>
  <si>
    <t>ORD11148</t>
  </si>
  <si>
    <t>CUST6741</t>
  </si>
  <si>
    <t>18:48</t>
  </si>
  <si>
    <t>ORD11149</t>
  </si>
  <si>
    <t>CUST6891</t>
  </si>
  <si>
    <t>ORD11150</t>
  </si>
  <si>
    <t>CUST8631</t>
  </si>
  <si>
    <t>ORD11151</t>
  </si>
  <si>
    <t>CUST7102</t>
  </si>
  <si>
    <t>ORD11152</t>
  </si>
  <si>
    <t>CUST2993</t>
  </si>
  <si>
    <t>19:36</t>
  </si>
  <si>
    <t>ORD11153</t>
  </si>
  <si>
    <t>CUST9577</t>
  </si>
  <si>
    <t>ORD11154</t>
  </si>
  <si>
    <t>ORD11155</t>
  </si>
  <si>
    <t>CUST7497</t>
  </si>
  <si>
    <t>21:21</t>
  </si>
  <si>
    <t>ORD11156</t>
  </si>
  <si>
    <t>CUST6964</t>
  </si>
  <si>
    <t>ORD11157</t>
  </si>
  <si>
    <t>CUST6269</t>
  </si>
  <si>
    <t>ORD11158</t>
  </si>
  <si>
    <t>CUST7898</t>
  </si>
  <si>
    <t>ORD11159</t>
  </si>
  <si>
    <t>CUST4127</t>
  </si>
  <si>
    <t>ORD11160</t>
  </si>
  <si>
    <t>CUST5998</t>
  </si>
  <si>
    <t>ORD11161</t>
  </si>
  <si>
    <t>ORD11162</t>
  </si>
  <si>
    <t>CUST7066</t>
  </si>
  <si>
    <t>15:23</t>
  </si>
  <si>
    <t>ORD11163</t>
  </si>
  <si>
    <t>CUST4449</t>
  </si>
  <si>
    <t>ORD11164</t>
  </si>
  <si>
    <t>CUST4730</t>
  </si>
  <si>
    <t>ORD11165</t>
  </si>
  <si>
    <t>CUST2673</t>
  </si>
  <si>
    <t>20:31</t>
  </si>
  <si>
    <t>ORD11166</t>
  </si>
  <si>
    <t>CUST6455</t>
  </si>
  <si>
    <t>ORD11167</t>
  </si>
  <si>
    <t>CUST9474</t>
  </si>
  <si>
    <t>10:21</t>
  </si>
  <si>
    <t>ORD11168</t>
  </si>
  <si>
    <t>CUST8444</t>
  </si>
  <si>
    <t>ORD11169</t>
  </si>
  <si>
    <t>CUST6992</t>
  </si>
  <si>
    <t>ORD11170</t>
  </si>
  <si>
    <t>CUST6963</t>
  </si>
  <si>
    <t>ORD11171</t>
  </si>
  <si>
    <t>ORD11172</t>
  </si>
  <si>
    <t>CUST4676</t>
  </si>
  <si>
    <t>ORD11173</t>
  </si>
  <si>
    <t>ORD11174</t>
  </si>
  <si>
    <t>CUST3171</t>
  </si>
  <si>
    <t>ORD11175</t>
  </si>
  <si>
    <t>21:14</t>
  </si>
  <si>
    <t>ORD11176</t>
  </si>
  <si>
    <t>CUST6609</t>
  </si>
  <si>
    <t>ORD11177</t>
  </si>
  <si>
    <t>CUST2660</t>
  </si>
  <si>
    <t>ORD11178</t>
  </si>
  <si>
    <t>CUST6669</t>
  </si>
  <si>
    <t>ORD11179</t>
  </si>
  <si>
    <t>CUST5596</t>
  </si>
  <si>
    <t>ORD11180</t>
  </si>
  <si>
    <t>CUST4183</t>
  </si>
  <si>
    <t>17:26</t>
  </si>
  <si>
    <t>ORD11181</t>
  </si>
  <si>
    <t>CUST9926</t>
  </si>
  <si>
    <t>ORD11182</t>
  </si>
  <si>
    <t>ORD11183</t>
  </si>
  <si>
    <t>CUST1260</t>
  </si>
  <si>
    <t>ORD11184</t>
  </si>
  <si>
    <t>CUST9648</t>
  </si>
  <si>
    <t>ORD11185</t>
  </si>
  <si>
    <t>CUST7013</t>
  </si>
  <si>
    <t>12:29</t>
  </si>
  <si>
    <t>ORD11186</t>
  </si>
  <si>
    <t>CUST3483</t>
  </si>
  <si>
    <t>ORD11187</t>
  </si>
  <si>
    <t>CUST2137</t>
  </si>
  <si>
    <t>ORD11188</t>
  </si>
  <si>
    <t>CUST6757</t>
  </si>
  <si>
    <t>12:22</t>
  </si>
  <si>
    <t>ORD11189</t>
  </si>
  <si>
    <t>CUST8435</t>
  </si>
  <si>
    <t>ORD11190</t>
  </si>
  <si>
    <t>CUST8749</t>
  </si>
  <si>
    <t>ORD11191</t>
  </si>
  <si>
    <t>CUST9834</t>
  </si>
  <si>
    <t>ORD11192</t>
  </si>
  <si>
    <t>ORD11193</t>
  </si>
  <si>
    <t>CUST8271</t>
  </si>
  <si>
    <t>ORD11194</t>
  </si>
  <si>
    <t>CUST4566</t>
  </si>
  <si>
    <t>ORD11195</t>
  </si>
  <si>
    <t>CUST7021</t>
  </si>
  <si>
    <t>ORD11196</t>
  </si>
  <si>
    <t>CUST8186</t>
  </si>
  <si>
    <t>ORD11197</t>
  </si>
  <si>
    <t>CUST5896</t>
  </si>
  <si>
    <t>11:12</t>
  </si>
  <si>
    <t>ORD11198</t>
  </si>
  <si>
    <t>CUST2421</t>
  </si>
  <si>
    <t>ORD11199</t>
  </si>
  <si>
    <t>CUST4609</t>
  </si>
  <si>
    <t>year</t>
  </si>
  <si>
    <t>month</t>
  </si>
  <si>
    <t>day</t>
  </si>
  <si>
    <t>Q</t>
  </si>
  <si>
    <t>What is the most problemtic restaurant - City?</t>
  </si>
  <si>
    <t>Totals number of orders - customers - Sales?</t>
  </si>
  <si>
    <t>Overview</t>
  </si>
  <si>
    <t>Row Labels</t>
  </si>
  <si>
    <t>Grand Total</t>
  </si>
  <si>
    <t>Count of Order ID</t>
  </si>
  <si>
    <t>Column Labels</t>
  </si>
  <si>
    <t>is Failed/ cancelled orders linked to payment method?</t>
  </si>
  <si>
    <t xml:space="preserve"> the most problemtic restaurant </t>
  </si>
  <si>
    <t>what is the top city?</t>
  </si>
  <si>
    <t>payment method and failed and cancelled orders</t>
  </si>
  <si>
    <t xml:space="preserve"> orders per City</t>
  </si>
  <si>
    <t>Total Sales overs months?</t>
  </si>
  <si>
    <t>Total Sales overs Days</t>
  </si>
  <si>
    <t>Sum of Amount (EGP)</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</si>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</sst>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1010000]yyyy/mm/dd;@"/>
    <numFmt numFmtId="165" formatCode="[$-F400]h:mm:ss\ AM/PM"/>
  </numFmts>
  <fonts count="5" x14ac:knownFonts="1">
    <font>
      <sz val="11"/>
      <color theme="1"/>
      <name val="Arial"/>
      <family val="2"/>
      <scheme val="minor"/>
    </font>
    <font>
      <b/>
      <sz val="11"/>
      <color theme="1"/>
      <name val="Arial"/>
      <family val="2"/>
      <scheme val="minor"/>
    </font>
    <font>
      <sz val="11"/>
      <color theme="1"/>
      <name val="Dubai"/>
      <family val="2"/>
    </font>
    <font>
      <b/>
      <sz val="12"/>
      <color theme="0"/>
      <name val="Arial"/>
      <family val="2"/>
      <scheme val="minor"/>
    </font>
    <font>
      <sz val="11"/>
      <color theme="1"/>
      <name val="Arial"/>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rgb="FFF9FAF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4" fillId="0" borderId="0" applyFont="0" applyFill="0" applyBorder="0" applyAlignment="0" applyProtection="0"/>
  </cellStyleXfs>
  <cellXfs count="18">
    <xf numFmtId="0" fontId="0" fillId="0" borderId="0" xfId="0"/>
    <xf numFmtId="0" fontId="1" fillId="0" borderId="1" xfId="0" applyFont="1" applyBorder="1" applyAlignment="1">
      <alignment horizontal="center" vertical="top"/>
    </xf>
    <xf numFmtId="0" fontId="2" fillId="0" borderId="0" xfId="0" applyFont="1"/>
    <xf numFmtId="0" fontId="3" fillId="2" borderId="1" xfId="0" applyFont="1" applyFill="1" applyBorder="1" applyAlignment="1">
      <alignment horizontal="center" vertical="top"/>
    </xf>
    <xf numFmtId="164" fontId="0" fillId="0" borderId="0" xfId="0" applyNumberFormat="1"/>
    <xf numFmtId="164" fontId="3" fillId="2" borderId="1" xfId="0" applyNumberFormat="1" applyFont="1" applyFill="1" applyBorder="1" applyAlignment="1">
      <alignment horizontal="center" vertical="top"/>
    </xf>
    <xf numFmtId="164" fontId="2" fillId="0" borderId="0" xfId="0" applyNumberFormat="1" applyFont="1"/>
    <xf numFmtId="165" fontId="0" fillId="0" borderId="0" xfId="0" applyNumberFormat="1"/>
    <xf numFmtId="165" fontId="3" fillId="2" borderId="1" xfId="0" applyNumberFormat="1" applyFont="1" applyFill="1" applyBorder="1" applyAlignment="1">
      <alignment horizontal="center" vertical="top"/>
    </xf>
    <xf numFmtId="165" fontId="2" fillId="0" borderId="0" xfId="0" applyNumberFormat="1" applyFont="1"/>
    <xf numFmtId="0" fontId="2" fillId="0" borderId="0" xfId="0" applyNumberFormat="1" applyFont="1"/>
    <xf numFmtId="0" fontId="0" fillId="0" borderId="0" xfId="0" applyNumberFormat="1"/>
    <xf numFmtId="0" fontId="3" fillId="2" borderId="1" xfId="0" applyNumberFormat="1" applyFont="1" applyFill="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0" fontId="0" fillId="3" borderId="0" xfId="0" applyFill="1"/>
    <xf numFmtId="43" fontId="0" fillId="0" borderId="0" xfId="1" applyFont="1"/>
  </cellXfs>
  <cellStyles count="2">
    <cellStyle name="Comma" xfId="1" builtinId="3"/>
    <cellStyle name="Normal" xfId="0" builtinId="0"/>
  </cellStyles>
  <dxfs count="5">
    <dxf>
      <font>
        <b/>
        <color theme="1"/>
      </font>
      <border>
        <bottom style="thin">
          <color theme="0" tint="-0.34998626667073579"/>
        </bottom>
        <vertical/>
        <horizontal/>
      </border>
    </dxf>
    <dxf>
      <font>
        <color theme="0"/>
      </font>
      <fill>
        <patternFill>
          <bgColor rgb="FF1E293B"/>
        </patternFill>
      </fill>
      <border>
        <left/>
        <right/>
        <top/>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SlicerStyleOther1 2" pivot="0" table="0" count="10" xr9:uid="{5834AA33-31D8-4A92-84D0-944D5E09702E}">
      <tableStyleElement type="wholeTable" dxfId="1"/>
      <tableStyleElement type="headerRow" dxfId="0"/>
    </tableStyle>
  </tableStyles>
  <colors>
    <mruColors>
      <color rgb="FF1E293B"/>
      <color rgb="FF9CA3AF"/>
      <color rgb="FF86EFAC"/>
      <color rgb="FF60A5FA"/>
      <color rgb="FFFFFFFF"/>
      <color rgb="FFF9FAFB"/>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[Talabat.xlsx]Data Analysis!worst_restaurant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problemtic restaurant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52274715660542"/>
          <c:y val="0.15740740740740741"/>
          <c:w val="0.72857699037620305"/>
          <c:h val="0.62952354913969089"/>
        </c:manualLayout>
      </c:layout>
      <c:barChart>
        <c:barDir val="col"/>
        <c:grouping val="clustered"/>
        <c:varyColors val="0"/>
        <c:ser>
          <c:idx val="0"/>
          <c:order val="0"/>
          <c:tx>
            <c:strRef>
              <c:f>'Data Analysis'!$H$5:$H$6</c:f>
              <c:strCache>
                <c:ptCount val="1"/>
                <c:pt idx="0">
                  <c:v>Cancelled</c:v>
                </c:pt>
              </c:strCache>
            </c:strRef>
          </c:tx>
          <c:spPr>
            <a:solidFill>
              <a:schemeClr val="accent1"/>
            </a:solidFill>
            <a:ln>
              <a:noFill/>
            </a:ln>
            <a:effectLst/>
          </c:spPr>
          <c:invertIfNegative val="0"/>
          <c:cat>
            <c:strRef>
              <c:f>'Data Analysis'!$G$7:$G$17</c:f>
              <c:strCache>
                <c:ptCount val="10"/>
                <c:pt idx="0">
                  <c:v>Domino's</c:v>
                </c:pt>
                <c:pt idx="1">
                  <c:v>McDonald's</c:v>
                </c:pt>
                <c:pt idx="2">
                  <c:v>Subway</c:v>
                </c:pt>
                <c:pt idx="3">
                  <c:v>Sushi World</c:v>
                </c:pt>
                <c:pt idx="4">
                  <c:v>Pizza Hut</c:v>
                </c:pt>
                <c:pt idx="5">
                  <c:v>KFC</c:v>
                </c:pt>
                <c:pt idx="6">
                  <c:v>Burger King</c:v>
                </c:pt>
                <c:pt idx="7">
                  <c:v>Popeyes</c:v>
                </c:pt>
                <c:pt idx="8">
                  <c:v>Shawarma Express</c:v>
                </c:pt>
                <c:pt idx="9">
                  <c:v>Hardee's</c:v>
                </c:pt>
              </c:strCache>
            </c:strRef>
          </c:cat>
          <c:val>
            <c:numRef>
              <c:f>'Data Analysis'!$H$7:$H$17</c:f>
              <c:numCache>
                <c:formatCode>0.00%</c:formatCode>
                <c:ptCount val="10"/>
                <c:pt idx="0">
                  <c:v>3.7158469945355189E-2</c:v>
                </c:pt>
                <c:pt idx="1">
                  <c:v>3.4972677595628415E-2</c:v>
                </c:pt>
                <c:pt idx="2">
                  <c:v>2.9508196721311476E-2</c:v>
                </c:pt>
                <c:pt idx="3">
                  <c:v>3.9344262295081971E-2</c:v>
                </c:pt>
                <c:pt idx="4">
                  <c:v>3.0601092896174863E-2</c:v>
                </c:pt>
                <c:pt idx="5">
                  <c:v>2.9508196721311476E-2</c:v>
                </c:pt>
                <c:pt idx="6">
                  <c:v>3.4972677595628415E-2</c:v>
                </c:pt>
                <c:pt idx="7">
                  <c:v>2.9508196721311476E-2</c:v>
                </c:pt>
                <c:pt idx="8">
                  <c:v>3.4972677595628415E-2</c:v>
                </c:pt>
                <c:pt idx="9">
                  <c:v>2.4043715846994537E-2</c:v>
                </c:pt>
              </c:numCache>
            </c:numRef>
          </c:val>
          <c:extLst>
            <c:ext xmlns:c16="http://schemas.microsoft.com/office/drawing/2014/chart" uri="{C3380CC4-5D6E-409C-BE32-E72D297353CC}">
              <c16:uniqueId val="{00000000-A784-48E7-87E5-0409B9C6ECAE}"/>
            </c:ext>
          </c:extLst>
        </c:ser>
        <c:ser>
          <c:idx val="1"/>
          <c:order val="1"/>
          <c:tx>
            <c:strRef>
              <c:f>'Data Analysis'!$I$5:$I$6</c:f>
              <c:strCache>
                <c:ptCount val="1"/>
                <c:pt idx="0">
                  <c:v>Failed</c:v>
                </c:pt>
              </c:strCache>
            </c:strRef>
          </c:tx>
          <c:spPr>
            <a:solidFill>
              <a:schemeClr val="accent2"/>
            </a:solidFill>
            <a:ln>
              <a:noFill/>
            </a:ln>
            <a:effectLst/>
          </c:spPr>
          <c:invertIfNegative val="0"/>
          <c:cat>
            <c:strRef>
              <c:f>'Data Analysis'!$G$7:$G$17</c:f>
              <c:strCache>
                <c:ptCount val="10"/>
                <c:pt idx="0">
                  <c:v>Domino's</c:v>
                </c:pt>
                <c:pt idx="1">
                  <c:v>McDonald's</c:v>
                </c:pt>
                <c:pt idx="2">
                  <c:v>Subway</c:v>
                </c:pt>
                <c:pt idx="3">
                  <c:v>Sushi World</c:v>
                </c:pt>
                <c:pt idx="4">
                  <c:v>Pizza Hut</c:v>
                </c:pt>
                <c:pt idx="5">
                  <c:v>KFC</c:v>
                </c:pt>
                <c:pt idx="6">
                  <c:v>Burger King</c:v>
                </c:pt>
                <c:pt idx="7">
                  <c:v>Popeyes</c:v>
                </c:pt>
                <c:pt idx="8">
                  <c:v>Shawarma Express</c:v>
                </c:pt>
                <c:pt idx="9">
                  <c:v>Hardee's</c:v>
                </c:pt>
              </c:strCache>
            </c:strRef>
          </c:cat>
          <c:val>
            <c:numRef>
              <c:f>'Data Analysis'!$I$7:$I$17</c:f>
              <c:numCache>
                <c:formatCode>0.00%</c:formatCode>
                <c:ptCount val="10"/>
                <c:pt idx="0">
                  <c:v>4.2622950819672129E-2</c:v>
                </c:pt>
                <c:pt idx="1">
                  <c:v>4.480874316939891E-2</c:v>
                </c:pt>
                <c:pt idx="2">
                  <c:v>4.6994535519125684E-2</c:v>
                </c:pt>
                <c:pt idx="3">
                  <c:v>3.3879781420765025E-2</c:v>
                </c:pt>
                <c:pt idx="4">
                  <c:v>2.7322404371584699E-2</c:v>
                </c:pt>
                <c:pt idx="5">
                  <c:v>3.2786885245901641E-2</c:v>
                </c:pt>
                <c:pt idx="6">
                  <c:v>3.169398907103825E-2</c:v>
                </c:pt>
                <c:pt idx="7">
                  <c:v>2.6229508196721311E-2</c:v>
                </c:pt>
                <c:pt idx="8">
                  <c:v>3.169398907103825E-2</c:v>
                </c:pt>
                <c:pt idx="9">
                  <c:v>2.7322404371584699E-2</c:v>
                </c:pt>
              </c:numCache>
            </c:numRef>
          </c:val>
          <c:extLst>
            <c:ext xmlns:c16="http://schemas.microsoft.com/office/drawing/2014/chart" uri="{C3380CC4-5D6E-409C-BE32-E72D297353CC}">
              <c16:uniqueId val="{00000001-A784-48E7-87E5-0409B9C6ECAE}"/>
            </c:ext>
          </c:extLst>
        </c:ser>
        <c:ser>
          <c:idx val="2"/>
          <c:order val="2"/>
          <c:tx>
            <c:strRef>
              <c:f>'Data Analysis'!$J$5:$J$6</c:f>
              <c:strCache>
                <c:ptCount val="1"/>
                <c:pt idx="0">
                  <c:v>Pending</c:v>
                </c:pt>
              </c:strCache>
            </c:strRef>
          </c:tx>
          <c:spPr>
            <a:solidFill>
              <a:schemeClr val="accent3"/>
            </a:solidFill>
            <a:ln>
              <a:noFill/>
            </a:ln>
            <a:effectLst/>
          </c:spPr>
          <c:invertIfNegative val="0"/>
          <c:cat>
            <c:strRef>
              <c:f>'Data Analysis'!$G$7:$G$17</c:f>
              <c:strCache>
                <c:ptCount val="10"/>
                <c:pt idx="0">
                  <c:v>Domino's</c:v>
                </c:pt>
                <c:pt idx="1">
                  <c:v>McDonald's</c:v>
                </c:pt>
                <c:pt idx="2">
                  <c:v>Subway</c:v>
                </c:pt>
                <c:pt idx="3">
                  <c:v>Sushi World</c:v>
                </c:pt>
                <c:pt idx="4">
                  <c:v>Pizza Hut</c:v>
                </c:pt>
                <c:pt idx="5">
                  <c:v>KFC</c:v>
                </c:pt>
                <c:pt idx="6">
                  <c:v>Burger King</c:v>
                </c:pt>
                <c:pt idx="7">
                  <c:v>Popeyes</c:v>
                </c:pt>
                <c:pt idx="8">
                  <c:v>Shawarma Express</c:v>
                </c:pt>
                <c:pt idx="9">
                  <c:v>Hardee's</c:v>
                </c:pt>
              </c:strCache>
            </c:strRef>
          </c:cat>
          <c:val>
            <c:numRef>
              <c:f>'Data Analysis'!$J$7:$J$17</c:f>
              <c:numCache>
                <c:formatCode>0.00%</c:formatCode>
                <c:ptCount val="10"/>
                <c:pt idx="0">
                  <c:v>5.0273224043715849E-2</c:v>
                </c:pt>
                <c:pt idx="1">
                  <c:v>3.169398907103825E-2</c:v>
                </c:pt>
                <c:pt idx="2">
                  <c:v>3.2786885245901641E-2</c:v>
                </c:pt>
                <c:pt idx="3">
                  <c:v>3.169398907103825E-2</c:v>
                </c:pt>
                <c:pt idx="4">
                  <c:v>4.6994535519125684E-2</c:v>
                </c:pt>
                <c:pt idx="5">
                  <c:v>3.0601092896174863E-2</c:v>
                </c:pt>
                <c:pt idx="6">
                  <c:v>2.5136612021857924E-2</c:v>
                </c:pt>
                <c:pt idx="7">
                  <c:v>3.4972677595628415E-2</c:v>
                </c:pt>
                <c:pt idx="8">
                  <c:v>2.4043715846994537E-2</c:v>
                </c:pt>
                <c:pt idx="9">
                  <c:v>2.185792349726776E-2</c:v>
                </c:pt>
              </c:numCache>
            </c:numRef>
          </c:val>
          <c:extLst>
            <c:ext xmlns:c16="http://schemas.microsoft.com/office/drawing/2014/chart" uri="{C3380CC4-5D6E-409C-BE32-E72D297353CC}">
              <c16:uniqueId val="{00000002-A784-48E7-87E5-0409B9C6ECAE}"/>
            </c:ext>
          </c:extLst>
        </c:ser>
        <c:dLbls>
          <c:showLegendKey val="0"/>
          <c:showVal val="0"/>
          <c:showCatName val="0"/>
          <c:showSerName val="0"/>
          <c:showPercent val="0"/>
          <c:showBubbleSize val="0"/>
        </c:dLbls>
        <c:gapWidth val="219"/>
        <c:overlap val="-27"/>
        <c:axId val="2020027839"/>
        <c:axId val="2020031167"/>
      </c:barChart>
      <c:catAx>
        <c:axId val="202002783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20031167"/>
        <c:crosses val="autoZero"/>
        <c:auto val="1"/>
        <c:lblAlgn val="ctr"/>
        <c:lblOffset val="100"/>
        <c:noMultiLvlLbl val="0"/>
      </c:catAx>
      <c:valAx>
        <c:axId val="2020031167"/>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2002783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[Talabat.xlsx]Data Analysis!Payment&amp;orders</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0"/>
              <a:t>payment method &amp; Orders</a:t>
            </a:r>
            <a:r>
              <a:rPr lang="en-US" b="0" baseline="0"/>
              <a:t> problems</a:t>
            </a:r>
            <a:endParaRPr lang="en-US" b="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7888920134983125"/>
          <c:y val="0.16317986293379996"/>
          <c:w val="0.50521770716160475"/>
          <c:h val="0.78589421114027413"/>
        </c:manualLayout>
      </c:layout>
      <c:pieChart>
        <c:varyColors val="1"/>
        <c:ser>
          <c:idx val="0"/>
          <c:order val="0"/>
          <c:tx>
            <c:strRef>
              <c:f>'Data Analysis'!$N$5:$N$6</c:f>
              <c:strCache>
                <c:ptCount val="1"/>
                <c:pt idx="0">
                  <c:v>Cancelled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E30-4E4C-B41F-9457900A90C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E30-4E4C-B41F-9457900A90C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E30-4E4C-B41F-9457900A90C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E30-4E4C-B41F-9457900A90C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Analysis'!$M$7:$M$11</c:f>
              <c:strCache>
                <c:ptCount val="4"/>
                <c:pt idx="0">
                  <c:v>Cash</c:v>
                </c:pt>
                <c:pt idx="1">
                  <c:v>Credit Card</c:v>
                </c:pt>
                <c:pt idx="2">
                  <c:v>Wallet</c:v>
                </c:pt>
                <c:pt idx="3">
                  <c:v>PayPal</c:v>
                </c:pt>
              </c:strCache>
            </c:strRef>
          </c:cat>
          <c:val>
            <c:numRef>
              <c:f>'Data Analysis'!$N$7:$N$11</c:f>
              <c:numCache>
                <c:formatCode>General</c:formatCode>
                <c:ptCount val="4"/>
                <c:pt idx="0">
                  <c:v>82</c:v>
                </c:pt>
                <c:pt idx="1">
                  <c:v>70</c:v>
                </c:pt>
                <c:pt idx="2">
                  <c:v>77</c:v>
                </c:pt>
                <c:pt idx="3">
                  <c:v>68</c:v>
                </c:pt>
              </c:numCache>
            </c:numRef>
          </c:val>
          <c:extLst>
            <c:ext xmlns:c16="http://schemas.microsoft.com/office/drawing/2014/chart" uri="{C3380CC4-5D6E-409C-BE32-E72D297353CC}">
              <c16:uniqueId val="{00000008-6E30-4E4C-B41F-9457900A90CD}"/>
            </c:ext>
          </c:extLst>
        </c:ser>
        <c:ser>
          <c:idx val="1"/>
          <c:order val="1"/>
          <c:tx>
            <c:strRef>
              <c:f>'Data Analysis'!$O$5:$O$6</c:f>
              <c:strCache>
                <c:ptCount val="1"/>
                <c:pt idx="0">
                  <c:v>Failed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6E30-4E4C-B41F-9457900A90C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6E30-4E4C-B41F-9457900A90C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6E30-4E4C-B41F-9457900A90C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6E30-4E4C-B41F-9457900A90C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Analysis'!$M$7:$M$11</c:f>
              <c:strCache>
                <c:ptCount val="4"/>
                <c:pt idx="0">
                  <c:v>Cash</c:v>
                </c:pt>
                <c:pt idx="1">
                  <c:v>Credit Card</c:v>
                </c:pt>
                <c:pt idx="2">
                  <c:v>Wallet</c:v>
                </c:pt>
                <c:pt idx="3">
                  <c:v>PayPal</c:v>
                </c:pt>
              </c:strCache>
            </c:strRef>
          </c:cat>
          <c:val>
            <c:numRef>
              <c:f>'Data Analysis'!$O$7:$O$11</c:f>
              <c:numCache>
                <c:formatCode>General</c:formatCode>
                <c:ptCount val="4"/>
                <c:pt idx="0">
                  <c:v>83</c:v>
                </c:pt>
                <c:pt idx="1">
                  <c:v>74</c:v>
                </c:pt>
                <c:pt idx="2">
                  <c:v>85</c:v>
                </c:pt>
                <c:pt idx="3">
                  <c:v>74</c:v>
                </c:pt>
              </c:numCache>
            </c:numRef>
          </c:val>
          <c:extLst>
            <c:ext xmlns:c16="http://schemas.microsoft.com/office/drawing/2014/chart" uri="{C3380CC4-5D6E-409C-BE32-E72D297353CC}">
              <c16:uniqueId val="{00000011-6E30-4E4C-B41F-9457900A90CD}"/>
            </c:ext>
          </c:extLst>
        </c:ser>
        <c:ser>
          <c:idx val="2"/>
          <c:order val="2"/>
          <c:tx>
            <c:strRef>
              <c:f>'Data Analysis'!$P$5:$P$6</c:f>
              <c:strCache>
                <c:ptCount val="1"/>
                <c:pt idx="0">
                  <c:v>Pending</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6E30-4E4C-B41F-9457900A90C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6E30-4E4C-B41F-9457900A90C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6E30-4E4C-B41F-9457900A90C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6E30-4E4C-B41F-9457900A90C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Analysis'!$M$7:$M$11</c:f>
              <c:strCache>
                <c:ptCount val="4"/>
                <c:pt idx="0">
                  <c:v>Cash</c:v>
                </c:pt>
                <c:pt idx="1">
                  <c:v>Credit Card</c:v>
                </c:pt>
                <c:pt idx="2">
                  <c:v>Wallet</c:v>
                </c:pt>
                <c:pt idx="3">
                  <c:v>PayPal</c:v>
                </c:pt>
              </c:strCache>
            </c:strRef>
          </c:cat>
          <c:val>
            <c:numRef>
              <c:f>'Data Analysis'!$P$7:$P$11</c:f>
              <c:numCache>
                <c:formatCode>General</c:formatCode>
                <c:ptCount val="4"/>
                <c:pt idx="0">
                  <c:v>78</c:v>
                </c:pt>
                <c:pt idx="1">
                  <c:v>87</c:v>
                </c:pt>
                <c:pt idx="2">
                  <c:v>68</c:v>
                </c:pt>
                <c:pt idx="3">
                  <c:v>69</c:v>
                </c:pt>
              </c:numCache>
            </c:numRef>
          </c:val>
          <c:extLst>
            <c:ext xmlns:c16="http://schemas.microsoft.com/office/drawing/2014/chart" uri="{C3380CC4-5D6E-409C-BE32-E72D297353CC}">
              <c16:uniqueId val="{0000001A-6E30-4E4C-B41F-9457900A90CD}"/>
            </c:ext>
          </c:extLst>
        </c:ser>
        <c:dLbls>
          <c:dLblPos val="inEnd"/>
          <c:showLegendKey val="0"/>
          <c:showVal val="0"/>
          <c:showCatName val="1"/>
          <c:showSerName val="0"/>
          <c:showPercent val="0"/>
          <c:showBubbleSize val="0"/>
          <c:showLeaderLines val="1"/>
        </c:dLbls>
        <c:firstSliceAng val="36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[Talabat.xlsx]Data Analysis!Cites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 per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 Analysis'!$T$5</c:f>
              <c:strCache>
                <c:ptCount val="1"/>
                <c:pt idx="0">
                  <c:v>Total</c:v>
                </c:pt>
              </c:strCache>
            </c:strRef>
          </c:tx>
          <c:spPr>
            <a:solidFill>
              <a:schemeClr val="accent1"/>
            </a:solidFill>
            <a:ln>
              <a:noFill/>
            </a:ln>
            <a:effectLst/>
          </c:spPr>
          <c:cat>
            <c:strRef>
              <c:f>'Data Analysis'!$S$6:$S$16</c:f>
              <c:strCache>
                <c:ptCount val="10"/>
                <c:pt idx="0">
                  <c:v>Zagazig</c:v>
                </c:pt>
                <c:pt idx="1">
                  <c:v>Alexandria</c:v>
                </c:pt>
                <c:pt idx="2">
                  <c:v>Mansoura</c:v>
                </c:pt>
                <c:pt idx="3">
                  <c:v>Aswan</c:v>
                </c:pt>
                <c:pt idx="4">
                  <c:v>Hurghada</c:v>
                </c:pt>
                <c:pt idx="5">
                  <c:v>Tanta</c:v>
                </c:pt>
                <c:pt idx="6">
                  <c:v>Cairo</c:v>
                </c:pt>
                <c:pt idx="7">
                  <c:v>Sharm El Sheikh</c:v>
                </c:pt>
                <c:pt idx="8">
                  <c:v>Luxor</c:v>
                </c:pt>
                <c:pt idx="9">
                  <c:v>Giza</c:v>
                </c:pt>
              </c:strCache>
            </c:strRef>
          </c:cat>
          <c:val>
            <c:numRef>
              <c:f>'Data Analysis'!$T$6:$T$16</c:f>
              <c:numCache>
                <c:formatCode>General</c:formatCode>
                <c:ptCount val="10"/>
                <c:pt idx="0">
                  <c:v>135</c:v>
                </c:pt>
                <c:pt idx="1">
                  <c:v>130</c:v>
                </c:pt>
                <c:pt idx="2">
                  <c:v>125</c:v>
                </c:pt>
                <c:pt idx="3">
                  <c:v>125</c:v>
                </c:pt>
                <c:pt idx="4">
                  <c:v>119</c:v>
                </c:pt>
                <c:pt idx="5">
                  <c:v>118</c:v>
                </c:pt>
                <c:pt idx="6">
                  <c:v>116</c:v>
                </c:pt>
                <c:pt idx="7">
                  <c:v>114</c:v>
                </c:pt>
                <c:pt idx="8">
                  <c:v>111</c:v>
                </c:pt>
                <c:pt idx="9">
                  <c:v>107</c:v>
                </c:pt>
              </c:numCache>
            </c:numRef>
          </c:val>
          <c:extLst>
            <c:ext xmlns:c16="http://schemas.microsoft.com/office/drawing/2014/chart" uri="{C3380CC4-5D6E-409C-BE32-E72D297353CC}">
              <c16:uniqueId val="{00000000-B616-4115-B5C8-D65A85A557E2}"/>
            </c:ext>
          </c:extLst>
        </c:ser>
        <c:dLbls>
          <c:showLegendKey val="0"/>
          <c:showVal val="0"/>
          <c:showCatName val="0"/>
          <c:showSerName val="0"/>
          <c:showPercent val="0"/>
          <c:showBubbleSize val="0"/>
        </c:dLbls>
        <c:axId val="52255072"/>
        <c:axId val="52258816"/>
      </c:areaChart>
      <c:catAx>
        <c:axId val="5225507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2258816"/>
        <c:crosses val="autoZero"/>
        <c:auto val="1"/>
        <c:lblAlgn val="ctr"/>
        <c:lblOffset val="100"/>
        <c:noMultiLvlLbl val="0"/>
      </c:catAx>
      <c:valAx>
        <c:axId val="5225881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22550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[Talabat.xlsx]Data Analysis!#sales over days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overs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Analysis'!$W$5</c:f>
              <c:strCache>
                <c:ptCount val="1"/>
                <c:pt idx="0">
                  <c:v>Total</c:v>
                </c:pt>
              </c:strCache>
            </c:strRef>
          </c:tx>
          <c:spPr>
            <a:ln w="28575" cap="rnd">
              <a:solidFill>
                <a:schemeClr val="accent1"/>
              </a:solidFill>
              <a:round/>
            </a:ln>
            <a:effectLst/>
          </c:spPr>
          <c:marker>
            <c:symbol val="none"/>
          </c:marker>
          <c:cat>
            <c:strRef>
              <c:f>'Data Analysis'!$V$6:$V$37</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'Data Analysis'!$W$6:$W$37</c:f>
              <c:numCache>
                <c:formatCode>General</c:formatCode>
                <c:ptCount val="31"/>
                <c:pt idx="0">
                  <c:v>12626.300000000001</c:v>
                </c:pt>
                <c:pt idx="1">
                  <c:v>10501.989999999996</c:v>
                </c:pt>
                <c:pt idx="2">
                  <c:v>8060.03</c:v>
                </c:pt>
                <c:pt idx="3">
                  <c:v>11261.07</c:v>
                </c:pt>
                <c:pt idx="4">
                  <c:v>14292.220000000003</c:v>
                </c:pt>
                <c:pt idx="5">
                  <c:v>10497.679999999998</c:v>
                </c:pt>
                <c:pt idx="6">
                  <c:v>9073.869999999999</c:v>
                </c:pt>
                <c:pt idx="7">
                  <c:v>11700.439999999997</c:v>
                </c:pt>
                <c:pt idx="8">
                  <c:v>12914.25</c:v>
                </c:pt>
                <c:pt idx="9">
                  <c:v>9508.619999999999</c:v>
                </c:pt>
                <c:pt idx="10">
                  <c:v>10669.04</c:v>
                </c:pt>
                <c:pt idx="11">
                  <c:v>9845.7900000000027</c:v>
                </c:pt>
                <c:pt idx="12">
                  <c:v>10693.539999999999</c:v>
                </c:pt>
                <c:pt idx="13">
                  <c:v>10390.91</c:v>
                </c:pt>
                <c:pt idx="14">
                  <c:v>9411.9900000000016</c:v>
                </c:pt>
                <c:pt idx="15">
                  <c:v>9836.5399999999972</c:v>
                </c:pt>
                <c:pt idx="16">
                  <c:v>13039.18</c:v>
                </c:pt>
                <c:pt idx="17">
                  <c:v>7448.3300000000008</c:v>
                </c:pt>
                <c:pt idx="18">
                  <c:v>12586.97</c:v>
                </c:pt>
                <c:pt idx="19">
                  <c:v>9064.9499999999989</c:v>
                </c:pt>
                <c:pt idx="20">
                  <c:v>9958.2800000000007</c:v>
                </c:pt>
                <c:pt idx="21">
                  <c:v>10402.130000000001</c:v>
                </c:pt>
                <c:pt idx="22">
                  <c:v>9044.1000000000022</c:v>
                </c:pt>
                <c:pt idx="23">
                  <c:v>11229.840000000002</c:v>
                </c:pt>
                <c:pt idx="24">
                  <c:v>10691.7</c:v>
                </c:pt>
                <c:pt idx="25">
                  <c:v>13458.419999999998</c:v>
                </c:pt>
                <c:pt idx="26">
                  <c:v>12977.479999999996</c:v>
                </c:pt>
                <c:pt idx="27">
                  <c:v>8532.89</c:v>
                </c:pt>
                <c:pt idx="28">
                  <c:v>8095.1599999999971</c:v>
                </c:pt>
                <c:pt idx="29">
                  <c:v>8513.0200000000023</c:v>
                </c:pt>
                <c:pt idx="30">
                  <c:v>10301.57</c:v>
                </c:pt>
              </c:numCache>
            </c:numRef>
          </c:val>
          <c:smooth val="0"/>
          <c:extLst>
            <c:ext xmlns:c16="http://schemas.microsoft.com/office/drawing/2014/chart" uri="{C3380CC4-5D6E-409C-BE32-E72D297353CC}">
              <c16:uniqueId val="{00000000-0529-4BB3-BD11-8A2E69AE6602}"/>
            </c:ext>
          </c:extLst>
        </c:ser>
        <c:dLbls>
          <c:showLegendKey val="0"/>
          <c:showVal val="0"/>
          <c:showCatName val="0"/>
          <c:showSerName val="0"/>
          <c:showPercent val="0"/>
          <c:showBubbleSize val="0"/>
        </c:dLbls>
        <c:smooth val="0"/>
        <c:axId val="60346336"/>
        <c:axId val="60346752"/>
      </c:lineChart>
      <c:catAx>
        <c:axId val="6034633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0346752"/>
        <c:crosses val="autoZero"/>
        <c:auto val="1"/>
        <c:lblAlgn val="ctr"/>
        <c:lblOffset val="100"/>
        <c:noMultiLvlLbl val="0"/>
      </c:catAx>
      <c:valAx>
        <c:axId val="6034675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0346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[Talabat.xlsx]Data Analysis!#sales over days</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Total Sales overs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60249554367201E-2"/>
          <c:y val="0.29791164658634539"/>
          <c:w val="0.92937740536443636"/>
          <c:h val="0.52089744805995641"/>
        </c:manualLayout>
      </c:layout>
      <c:lineChart>
        <c:grouping val="standard"/>
        <c:varyColors val="0"/>
        <c:ser>
          <c:idx val="0"/>
          <c:order val="0"/>
          <c:tx>
            <c:strRef>
              <c:f>'Data Analysis'!$W$5</c:f>
              <c:strCache>
                <c:ptCount val="1"/>
                <c:pt idx="0">
                  <c:v>Total</c:v>
                </c:pt>
              </c:strCache>
            </c:strRef>
          </c:tx>
          <c:spPr>
            <a:ln w="28575" cap="rnd">
              <a:solidFill>
                <a:srgbClr val="0070C0"/>
              </a:solidFill>
              <a:round/>
            </a:ln>
            <a:effectLst/>
          </c:spPr>
          <c:marker>
            <c:symbol val="none"/>
          </c:marker>
          <c:cat>
            <c:strRef>
              <c:f>'Data Analysis'!$V$6:$V$37</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'Data Analysis'!$W$6:$W$37</c:f>
              <c:numCache>
                <c:formatCode>General</c:formatCode>
                <c:ptCount val="31"/>
                <c:pt idx="0">
                  <c:v>12626.300000000001</c:v>
                </c:pt>
                <c:pt idx="1">
                  <c:v>10501.989999999996</c:v>
                </c:pt>
                <c:pt idx="2">
                  <c:v>8060.03</c:v>
                </c:pt>
                <c:pt idx="3">
                  <c:v>11261.07</c:v>
                </c:pt>
                <c:pt idx="4">
                  <c:v>14292.220000000003</c:v>
                </c:pt>
                <c:pt idx="5">
                  <c:v>10497.679999999998</c:v>
                </c:pt>
                <c:pt idx="6">
                  <c:v>9073.869999999999</c:v>
                </c:pt>
                <c:pt idx="7">
                  <c:v>11700.439999999997</c:v>
                </c:pt>
                <c:pt idx="8">
                  <c:v>12914.25</c:v>
                </c:pt>
                <c:pt idx="9">
                  <c:v>9508.619999999999</c:v>
                </c:pt>
                <c:pt idx="10">
                  <c:v>10669.04</c:v>
                </c:pt>
                <c:pt idx="11">
                  <c:v>9845.7900000000027</c:v>
                </c:pt>
                <c:pt idx="12">
                  <c:v>10693.539999999999</c:v>
                </c:pt>
                <c:pt idx="13">
                  <c:v>10390.91</c:v>
                </c:pt>
                <c:pt idx="14">
                  <c:v>9411.9900000000016</c:v>
                </c:pt>
                <c:pt idx="15">
                  <c:v>9836.5399999999972</c:v>
                </c:pt>
                <c:pt idx="16">
                  <c:v>13039.18</c:v>
                </c:pt>
                <c:pt idx="17">
                  <c:v>7448.3300000000008</c:v>
                </c:pt>
                <c:pt idx="18">
                  <c:v>12586.97</c:v>
                </c:pt>
                <c:pt idx="19">
                  <c:v>9064.9499999999989</c:v>
                </c:pt>
                <c:pt idx="20">
                  <c:v>9958.2800000000007</c:v>
                </c:pt>
                <c:pt idx="21">
                  <c:v>10402.130000000001</c:v>
                </c:pt>
                <c:pt idx="22">
                  <c:v>9044.1000000000022</c:v>
                </c:pt>
                <c:pt idx="23">
                  <c:v>11229.840000000002</c:v>
                </c:pt>
                <c:pt idx="24">
                  <c:v>10691.7</c:v>
                </c:pt>
                <c:pt idx="25">
                  <c:v>13458.419999999998</c:v>
                </c:pt>
                <c:pt idx="26">
                  <c:v>12977.479999999996</c:v>
                </c:pt>
                <c:pt idx="27">
                  <c:v>8532.89</c:v>
                </c:pt>
                <c:pt idx="28">
                  <c:v>8095.1599999999971</c:v>
                </c:pt>
                <c:pt idx="29">
                  <c:v>8513.0200000000023</c:v>
                </c:pt>
                <c:pt idx="30">
                  <c:v>10301.57</c:v>
                </c:pt>
              </c:numCache>
            </c:numRef>
          </c:val>
          <c:smooth val="0"/>
          <c:extLst>
            <c:ext xmlns:c16="http://schemas.microsoft.com/office/drawing/2014/chart" uri="{C3380CC4-5D6E-409C-BE32-E72D297353CC}">
              <c16:uniqueId val="{00000000-A907-45E0-8D14-C7D600197919}"/>
            </c:ext>
          </c:extLst>
        </c:ser>
        <c:dLbls>
          <c:showLegendKey val="0"/>
          <c:showVal val="0"/>
          <c:showCatName val="0"/>
          <c:showSerName val="0"/>
          <c:showPercent val="0"/>
          <c:showBubbleSize val="0"/>
        </c:dLbls>
        <c:smooth val="0"/>
        <c:axId val="60346336"/>
        <c:axId val="60346752"/>
      </c:lineChart>
      <c:catAx>
        <c:axId val="6034633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60346752"/>
        <c:crosses val="autoZero"/>
        <c:auto val="1"/>
        <c:lblAlgn val="ctr"/>
        <c:lblOffset val="100"/>
        <c:noMultiLvlLbl val="0"/>
      </c:catAx>
      <c:valAx>
        <c:axId val="60346752"/>
        <c:scaling>
          <c:orientation val="minMax"/>
        </c:scaling>
        <c:delete val="0"/>
        <c:axPos val="r"/>
        <c:majorGridlines>
          <c:spPr>
            <a:ln w="9525" cap="flat" cmpd="tri" algn="ctr">
              <a:solidFill>
                <a:schemeClr val="bg1">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6034633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[Talabat.xlsx]Data Analysis!Payment&amp;orders</c:name>
    <c:fmtId val="7"/>
  </c:pivotSource>
  <c:chart>
    <c:autoTitleDeleted val="1"/>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9"/>
      </c:pivotFmt>
      <c:pivotFmt>
        <c:idx val="30"/>
      </c:pivotFmt>
      <c:pivotFmt>
        <c:idx val="31"/>
      </c:pivotFmt>
      <c:pivotFmt>
        <c:idx val="32"/>
      </c:pivotFmt>
      <c:pivotFmt>
        <c:idx val="3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4"/>
      </c:pivotFmt>
      <c:pivotFmt>
        <c:idx val="35"/>
      </c:pivotFmt>
      <c:pivotFmt>
        <c:idx val="36"/>
      </c:pivotFmt>
      <c:pivotFmt>
        <c:idx val="37"/>
      </c:pivotFmt>
      <c:pivotFmt>
        <c:idx val="3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4"/>
      </c:pivotFmt>
      <c:pivotFmt>
        <c:idx val="45"/>
      </c:pivotFmt>
      <c:pivotFmt>
        <c:idx val="46"/>
      </c:pivotFmt>
      <c:pivotFmt>
        <c:idx val="47"/>
      </c:pivotFmt>
      <c:pivotFmt>
        <c:idx val="48"/>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9"/>
        <c:spPr>
          <a:solidFill>
            <a:schemeClr val="accent6"/>
          </a:solidFill>
          <a:ln w="19050">
            <a:solidFill>
              <a:schemeClr val="lt1"/>
            </a:solidFill>
          </a:ln>
          <a:effectLst/>
        </c:spPr>
      </c:pivotFmt>
      <c:pivotFmt>
        <c:idx val="50"/>
        <c:spPr>
          <a:solidFill>
            <a:schemeClr val="accent5"/>
          </a:solidFill>
          <a:ln w="19050">
            <a:solidFill>
              <a:schemeClr val="lt1"/>
            </a:solidFill>
          </a:ln>
          <a:effectLst/>
        </c:spPr>
      </c:pivotFmt>
      <c:pivotFmt>
        <c:idx val="51"/>
        <c:spPr>
          <a:solidFill>
            <a:schemeClr val="accent4"/>
          </a:solidFill>
          <a:ln w="19050">
            <a:solidFill>
              <a:schemeClr val="lt1"/>
            </a:solidFill>
          </a:ln>
          <a:effectLst/>
        </c:spPr>
      </c:pivotFmt>
      <c:pivotFmt>
        <c:idx val="52"/>
        <c:spPr>
          <a:solidFill>
            <a:schemeClr val="accent6">
              <a:lumMod val="60000"/>
            </a:schemeClr>
          </a:solidFill>
          <a:ln w="19050">
            <a:solidFill>
              <a:schemeClr val="lt1"/>
            </a:solidFill>
          </a:ln>
          <a:effectLst/>
        </c:spPr>
      </c:pivotFmt>
      <c:pivotFmt>
        <c:idx val="53"/>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4"/>
        <c:spPr>
          <a:solidFill>
            <a:schemeClr val="accent6"/>
          </a:solidFill>
          <a:ln w="19050">
            <a:solidFill>
              <a:schemeClr val="lt1"/>
            </a:solidFill>
          </a:ln>
          <a:effectLst/>
        </c:spPr>
      </c:pivotFmt>
      <c:pivotFmt>
        <c:idx val="55"/>
        <c:spPr>
          <a:solidFill>
            <a:schemeClr val="accent5"/>
          </a:solidFill>
          <a:ln w="19050">
            <a:solidFill>
              <a:schemeClr val="lt1"/>
            </a:solidFill>
          </a:ln>
          <a:effectLst/>
        </c:spPr>
      </c:pivotFmt>
      <c:pivotFmt>
        <c:idx val="56"/>
        <c:spPr>
          <a:solidFill>
            <a:schemeClr val="accent4"/>
          </a:solidFill>
          <a:ln w="19050">
            <a:solidFill>
              <a:schemeClr val="lt1"/>
            </a:solidFill>
          </a:ln>
          <a:effectLst/>
        </c:spPr>
      </c:pivotFmt>
      <c:pivotFmt>
        <c:idx val="57"/>
        <c:spPr>
          <a:solidFill>
            <a:schemeClr val="accent6">
              <a:lumMod val="60000"/>
            </a:schemeClr>
          </a:solidFill>
          <a:ln w="19050">
            <a:solidFill>
              <a:schemeClr val="lt1"/>
            </a:solidFill>
          </a:ln>
          <a:effectLst/>
        </c:spPr>
      </c:pivotFmt>
      <c:pivotFmt>
        <c:idx val="58"/>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9"/>
        <c:spPr>
          <a:solidFill>
            <a:schemeClr val="accent6"/>
          </a:solidFill>
          <a:ln w="19050">
            <a:solidFill>
              <a:schemeClr val="lt1"/>
            </a:solidFill>
          </a:ln>
          <a:effectLst/>
        </c:spPr>
      </c:pivotFmt>
      <c:pivotFmt>
        <c:idx val="60"/>
        <c:spPr>
          <a:solidFill>
            <a:schemeClr val="accent5"/>
          </a:solidFill>
          <a:ln w="19050">
            <a:solidFill>
              <a:schemeClr val="lt1"/>
            </a:solidFill>
          </a:ln>
          <a:effectLst/>
        </c:spPr>
      </c:pivotFmt>
      <c:pivotFmt>
        <c:idx val="61"/>
        <c:spPr>
          <a:solidFill>
            <a:schemeClr val="accent4"/>
          </a:solidFill>
          <a:ln w="19050">
            <a:solidFill>
              <a:schemeClr val="lt1"/>
            </a:solidFill>
          </a:ln>
          <a:effectLst/>
        </c:spPr>
      </c:pivotFmt>
      <c:pivotFmt>
        <c:idx val="62"/>
        <c:spPr>
          <a:solidFill>
            <a:schemeClr val="accent6">
              <a:lumMod val="60000"/>
            </a:schemeClr>
          </a:solidFill>
          <a:ln w="19050">
            <a:solidFill>
              <a:schemeClr val="lt1"/>
            </a:solidFill>
          </a:ln>
          <a:effectLst/>
        </c:spPr>
      </c:pivotFmt>
    </c:pivotFmts>
    <c:plotArea>
      <c:layout>
        <c:manualLayout>
          <c:layoutTarget val="inner"/>
          <c:xMode val="edge"/>
          <c:yMode val="edge"/>
          <c:x val="0.27888920134983125"/>
          <c:y val="0.16317986293379996"/>
          <c:w val="0.50521770716160475"/>
          <c:h val="0.78589421114027413"/>
        </c:manualLayout>
      </c:layout>
      <c:pieChart>
        <c:varyColors val="1"/>
        <c:ser>
          <c:idx val="0"/>
          <c:order val="0"/>
          <c:tx>
            <c:strRef>
              <c:f>'Data Analysis'!$N$5:$N$6</c:f>
              <c:strCache>
                <c:ptCount val="1"/>
                <c:pt idx="0">
                  <c:v>Cancelled</c:v>
                </c:pt>
              </c:strCache>
            </c:strRef>
          </c:tx>
          <c:explosion val="3"/>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730-4CF1-A605-97D8F8E6027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730-4CF1-A605-97D8F8E6027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E730-4CF1-A605-97D8F8E6027C}"/>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E730-4CF1-A605-97D8F8E602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Analysis'!$M$7:$M$11</c:f>
              <c:strCache>
                <c:ptCount val="4"/>
                <c:pt idx="0">
                  <c:v>Cash</c:v>
                </c:pt>
                <c:pt idx="1">
                  <c:v>Credit Card</c:v>
                </c:pt>
                <c:pt idx="2">
                  <c:v>Wallet</c:v>
                </c:pt>
                <c:pt idx="3">
                  <c:v>PayPal</c:v>
                </c:pt>
              </c:strCache>
            </c:strRef>
          </c:cat>
          <c:val>
            <c:numRef>
              <c:f>'Data Analysis'!$N$7:$N$11</c:f>
              <c:numCache>
                <c:formatCode>General</c:formatCode>
                <c:ptCount val="4"/>
                <c:pt idx="0">
                  <c:v>82</c:v>
                </c:pt>
                <c:pt idx="1">
                  <c:v>70</c:v>
                </c:pt>
                <c:pt idx="2">
                  <c:v>77</c:v>
                </c:pt>
                <c:pt idx="3">
                  <c:v>68</c:v>
                </c:pt>
              </c:numCache>
            </c:numRef>
          </c:val>
          <c:extLst>
            <c:ext xmlns:c16="http://schemas.microsoft.com/office/drawing/2014/chart" uri="{C3380CC4-5D6E-409C-BE32-E72D297353CC}">
              <c16:uniqueId val="{00000008-E730-4CF1-A605-97D8F8E6027C}"/>
            </c:ext>
          </c:extLst>
        </c:ser>
        <c:ser>
          <c:idx val="1"/>
          <c:order val="1"/>
          <c:tx>
            <c:strRef>
              <c:f>'Data Analysis'!$O$5:$O$6</c:f>
              <c:strCache>
                <c:ptCount val="1"/>
                <c:pt idx="0">
                  <c:v>Failed</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A-E730-4CF1-A605-97D8F8E6027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C-E730-4CF1-A605-97D8F8E6027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E-E730-4CF1-A605-97D8F8E6027C}"/>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0-E730-4CF1-A605-97D8F8E602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Analysis'!$M$7:$M$11</c:f>
              <c:strCache>
                <c:ptCount val="4"/>
                <c:pt idx="0">
                  <c:v>Cash</c:v>
                </c:pt>
                <c:pt idx="1">
                  <c:v>Credit Card</c:v>
                </c:pt>
                <c:pt idx="2">
                  <c:v>Wallet</c:v>
                </c:pt>
                <c:pt idx="3">
                  <c:v>PayPal</c:v>
                </c:pt>
              </c:strCache>
            </c:strRef>
          </c:cat>
          <c:val>
            <c:numRef>
              <c:f>'Data Analysis'!$O$7:$O$11</c:f>
              <c:numCache>
                <c:formatCode>General</c:formatCode>
                <c:ptCount val="4"/>
                <c:pt idx="0">
                  <c:v>83</c:v>
                </c:pt>
                <c:pt idx="1">
                  <c:v>74</c:v>
                </c:pt>
                <c:pt idx="2">
                  <c:v>85</c:v>
                </c:pt>
                <c:pt idx="3">
                  <c:v>74</c:v>
                </c:pt>
              </c:numCache>
            </c:numRef>
          </c:val>
          <c:extLst>
            <c:ext xmlns:c16="http://schemas.microsoft.com/office/drawing/2014/chart" uri="{C3380CC4-5D6E-409C-BE32-E72D297353CC}">
              <c16:uniqueId val="{00000011-E730-4CF1-A605-97D8F8E6027C}"/>
            </c:ext>
          </c:extLst>
        </c:ser>
        <c:ser>
          <c:idx val="2"/>
          <c:order val="2"/>
          <c:tx>
            <c:strRef>
              <c:f>'Data Analysis'!$P$5:$P$6</c:f>
              <c:strCache>
                <c:ptCount val="1"/>
                <c:pt idx="0">
                  <c:v>Pending</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13-E730-4CF1-A605-97D8F8E6027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15-E730-4CF1-A605-97D8F8E6027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17-E730-4CF1-A605-97D8F8E6027C}"/>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9-E730-4CF1-A605-97D8F8E602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Analysis'!$M$7:$M$11</c:f>
              <c:strCache>
                <c:ptCount val="4"/>
                <c:pt idx="0">
                  <c:v>Cash</c:v>
                </c:pt>
                <c:pt idx="1">
                  <c:v>Credit Card</c:v>
                </c:pt>
                <c:pt idx="2">
                  <c:v>Wallet</c:v>
                </c:pt>
                <c:pt idx="3">
                  <c:v>PayPal</c:v>
                </c:pt>
              </c:strCache>
            </c:strRef>
          </c:cat>
          <c:val>
            <c:numRef>
              <c:f>'Data Analysis'!$P$7:$P$11</c:f>
              <c:numCache>
                <c:formatCode>General</c:formatCode>
                <c:ptCount val="4"/>
                <c:pt idx="0">
                  <c:v>78</c:v>
                </c:pt>
                <c:pt idx="1">
                  <c:v>87</c:v>
                </c:pt>
                <c:pt idx="2">
                  <c:v>68</c:v>
                </c:pt>
                <c:pt idx="3">
                  <c:v>69</c:v>
                </c:pt>
              </c:numCache>
            </c:numRef>
          </c:val>
          <c:extLst>
            <c:ext xmlns:c16="http://schemas.microsoft.com/office/drawing/2014/chart" uri="{C3380CC4-5D6E-409C-BE32-E72D297353CC}">
              <c16:uniqueId val="{0000001A-E730-4CF1-A605-97D8F8E6027C}"/>
            </c:ext>
          </c:extLst>
        </c:ser>
        <c:dLbls>
          <c:dLblPos val="inEnd"/>
          <c:showLegendKey val="0"/>
          <c:showVal val="0"/>
          <c:showCatName val="1"/>
          <c:showSerName val="0"/>
          <c:showPercent val="0"/>
          <c:showBubbleSize val="0"/>
          <c:showLeaderLines val="1"/>
        </c:dLbls>
        <c:firstSliceAng val="360"/>
      </c:pieChart>
      <c:spPr>
        <a:noFill/>
        <a:ln>
          <a:noFill/>
        </a:ln>
        <a:effectLst/>
      </c:spPr>
    </c:plotArea>
    <c:legend>
      <c:legendPos val="r"/>
      <c:layout>
        <c:manualLayout>
          <c:xMode val="edge"/>
          <c:yMode val="edge"/>
          <c:x val="1.7741863823846071E-2"/>
          <c:y val="0.3044102639734183"/>
          <c:w val="0.26728249572830243"/>
          <c:h val="0.517245311639250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[Talabat.xlsx]Data Analysis!Cites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alpha val="5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86645236507736E-2"/>
          <c:y val="5.5878949475749853E-2"/>
          <c:w val="0.82563846606630731"/>
          <c:h val="0.53075267184976926"/>
        </c:manualLayout>
      </c:layout>
      <c:areaChart>
        <c:grouping val="standard"/>
        <c:varyColors val="0"/>
        <c:ser>
          <c:idx val="0"/>
          <c:order val="0"/>
          <c:tx>
            <c:strRef>
              <c:f>'Data Analysis'!$T$5</c:f>
              <c:strCache>
                <c:ptCount val="1"/>
                <c:pt idx="0">
                  <c:v>Total</c:v>
                </c:pt>
              </c:strCache>
            </c:strRef>
          </c:tx>
          <c:spPr>
            <a:solidFill>
              <a:srgbClr val="0070C0">
                <a:alpha val="55000"/>
              </a:srgbClr>
            </a:solidFill>
            <a:ln>
              <a:noFill/>
            </a:ln>
            <a:effectLst/>
          </c:spPr>
          <c:cat>
            <c:strRef>
              <c:f>'Data Analysis'!$S$6:$S$16</c:f>
              <c:strCache>
                <c:ptCount val="10"/>
                <c:pt idx="0">
                  <c:v>Zagazig</c:v>
                </c:pt>
                <c:pt idx="1">
                  <c:v>Alexandria</c:v>
                </c:pt>
                <c:pt idx="2">
                  <c:v>Mansoura</c:v>
                </c:pt>
                <c:pt idx="3">
                  <c:v>Aswan</c:v>
                </c:pt>
                <c:pt idx="4">
                  <c:v>Hurghada</c:v>
                </c:pt>
                <c:pt idx="5">
                  <c:v>Tanta</c:v>
                </c:pt>
                <c:pt idx="6">
                  <c:v>Cairo</c:v>
                </c:pt>
                <c:pt idx="7">
                  <c:v>Sharm El Sheikh</c:v>
                </c:pt>
                <c:pt idx="8">
                  <c:v>Luxor</c:v>
                </c:pt>
                <c:pt idx="9">
                  <c:v>Giza</c:v>
                </c:pt>
              </c:strCache>
            </c:strRef>
          </c:cat>
          <c:val>
            <c:numRef>
              <c:f>'Data Analysis'!$T$6:$T$16</c:f>
              <c:numCache>
                <c:formatCode>General</c:formatCode>
                <c:ptCount val="10"/>
                <c:pt idx="0">
                  <c:v>135</c:v>
                </c:pt>
                <c:pt idx="1">
                  <c:v>130</c:v>
                </c:pt>
                <c:pt idx="2">
                  <c:v>125</c:v>
                </c:pt>
                <c:pt idx="3">
                  <c:v>125</c:v>
                </c:pt>
                <c:pt idx="4">
                  <c:v>119</c:v>
                </c:pt>
                <c:pt idx="5">
                  <c:v>118</c:v>
                </c:pt>
                <c:pt idx="6">
                  <c:v>116</c:v>
                </c:pt>
                <c:pt idx="7">
                  <c:v>114</c:v>
                </c:pt>
                <c:pt idx="8">
                  <c:v>111</c:v>
                </c:pt>
                <c:pt idx="9">
                  <c:v>107</c:v>
                </c:pt>
              </c:numCache>
            </c:numRef>
          </c:val>
          <c:extLst>
            <c:ext xmlns:c16="http://schemas.microsoft.com/office/drawing/2014/chart" uri="{C3380CC4-5D6E-409C-BE32-E72D297353CC}">
              <c16:uniqueId val="{00000000-6CEF-4546-977D-83CB868966F2}"/>
            </c:ext>
          </c:extLst>
        </c:ser>
        <c:dLbls>
          <c:showLegendKey val="0"/>
          <c:showVal val="0"/>
          <c:showCatName val="0"/>
          <c:showSerName val="0"/>
          <c:showPercent val="0"/>
          <c:showBubbleSize val="0"/>
        </c:dLbls>
        <c:axId val="52255072"/>
        <c:axId val="52258816"/>
      </c:areaChart>
      <c:catAx>
        <c:axId val="5225507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52258816"/>
        <c:crosses val="autoZero"/>
        <c:auto val="1"/>
        <c:lblAlgn val="ctr"/>
        <c:lblOffset val="100"/>
        <c:noMultiLvlLbl val="0"/>
      </c:catAx>
      <c:valAx>
        <c:axId val="52258816"/>
        <c:scaling>
          <c:orientation val="minMax"/>
        </c:scaling>
        <c:delete val="0"/>
        <c:axPos val="r"/>
        <c:majorGridlines>
          <c:spPr>
            <a:ln w="9525" cap="flat" cmpd="sng" algn="ctr">
              <a:solidFill>
                <a:schemeClr val="accent1">
                  <a:shade val="50000"/>
                  <a:alpha val="16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522550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[Talabat.xlsx]Data Analysis!worst_restaurant</c:name>
    <c:fmtId val="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52274715660542"/>
          <c:y val="0.15740740740740741"/>
          <c:w val="0.72857699037620305"/>
          <c:h val="0.62952354913969089"/>
        </c:manualLayout>
      </c:layout>
      <c:barChart>
        <c:barDir val="col"/>
        <c:grouping val="clustered"/>
        <c:varyColors val="0"/>
        <c:ser>
          <c:idx val="0"/>
          <c:order val="0"/>
          <c:tx>
            <c:strRef>
              <c:f>'Data Analysis'!$H$5:$H$6</c:f>
              <c:strCache>
                <c:ptCount val="1"/>
                <c:pt idx="0">
                  <c:v>Cancelled</c:v>
                </c:pt>
              </c:strCache>
            </c:strRef>
          </c:tx>
          <c:spPr>
            <a:solidFill>
              <a:schemeClr val="accent6"/>
            </a:solidFill>
            <a:ln>
              <a:noFill/>
            </a:ln>
            <a:effectLst/>
          </c:spPr>
          <c:invertIfNegative val="0"/>
          <c:cat>
            <c:strRef>
              <c:f>'Data Analysis'!$G$7:$G$17</c:f>
              <c:strCache>
                <c:ptCount val="10"/>
                <c:pt idx="0">
                  <c:v>Domino's</c:v>
                </c:pt>
                <c:pt idx="1">
                  <c:v>McDonald's</c:v>
                </c:pt>
                <c:pt idx="2">
                  <c:v>Subway</c:v>
                </c:pt>
                <c:pt idx="3">
                  <c:v>Sushi World</c:v>
                </c:pt>
                <c:pt idx="4">
                  <c:v>Pizza Hut</c:v>
                </c:pt>
                <c:pt idx="5">
                  <c:v>KFC</c:v>
                </c:pt>
                <c:pt idx="6">
                  <c:v>Burger King</c:v>
                </c:pt>
                <c:pt idx="7">
                  <c:v>Popeyes</c:v>
                </c:pt>
                <c:pt idx="8">
                  <c:v>Shawarma Express</c:v>
                </c:pt>
                <c:pt idx="9">
                  <c:v>Hardee's</c:v>
                </c:pt>
              </c:strCache>
            </c:strRef>
          </c:cat>
          <c:val>
            <c:numRef>
              <c:f>'Data Analysis'!$H$7:$H$17</c:f>
              <c:numCache>
                <c:formatCode>0.00%</c:formatCode>
                <c:ptCount val="10"/>
                <c:pt idx="0">
                  <c:v>3.7158469945355189E-2</c:v>
                </c:pt>
                <c:pt idx="1">
                  <c:v>3.4972677595628415E-2</c:v>
                </c:pt>
                <c:pt idx="2">
                  <c:v>2.9508196721311476E-2</c:v>
                </c:pt>
                <c:pt idx="3">
                  <c:v>3.9344262295081971E-2</c:v>
                </c:pt>
                <c:pt idx="4">
                  <c:v>3.0601092896174863E-2</c:v>
                </c:pt>
                <c:pt idx="5">
                  <c:v>2.9508196721311476E-2</c:v>
                </c:pt>
                <c:pt idx="6">
                  <c:v>3.4972677595628415E-2</c:v>
                </c:pt>
                <c:pt idx="7">
                  <c:v>2.9508196721311476E-2</c:v>
                </c:pt>
                <c:pt idx="8">
                  <c:v>3.4972677595628415E-2</c:v>
                </c:pt>
                <c:pt idx="9">
                  <c:v>2.4043715846994537E-2</c:v>
                </c:pt>
              </c:numCache>
            </c:numRef>
          </c:val>
          <c:extLst>
            <c:ext xmlns:c16="http://schemas.microsoft.com/office/drawing/2014/chart" uri="{C3380CC4-5D6E-409C-BE32-E72D297353CC}">
              <c16:uniqueId val="{00000000-9F3D-4357-B746-DF0E40D15C99}"/>
            </c:ext>
          </c:extLst>
        </c:ser>
        <c:ser>
          <c:idx val="1"/>
          <c:order val="1"/>
          <c:tx>
            <c:strRef>
              <c:f>'Data Analysis'!$I$5:$I$6</c:f>
              <c:strCache>
                <c:ptCount val="1"/>
                <c:pt idx="0">
                  <c:v>Failed</c:v>
                </c:pt>
              </c:strCache>
            </c:strRef>
          </c:tx>
          <c:spPr>
            <a:solidFill>
              <a:schemeClr val="accent5"/>
            </a:solidFill>
            <a:ln>
              <a:noFill/>
            </a:ln>
            <a:effectLst/>
          </c:spPr>
          <c:invertIfNegative val="0"/>
          <c:cat>
            <c:strRef>
              <c:f>'Data Analysis'!$G$7:$G$17</c:f>
              <c:strCache>
                <c:ptCount val="10"/>
                <c:pt idx="0">
                  <c:v>Domino's</c:v>
                </c:pt>
                <c:pt idx="1">
                  <c:v>McDonald's</c:v>
                </c:pt>
                <c:pt idx="2">
                  <c:v>Subway</c:v>
                </c:pt>
                <c:pt idx="3">
                  <c:v>Sushi World</c:v>
                </c:pt>
                <c:pt idx="4">
                  <c:v>Pizza Hut</c:v>
                </c:pt>
                <c:pt idx="5">
                  <c:v>KFC</c:v>
                </c:pt>
                <c:pt idx="6">
                  <c:v>Burger King</c:v>
                </c:pt>
                <c:pt idx="7">
                  <c:v>Popeyes</c:v>
                </c:pt>
                <c:pt idx="8">
                  <c:v>Shawarma Express</c:v>
                </c:pt>
                <c:pt idx="9">
                  <c:v>Hardee's</c:v>
                </c:pt>
              </c:strCache>
            </c:strRef>
          </c:cat>
          <c:val>
            <c:numRef>
              <c:f>'Data Analysis'!$I$7:$I$17</c:f>
              <c:numCache>
                <c:formatCode>0.00%</c:formatCode>
                <c:ptCount val="10"/>
                <c:pt idx="0">
                  <c:v>4.2622950819672129E-2</c:v>
                </c:pt>
                <c:pt idx="1">
                  <c:v>4.480874316939891E-2</c:v>
                </c:pt>
                <c:pt idx="2">
                  <c:v>4.6994535519125684E-2</c:v>
                </c:pt>
                <c:pt idx="3">
                  <c:v>3.3879781420765025E-2</c:v>
                </c:pt>
                <c:pt idx="4">
                  <c:v>2.7322404371584699E-2</c:v>
                </c:pt>
                <c:pt idx="5">
                  <c:v>3.2786885245901641E-2</c:v>
                </c:pt>
                <c:pt idx="6">
                  <c:v>3.169398907103825E-2</c:v>
                </c:pt>
                <c:pt idx="7">
                  <c:v>2.6229508196721311E-2</c:v>
                </c:pt>
                <c:pt idx="8">
                  <c:v>3.169398907103825E-2</c:v>
                </c:pt>
                <c:pt idx="9">
                  <c:v>2.7322404371584699E-2</c:v>
                </c:pt>
              </c:numCache>
            </c:numRef>
          </c:val>
          <c:extLst>
            <c:ext xmlns:c16="http://schemas.microsoft.com/office/drawing/2014/chart" uri="{C3380CC4-5D6E-409C-BE32-E72D297353CC}">
              <c16:uniqueId val="{00000001-9F3D-4357-B746-DF0E40D15C99}"/>
            </c:ext>
          </c:extLst>
        </c:ser>
        <c:ser>
          <c:idx val="2"/>
          <c:order val="2"/>
          <c:tx>
            <c:strRef>
              <c:f>'Data Analysis'!$J$5:$J$6</c:f>
              <c:strCache>
                <c:ptCount val="1"/>
                <c:pt idx="0">
                  <c:v>Pending</c:v>
                </c:pt>
              </c:strCache>
            </c:strRef>
          </c:tx>
          <c:spPr>
            <a:solidFill>
              <a:schemeClr val="accent4"/>
            </a:solidFill>
            <a:ln>
              <a:noFill/>
            </a:ln>
            <a:effectLst/>
          </c:spPr>
          <c:invertIfNegative val="0"/>
          <c:cat>
            <c:strRef>
              <c:f>'Data Analysis'!$G$7:$G$17</c:f>
              <c:strCache>
                <c:ptCount val="10"/>
                <c:pt idx="0">
                  <c:v>Domino's</c:v>
                </c:pt>
                <c:pt idx="1">
                  <c:v>McDonald's</c:v>
                </c:pt>
                <c:pt idx="2">
                  <c:v>Subway</c:v>
                </c:pt>
                <c:pt idx="3">
                  <c:v>Sushi World</c:v>
                </c:pt>
                <c:pt idx="4">
                  <c:v>Pizza Hut</c:v>
                </c:pt>
                <c:pt idx="5">
                  <c:v>KFC</c:v>
                </c:pt>
                <c:pt idx="6">
                  <c:v>Burger King</c:v>
                </c:pt>
                <c:pt idx="7">
                  <c:v>Popeyes</c:v>
                </c:pt>
                <c:pt idx="8">
                  <c:v>Shawarma Express</c:v>
                </c:pt>
                <c:pt idx="9">
                  <c:v>Hardee's</c:v>
                </c:pt>
              </c:strCache>
            </c:strRef>
          </c:cat>
          <c:val>
            <c:numRef>
              <c:f>'Data Analysis'!$J$7:$J$17</c:f>
              <c:numCache>
                <c:formatCode>0.00%</c:formatCode>
                <c:ptCount val="10"/>
                <c:pt idx="0">
                  <c:v>5.0273224043715849E-2</c:v>
                </c:pt>
                <c:pt idx="1">
                  <c:v>3.169398907103825E-2</c:v>
                </c:pt>
                <c:pt idx="2">
                  <c:v>3.2786885245901641E-2</c:v>
                </c:pt>
                <c:pt idx="3">
                  <c:v>3.169398907103825E-2</c:v>
                </c:pt>
                <c:pt idx="4">
                  <c:v>4.6994535519125684E-2</c:v>
                </c:pt>
                <c:pt idx="5">
                  <c:v>3.0601092896174863E-2</c:v>
                </c:pt>
                <c:pt idx="6">
                  <c:v>2.5136612021857924E-2</c:v>
                </c:pt>
                <c:pt idx="7">
                  <c:v>3.4972677595628415E-2</c:v>
                </c:pt>
                <c:pt idx="8">
                  <c:v>2.4043715846994537E-2</c:v>
                </c:pt>
                <c:pt idx="9">
                  <c:v>2.185792349726776E-2</c:v>
                </c:pt>
              </c:numCache>
            </c:numRef>
          </c:val>
          <c:extLst>
            <c:ext xmlns:c16="http://schemas.microsoft.com/office/drawing/2014/chart" uri="{C3380CC4-5D6E-409C-BE32-E72D297353CC}">
              <c16:uniqueId val="{00000002-9F3D-4357-B746-DF0E40D15C99}"/>
            </c:ext>
          </c:extLst>
        </c:ser>
        <c:dLbls>
          <c:showLegendKey val="0"/>
          <c:showVal val="0"/>
          <c:showCatName val="0"/>
          <c:showSerName val="0"/>
          <c:showPercent val="0"/>
          <c:showBubbleSize val="0"/>
        </c:dLbls>
        <c:gapWidth val="219"/>
        <c:overlap val="-27"/>
        <c:axId val="2020027839"/>
        <c:axId val="2020031167"/>
      </c:barChart>
      <c:catAx>
        <c:axId val="202002783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2020031167"/>
        <c:crosses val="autoZero"/>
        <c:auto val="1"/>
        <c:lblAlgn val="ctr"/>
        <c:lblOffset val="100"/>
        <c:noMultiLvlLbl val="0"/>
      </c:catAx>
      <c:valAx>
        <c:axId val="2020031167"/>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2020027839"/>
        <c:crosses val="autoZero"/>
        <c:crossBetween val="between"/>
      </c:valAx>
      <c:spPr>
        <a:noFill/>
        <a:ln>
          <a:noFill/>
        </a:ln>
        <a:effectLst/>
      </c:spPr>
    </c:plotArea>
    <c:legend>
      <c:legendPos val="l"/>
      <c:layout>
        <c:manualLayout>
          <c:xMode val="edge"/>
          <c:yMode val="edge"/>
          <c:x val="0"/>
          <c:y val="0.26643056941825932"/>
          <c:w val="0.22231183638741137"/>
          <c:h val="0.316903626483309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pe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12</xdr:col>
      <xdr:colOff>647432</xdr:colOff>
      <xdr:row>1</xdr:row>
      <xdr:rowOff>20392</xdr:rowOff>
    </xdr:from>
    <xdr:to>
      <xdr:col>19</xdr:col>
      <xdr:colOff>420441</xdr:colOff>
      <xdr:row>16</xdr:row>
      <xdr:rowOff>48966</xdr:rowOff>
    </xdr:to>
    <xdr:graphicFrame macro="">
      <xdr:nvGraphicFramePr>
        <xdr:cNvPr id="3" name="Chart 2">
          <a:extLst>
            <a:ext uri="{FF2B5EF4-FFF2-40B4-BE49-F238E27FC236}">
              <a16:creationId xmlns:a16="http://schemas.microsoft.com/office/drawing/2014/main" id="{F706330C-E9C3-4E80-8A49-3FD15E31B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456126</xdr:colOff>
      <xdr:row>1</xdr:row>
      <xdr:rowOff>13416</xdr:rowOff>
    </xdr:from>
    <xdr:to>
      <xdr:col>12</xdr:col>
      <xdr:colOff>618185</xdr:colOff>
      <xdr:row>16</xdr:row>
      <xdr:rowOff>140594</xdr:rowOff>
    </xdr:to>
    <xdr:graphicFrame macro="">
      <xdr:nvGraphicFramePr>
        <xdr:cNvPr id="4" name="Chart 3">
          <a:extLst>
            <a:ext uri="{FF2B5EF4-FFF2-40B4-BE49-F238E27FC236}">
              <a16:creationId xmlns:a16="http://schemas.microsoft.com/office/drawing/2014/main" id="{C6F64A99-1817-47A1-BDD8-37009EB08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26832</xdr:rowOff>
    </xdr:from>
    <xdr:to>
      <xdr:col>6</xdr:col>
      <xdr:colOff>466859</xdr:colOff>
      <xdr:row>16</xdr:row>
      <xdr:rowOff>154010</xdr:rowOff>
    </xdr:to>
    <xdr:graphicFrame macro="">
      <xdr:nvGraphicFramePr>
        <xdr:cNvPr id="5" name="Chart 4">
          <a:extLst>
            <a:ext uri="{FF2B5EF4-FFF2-40B4-BE49-F238E27FC236}">
              <a16:creationId xmlns:a16="http://schemas.microsoft.com/office/drawing/2014/main" id="{BBD906B7-2F5B-411D-978C-E58D604BC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13415</xdr:colOff>
      <xdr:row>16</xdr:row>
      <xdr:rowOff>134155</xdr:rowOff>
    </xdr:from>
    <xdr:to>
      <xdr:col>19</xdr:col>
      <xdr:colOff>480274</xdr:colOff>
      <xdr:row>32</xdr:row>
      <xdr:rowOff>86933</xdr:rowOff>
    </xdr:to>
    <xdr:graphicFrame macro="">
      <xdr:nvGraphicFramePr>
        <xdr:cNvPr id="6" name="Chart 5">
          <a:extLst>
            <a:ext uri="{FF2B5EF4-FFF2-40B4-BE49-F238E27FC236}">
              <a16:creationId xmlns:a16="http://schemas.microsoft.com/office/drawing/2014/main" id="{D41E5542-C2F6-4675-871F-CBA752414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241479</xdr:colOff>
      <xdr:row>17</xdr:row>
      <xdr:rowOff>93909</xdr:rowOff>
    </xdr:from>
    <xdr:to>
      <xdr:col>9</xdr:col>
      <xdr:colOff>17709</xdr:colOff>
      <xdr:row>32</xdr:row>
      <xdr:rowOff>2013</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3BEB0C75-4B41-46A2-A32C-B95660CA064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346620" y="3058733"/>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657224</xdr:colOff>
      <xdr:row>0</xdr:row>
      <xdr:rowOff>123826</xdr:rowOff>
    </xdr:from>
    <xdr:to>
      <xdr:col>17</xdr:col>
      <xdr:colOff>400049</xdr:colOff>
      <xdr:row>29</xdr:row>
      <xdr:rowOff>171451</xdr:rowOff>
    </xdr:to>
    <xdr:sp macro="" textlink="">
      <xdr:nvSpPr>
        <xdr:cNvPr id="2" name="Rectangle: Rounded Corners 1">
          <a:extLst>
            <a:ext uri="{FF2B5EF4-FFF2-40B4-BE49-F238E27FC236}">
              <a16:creationId xmlns:a16="http://schemas.microsoft.com/office/drawing/2014/main" id="{A3F54607-25E9-4C72-9F4C-E16BFF83D8F6}"/>
            </a:ext>
          </a:extLst>
        </xdr:cNvPr>
        <xdr:cNvSpPr/>
      </xdr:nvSpPr>
      <xdr:spPr>
        <a:xfrm>
          <a:off x="657224" y="123826"/>
          <a:ext cx="11437408" cy="5265208"/>
        </a:xfrm>
        <a:prstGeom prst="roundRect">
          <a:avLst>
            <a:gd name="adj" fmla="val 1206"/>
          </a:avLst>
        </a:prstGeom>
        <a:solidFill>
          <a:srgbClr val="1E293B"/>
        </a:solidFill>
        <a:ln>
          <a:noFill/>
        </a:ln>
        <a:effectLst>
          <a:outerShdw blurRad="76200" dir="18900000" sy="23000" kx="-1200000" algn="b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100"/>
            <a:t>vv</a:t>
          </a:r>
          <a:endParaRPr lang="ar-EG" sz="1100"/>
        </a:p>
      </xdr:txBody>
    </xdr:sp>
    <xdr:clientData/>
  </xdr:twoCellAnchor>
  <xdr:twoCellAnchor>
    <xdr:from>
      <xdr:col>2</xdr:col>
      <xdr:colOff>557213</xdr:colOff>
      <xdr:row>4</xdr:row>
      <xdr:rowOff>133350</xdr:rowOff>
    </xdr:from>
    <xdr:to>
      <xdr:col>4</xdr:col>
      <xdr:colOff>517613</xdr:colOff>
      <xdr:row>7</xdr:row>
      <xdr:rowOff>134025</xdr:rowOff>
    </xdr:to>
    <xdr:sp macro="" textlink="">
      <xdr:nvSpPr>
        <xdr:cNvPr id="3" name="Rectangle: Rounded Corners 2">
          <a:extLst>
            <a:ext uri="{FF2B5EF4-FFF2-40B4-BE49-F238E27FC236}">
              <a16:creationId xmlns:a16="http://schemas.microsoft.com/office/drawing/2014/main" id="{CC3F6848-D4F5-47FC-B444-522E42059756}"/>
            </a:ext>
          </a:extLst>
        </xdr:cNvPr>
        <xdr:cNvSpPr/>
      </xdr:nvSpPr>
      <xdr:spPr>
        <a:xfrm>
          <a:off x="1928813" y="857250"/>
          <a:ext cx="1332000" cy="543600"/>
        </a:xfrm>
        <a:prstGeom prst="roundRect">
          <a:avLst/>
        </a:prstGeom>
        <a:solidFill>
          <a:srgbClr val="9CA3A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en-US" sz="1100"/>
        </a:p>
      </xdr:txBody>
    </xdr:sp>
    <xdr:clientData/>
  </xdr:twoCellAnchor>
  <xdr:twoCellAnchor>
    <xdr:from>
      <xdr:col>1</xdr:col>
      <xdr:colOff>19050</xdr:colOff>
      <xdr:row>4</xdr:row>
      <xdr:rowOff>133349</xdr:rowOff>
    </xdr:from>
    <xdr:to>
      <xdr:col>2</xdr:col>
      <xdr:colOff>533400</xdr:colOff>
      <xdr:row>7</xdr:row>
      <xdr:rowOff>142875</xdr:rowOff>
    </xdr:to>
    <xdr:sp macro="" textlink="">
      <xdr:nvSpPr>
        <xdr:cNvPr id="4" name="Rectangle: Rounded Corners 3">
          <a:extLst>
            <a:ext uri="{FF2B5EF4-FFF2-40B4-BE49-F238E27FC236}">
              <a16:creationId xmlns:a16="http://schemas.microsoft.com/office/drawing/2014/main" id="{275DB3A7-3179-47BD-8ED7-6169E0FEED13}"/>
            </a:ext>
          </a:extLst>
        </xdr:cNvPr>
        <xdr:cNvSpPr/>
      </xdr:nvSpPr>
      <xdr:spPr>
        <a:xfrm>
          <a:off x="704850" y="857249"/>
          <a:ext cx="1200150" cy="552451"/>
        </a:xfrm>
        <a:prstGeom prst="roundRect">
          <a:avLst/>
        </a:prstGeom>
        <a:solidFill>
          <a:srgbClr val="9CA3A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en-US" sz="1100"/>
        </a:p>
      </xdr:txBody>
    </xdr:sp>
    <xdr:clientData/>
  </xdr:twoCellAnchor>
  <xdr:twoCellAnchor>
    <xdr:from>
      <xdr:col>1</xdr:col>
      <xdr:colOff>10583</xdr:colOff>
      <xdr:row>19</xdr:row>
      <xdr:rowOff>95253</xdr:rowOff>
    </xdr:from>
    <xdr:to>
      <xdr:col>17</xdr:col>
      <xdr:colOff>349252</xdr:colOff>
      <xdr:row>29</xdr:row>
      <xdr:rowOff>109543</xdr:rowOff>
    </xdr:to>
    <xdr:sp macro="" textlink="">
      <xdr:nvSpPr>
        <xdr:cNvPr id="21" name="Rectangle: Rounded Corners 20">
          <a:extLst>
            <a:ext uri="{FF2B5EF4-FFF2-40B4-BE49-F238E27FC236}">
              <a16:creationId xmlns:a16="http://schemas.microsoft.com/office/drawing/2014/main" id="{970693F9-4419-4277-9FF3-A624C7AA81D7}"/>
            </a:ext>
          </a:extLst>
        </xdr:cNvPr>
        <xdr:cNvSpPr/>
      </xdr:nvSpPr>
      <xdr:spPr>
        <a:xfrm rot="5400000">
          <a:off x="5464440" y="-1252270"/>
          <a:ext cx="1813456" cy="11345335"/>
        </a:xfrm>
        <a:prstGeom prst="roundRect">
          <a:avLst>
            <a:gd name="adj" fmla="val 9829"/>
          </a:avLst>
        </a:prstGeom>
        <a:solidFill>
          <a:srgbClr val="9CA3A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542924</xdr:colOff>
      <xdr:row>4</xdr:row>
      <xdr:rowOff>133350</xdr:rowOff>
    </xdr:from>
    <xdr:to>
      <xdr:col>6</xdr:col>
      <xdr:colOff>503324</xdr:colOff>
      <xdr:row>7</xdr:row>
      <xdr:rowOff>133350</xdr:rowOff>
    </xdr:to>
    <xdr:sp macro="" textlink="">
      <xdr:nvSpPr>
        <xdr:cNvPr id="5" name="Rectangle: Rounded Corners 4">
          <a:extLst>
            <a:ext uri="{FF2B5EF4-FFF2-40B4-BE49-F238E27FC236}">
              <a16:creationId xmlns:a16="http://schemas.microsoft.com/office/drawing/2014/main" id="{E7263FDA-BD0F-4CDC-A279-E0FF5ADE1497}"/>
            </a:ext>
          </a:extLst>
        </xdr:cNvPr>
        <xdr:cNvSpPr/>
      </xdr:nvSpPr>
      <xdr:spPr>
        <a:xfrm>
          <a:off x="3286124" y="857250"/>
          <a:ext cx="1332000" cy="542925"/>
        </a:xfrm>
        <a:prstGeom prst="roundRect">
          <a:avLst/>
        </a:prstGeom>
        <a:solidFill>
          <a:srgbClr val="9CA3A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en-US" sz="1100"/>
        </a:p>
      </xdr:txBody>
    </xdr:sp>
    <xdr:clientData/>
  </xdr:twoCellAnchor>
  <xdr:twoCellAnchor>
    <xdr:from>
      <xdr:col>6</xdr:col>
      <xdr:colOff>406400</xdr:colOff>
      <xdr:row>0</xdr:row>
      <xdr:rowOff>87843</xdr:rowOff>
    </xdr:from>
    <xdr:to>
      <xdr:col>11</xdr:col>
      <xdr:colOff>520700</xdr:colOff>
      <xdr:row>3</xdr:row>
      <xdr:rowOff>143934</xdr:rowOff>
    </xdr:to>
    <xdr:sp macro="" textlink="">
      <xdr:nvSpPr>
        <xdr:cNvPr id="6" name="Rectangle 5">
          <a:extLst>
            <a:ext uri="{FF2B5EF4-FFF2-40B4-BE49-F238E27FC236}">
              <a16:creationId xmlns:a16="http://schemas.microsoft.com/office/drawing/2014/main" id="{816DDD66-3911-41F8-9C66-3CA33E63ABD1}"/>
            </a:ext>
          </a:extLst>
        </xdr:cNvPr>
        <xdr:cNvSpPr/>
      </xdr:nvSpPr>
      <xdr:spPr>
        <a:xfrm>
          <a:off x="4533900" y="87843"/>
          <a:ext cx="3553883" cy="59584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600" b="1">
              <a:solidFill>
                <a:srgbClr val="FFFFFF"/>
              </a:solidFill>
              <a:latin typeface="Dubai" panose="020B0503030403030204" pitchFamily="34" charset="-78"/>
              <a:cs typeface="Dubai" panose="020B0503030403030204" pitchFamily="34" charset="-78"/>
            </a:rPr>
            <a:t>Talabat</a:t>
          </a:r>
          <a:r>
            <a:rPr lang="en-US" sz="1600" b="1" baseline="0">
              <a:solidFill>
                <a:srgbClr val="FFFFFF"/>
              </a:solidFill>
              <a:latin typeface="Dubai" panose="020B0503030403030204" pitchFamily="34" charset="-78"/>
              <a:cs typeface="Dubai" panose="020B0503030403030204" pitchFamily="34" charset="-78"/>
            </a:rPr>
            <a:t> Sales Performance </a:t>
          </a:r>
          <a:r>
            <a:rPr lang="en-US" sz="1600" b="1" baseline="0">
              <a:solidFill>
                <a:srgbClr val="60A5FA"/>
              </a:solidFill>
              <a:latin typeface="Dubai" panose="020B0503030403030204" pitchFamily="34" charset="-78"/>
              <a:cs typeface="Dubai" panose="020B0503030403030204" pitchFamily="34" charset="-78"/>
            </a:rPr>
            <a:t>Dashboard</a:t>
          </a:r>
          <a:endParaRPr lang="ar-EG" sz="1600" b="1">
            <a:solidFill>
              <a:srgbClr val="60A5FA"/>
            </a:solidFill>
            <a:latin typeface="Dubai" panose="020B0503030403030204" pitchFamily="34" charset="-78"/>
            <a:cs typeface="Dubai" panose="020B0503030403030204" pitchFamily="34" charset="-78"/>
          </a:endParaRPr>
        </a:p>
      </xdr:txBody>
    </xdr:sp>
    <xdr:clientData/>
  </xdr:twoCellAnchor>
  <xdr:twoCellAnchor>
    <xdr:from>
      <xdr:col>3</xdr:col>
      <xdr:colOff>85725</xdr:colOff>
      <xdr:row>6</xdr:row>
      <xdr:rowOff>9525</xdr:rowOff>
    </xdr:from>
    <xdr:to>
      <xdr:col>4</xdr:col>
      <xdr:colOff>438150</xdr:colOff>
      <xdr:row>7</xdr:row>
      <xdr:rowOff>57150</xdr:rowOff>
    </xdr:to>
    <xdr:sp macro="" textlink="'Data Analysis'!B7">
      <xdr:nvSpPr>
        <xdr:cNvPr id="7" name="Rectangle 6">
          <a:extLst>
            <a:ext uri="{FF2B5EF4-FFF2-40B4-BE49-F238E27FC236}">
              <a16:creationId xmlns:a16="http://schemas.microsoft.com/office/drawing/2014/main" id="{97651F95-EBAE-4C38-86AB-01651A9F69EE}"/>
            </a:ext>
          </a:extLst>
        </xdr:cNvPr>
        <xdr:cNvSpPr/>
      </xdr:nvSpPr>
      <xdr:spPr>
        <a:xfrm>
          <a:off x="2143125" y="1095375"/>
          <a:ext cx="1038225" cy="228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219075</xdr:colOff>
      <xdr:row>6</xdr:row>
      <xdr:rowOff>9524</xdr:rowOff>
    </xdr:from>
    <xdr:to>
      <xdr:col>4</xdr:col>
      <xdr:colOff>577275</xdr:colOff>
      <xdr:row>7</xdr:row>
      <xdr:rowOff>57150</xdr:rowOff>
    </xdr:to>
    <xdr:sp macro="" textlink="">
      <xdr:nvSpPr>
        <xdr:cNvPr id="8" name="Rectangle 7">
          <a:extLst>
            <a:ext uri="{FF2B5EF4-FFF2-40B4-BE49-F238E27FC236}">
              <a16:creationId xmlns:a16="http://schemas.microsoft.com/office/drawing/2014/main" id="{F70A355C-ED3A-4BF3-9D8C-BB418CE2DF15}"/>
            </a:ext>
          </a:extLst>
        </xdr:cNvPr>
        <xdr:cNvSpPr/>
      </xdr:nvSpPr>
      <xdr:spPr>
        <a:xfrm>
          <a:off x="2276475" y="1095374"/>
          <a:ext cx="1044000" cy="228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en-US" sz="1100">
            <a:solidFill>
              <a:schemeClr val="bg1"/>
            </a:solidFill>
          </a:endParaRPr>
        </a:p>
      </xdr:txBody>
    </xdr:sp>
    <xdr:clientData/>
  </xdr:twoCellAnchor>
  <xdr:twoCellAnchor>
    <xdr:from>
      <xdr:col>1</xdr:col>
      <xdr:colOff>285750</xdr:colOff>
      <xdr:row>5</xdr:row>
      <xdr:rowOff>161924</xdr:rowOff>
    </xdr:from>
    <xdr:to>
      <xdr:col>3</xdr:col>
      <xdr:colOff>38100</xdr:colOff>
      <xdr:row>8</xdr:row>
      <xdr:rowOff>9524</xdr:rowOff>
    </xdr:to>
    <xdr:sp macro="" textlink="'Data Analysis'!B7">
      <xdr:nvSpPr>
        <xdr:cNvPr id="10" name="TextBox 9">
          <a:extLst>
            <a:ext uri="{FF2B5EF4-FFF2-40B4-BE49-F238E27FC236}">
              <a16:creationId xmlns:a16="http://schemas.microsoft.com/office/drawing/2014/main" id="{176A599A-1FB1-462E-8B94-2663ECEB3419}"/>
            </a:ext>
          </a:extLst>
        </xdr:cNvPr>
        <xdr:cNvSpPr txBox="1"/>
      </xdr:nvSpPr>
      <xdr:spPr>
        <a:xfrm>
          <a:off x="971550" y="1066799"/>
          <a:ext cx="1123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A2F018BD-0B81-4982-9975-3D52B7EA50A6}" type="TxLink">
            <a:rPr lang="en-US" sz="1400" b="0" i="0" u="none" strike="noStrike">
              <a:solidFill>
                <a:schemeClr val="bg1"/>
              </a:solidFill>
              <a:latin typeface="Arial"/>
              <a:cs typeface="Arial"/>
            </a:rPr>
            <a:t>1200</a:t>
          </a:fld>
          <a:endParaRPr lang="ar-EG" sz="1400">
            <a:solidFill>
              <a:schemeClr val="bg1"/>
            </a:solidFill>
          </a:endParaRPr>
        </a:p>
      </xdr:txBody>
    </xdr:sp>
    <xdr:clientData/>
  </xdr:twoCellAnchor>
  <xdr:twoCellAnchor>
    <xdr:from>
      <xdr:col>3</xdr:col>
      <xdr:colOff>247650</xdr:colOff>
      <xdr:row>5</xdr:row>
      <xdr:rowOff>152399</xdr:rowOff>
    </xdr:from>
    <xdr:to>
      <xdr:col>4</xdr:col>
      <xdr:colOff>628650</xdr:colOff>
      <xdr:row>7</xdr:row>
      <xdr:rowOff>9524</xdr:rowOff>
    </xdr:to>
    <xdr:sp macro="" textlink="'Data Analysis'!C7">
      <xdr:nvSpPr>
        <xdr:cNvPr id="11" name="TextBox 10">
          <a:extLst>
            <a:ext uri="{FF2B5EF4-FFF2-40B4-BE49-F238E27FC236}">
              <a16:creationId xmlns:a16="http://schemas.microsoft.com/office/drawing/2014/main" id="{4D101DA2-56B3-4C1D-A051-F5B333FC6766}"/>
            </a:ext>
          </a:extLst>
        </xdr:cNvPr>
        <xdr:cNvSpPr txBox="1"/>
      </xdr:nvSpPr>
      <xdr:spPr>
        <a:xfrm>
          <a:off x="2305050" y="1057274"/>
          <a:ext cx="10668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4B149C02-1E9A-47E3-9026-78CFCC4733F6}" type="TxLink">
            <a:rPr lang="en-US" sz="1400" b="0" i="0" u="none" strike="noStrike">
              <a:solidFill>
                <a:schemeClr val="bg1"/>
              </a:solidFill>
              <a:latin typeface="Arial"/>
              <a:cs typeface="Arial"/>
            </a:rPr>
            <a:t>1200</a:t>
          </a:fld>
          <a:endParaRPr lang="ar-EG" sz="1400">
            <a:solidFill>
              <a:schemeClr val="bg1"/>
            </a:solidFill>
          </a:endParaRPr>
        </a:p>
      </xdr:txBody>
    </xdr:sp>
    <xdr:clientData/>
  </xdr:twoCellAnchor>
  <xdr:twoCellAnchor>
    <xdr:from>
      <xdr:col>4</xdr:col>
      <xdr:colOff>628650</xdr:colOff>
      <xdr:row>6</xdr:row>
      <xdr:rowOff>9526</xdr:rowOff>
    </xdr:from>
    <xdr:to>
      <xdr:col>6</xdr:col>
      <xdr:colOff>514350</xdr:colOff>
      <xdr:row>7</xdr:row>
      <xdr:rowOff>95251</xdr:rowOff>
    </xdr:to>
    <xdr:sp macro="" textlink="'Data Analysis'!D7">
      <xdr:nvSpPr>
        <xdr:cNvPr id="12" name="TextBox 11">
          <a:extLst>
            <a:ext uri="{FF2B5EF4-FFF2-40B4-BE49-F238E27FC236}">
              <a16:creationId xmlns:a16="http://schemas.microsoft.com/office/drawing/2014/main" id="{A5620978-F091-4F7C-AF6B-8CD27205FA4E}"/>
            </a:ext>
          </a:extLst>
        </xdr:cNvPr>
        <xdr:cNvSpPr txBox="1"/>
      </xdr:nvSpPr>
      <xdr:spPr>
        <a:xfrm>
          <a:off x="3371850" y="1095376"/>
          <a:ext cx="1257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81958583-4A72-43AF-817F-BF8C90C5F192}" type="TxLink">
            <a:rPr lang="en-US" sz="1400" b="0" i="0" u="none" strike="noStrike">
              <a:solidFill>
                <a:schemeClr val="bg1"/>
              </a:solidFill>
              <a:latin typeface="Arial"/>
              <a:cs typeface="Arial"/>
            </a:rPr>
            <a:t> 326,628.30 </a:t>
          </a:fld>
          <a:endParaRPr lang="ar-EG" sz="1400">
            <a:solidFill>
              <a:schemeClr val="bg1"/>
            </a:solidFill>
          </a:endParaRPr>
        </a:p>
      </xdr:txBody>
    </xdr:sp>
    <xdr:clientData/>
  </xdr:twoCellAnchor>
  <xdr:twoCellAnchor>
    <xdr:from>
      <xdr:col>1</xdr:col>
      <xdr:colOff>200024</xdr:colOff>
      <xdr:row>4</xdr:row>
      <xdr:rowOff>47624</xdr:rowOff>
    </xdr:from>
    <xdr:to>
      <xdr:col>3</xdr:col>
      <xdr:colOff>104775</xdr:colOff>
      <xdr:row>5</xdr:row>
      <xdr:rowOff>152400</xdr:rowOff>
    </xdr:to>
    <xdr:sp macro="" textlink="">
      <xdr:nvSpPr>
        <xdr:cNvPr id="13" name="TextBox 12">
          <a:extLst>
            <a:ext uri="{FF2B5EF4-FFF2-40B4-BE49-F238E27FC236}">
              <a16:creationId xmlns:a16="http://schemas.microsoft.com/office/drawing/2014/main" id="{BC2FC90B-A85E-4A2D-8C30-7F43A6C84132}"/>
            </a:ext>
          </a:extLst>
        </xdr:cNvPr>
        <xdr:cNvSpPr txBox="1"/>
      </xdr:nvSpPr>
      <xdr:spPr>
        <a:xfrm>
          <a:off x="885824" y="771524"/>
          <a:ext cx="1276351"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a:solidFill>
                <a:schemeClr val="bg1"/>
              </a:solidFill>
            </a:rPr>
            <a:t>#</a:t>
          </a:r>
          <a:r>
            <a:rPr lang="en-US" sz="1400">
              <a:solidFill>
                <a:schemeClr val="bg1"/>
              </a:solidFill>
              <a:latin typeface="Dubai" panose="020B0503030403030204" pitchFamily="34" charset="-78"/>
              <a:cs typeface="Dubai" panose="020B0503030403030204" pitchFamily="34" charset="-78"/>
            </a:rPr>
            <a:t>Orders</a:t>
          </a:r>
          <a:endParaRPr lang="ar-EG" sz="1400">
            <a:solidFill>
              <a:schemeClr val="bg1"/>
            </a:solidFill>
            <a:latin typeface="Dubai" panose="020B0503030403030204" pitchFamily="34" charset="-78"/>
            <a:cs typeface="Dubai" panose="020B0503030403030204" pitchFamily="34" charset="-78"/>
          </a:endParaRPr>
        </a:p>
      </xdr:txBody>
    </xdr:sp>
    <xdr:clientData/>
  </xdr:twoCellAnchor>
  <xdr:twoCellAnchor>
    <xdr:from>
      <xdr:col>3</xdr:col>
      <xdr:colOff>47623</xdr:colOff>
      <xdr:row>4</xdr:row>
      <xdr:rowOff>57150</xdr:rowOff>
    </xdr:from>
    <xdr:to>
      <xdr:col>4</xdr:col>
      <xdr:colOff>447674</xdr:colOff>
      <xdr:row>6</xdr:row>
      <xdr:rowOff>38100</xdr:rowOff>
    </xdr:to>
    <xdr:sp macro="" textlink="">
      <xdr:nvSpPr>
        <xdr:cNvPr id="14" name="TextBox 13">
          <a:extLst>
            <a:ext uri="{FF2B5EF4-FFF2-40B4-BE49-F238E27FC236}">
              <a16:creationId xmlns:a16="http://schemas.microsoft.com/office/drawing/2014/main" id="{2B735648-1A63-4648-B3A7-2D1E9B897EDE}"/>
            </a:ext>
          </a:extLst>
        </xdr:cNvPr>
        <xdr:cNvSpPr txBox="1"/>
      </xdr:nvSpPr>
      <xdr:spPr>
        <a:xfrm>
          <a:off x="2105023" y="781050"/>
          <a:ext cx="108585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a:solidFill>
                <a:schemeClr val="bg1"/>
              </a:solidFill>
            </a:rPr>
            <a:t>#</a:t>
          </a:r>
          <a:r>
            <a:rPr lang="en-US" sz="1400">
              <a:solidFill>
                <a:schemeClr val="bg1"/>
              </a:solidFill>
              <a:latin typeface="Dubai" panose="020B0503030403030204" pitchFamily="34" charset="-78"/>
              <a:cs typeface="Dubai" panose="020B0503030403030204" pitchFamily="34" charset="-78"/>
            </a:rPr>
            <a:t>Customer</a:t>
          </a:r>
          <a:r>
            <a:rPr lang="en-US" sz="1400">
              <a:solidFill>
                <a:schemeClr val="bg1"/>
              </a:solidFill>
              <a:latin typeface="+mn-lt"/>
              <a:cs typeface="+mn-cs"/>
            </a:rPr>
            <a:t>s</a:t>
          </a:r>
          <a:endParaRPr lang="ar-EG" sz="1400">
            <a:solidFill>
              <a:schemeClr val="bg1"/>
            </a:solidFill>
          </a:endParaRPr>
        </a:p>
      </xdr:txBody>
    </xdr:sp>
    <xdr:clientData/>
  </xdr:twoCellAnchor>
  <xdr:twoCellAnchor>
    <xdr:from>
      <xdr:col>5</xdr:col>
      <xdr:colOff>19049</xdr:colOff>
      <xdr:row>4</xdr:row>
      <xdr:rowOff>76200</xdr:rowOff>
    </xdr:from>
    <xdr:to>
      <xdr:col>6</xdr:col>
      <xdr:colOff>542924</xdr:colOff>
      <xdr:row>6</xdr:row>
      <xdr:rowOff>0</xdr:rowOff>
    </xdr:to>
    <xdr:sp macro="" textlink="">
      <xdr:nvSpPr>
        <xdr:cNvPr id="15" name="TextBox 14">
          <a:extLst>
            <a:ext uri="{FF2B5EF4-FFF2-40B4-BE49-F238E27FC236}">
              <a16:creationId xmlns:a16="http://schemas.microsoft.com/office/drawing/2014/main" id="{8526B346-D741-49EB-B019-B6B34DA62EDB}"/>
            </a:ext>
          </a:extLst>
        </xdr:cNvPr>
        <xdr:cNvSpPr txBox="1"/>
      </xdr:nvSpPr>
      <xdr:spPr>
        <a:xfrm>
          <a:off x="3448049" y="800100"/>
          <a:ext cx="12096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a:solidFill>
                <a:schemeClr val="bg1"/>
              </a:solidFill>
              <a:latin typeface="Dubai" panose="020B0503030403030204" pitchFamily="34" charset="-78"/>
              <a:cs typeface="Dubai" panose="020B0503030403030204" pitchFamily="34" charset="-78"/>
            </a:rPr>
            <a:t>Total Sales</a:t>
          </a:r>
          <a:endParaRPr lang="ar-EG" sz="1400">
            <a:solidFill>
              <a:schemeClr val="bg1"/>
            </a:solidFill>
            <a:latin typeface="Dubai" panose="020B0503030403030204" pitchFamily="34" charset="-78"/>
            <a:cs typeface="Dubai" panose="020B0503030403030204" pitchFamily="34" charset="-78"/>
          </a:endParaRPr>
        </a:p>
      </xdr:txBody>
    </xdr:sp>
    <xdr:clientData/>
  </xdr:twoCellAnchor>
  <xdr:twoCellAnchor>
    <xdr:from>
      <xdr:col>15</xdr:col>
      <xdr:colOff>205317</xdr:colOff>
      <xdr:row>1</xdr:row>
      <xdr:rowOff>81490</xdr:rowOff>
    </xdr:from>
    <xdr:to>
      <xdr:col>18</xdr:col>
      <xdr:colOff>262467</xdr:colOff>
      <xdr:row>4</xdr:row>
      <xdr:rowOff>176740</xdr:rowOff>
    </xdr:to>
    <xdr:sp macro="" textlink="">
      <xdr:nvSpPr>
        <xdr:cNvPr id="16" name="TextBox 15">
          <a:extLst>
            <a:ext uri="{FF2B5EF4-FFF2-40B4-BE49-F238E27FC236}">
              <a16:creationId xmlns:a16="http://schemas.microsoft.com/office/drawing/2014/main" id="{073D08A4-D89A-410C-9433-AAC92EA98E90}"/>
            </a:ext>
          </a:extLst>
        </xdr:cNvPr>
        <xdr:cNvSpPr txBox="1"/>
      </xdr:nvSpPr>
      <xdr:spPr>
        <a:xfrm>
          <a:off x="10524067" y="261407"/>
          <a:ext cx="21209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rgbClr val="60A5FA"/>
              </a:solidFill>
            </a:rPr>
            <a:t>Data Analyst:</a:t>
          </a:r>
        </a:p>
        <a:p>
          <a:endParaRPr lang="en-US" sz="1200">
            <a:solidFill>
              <a:schemeClr val="bg1"/>
            </a:solidFill>
          </a:endParaRPr>
        </a:p>
      </xdr:txBody>
    </xdr:sp>
    <xdr:clientData/>
  </xdr:twoCellAnchor>
  <xdr:twoCellAnchor>
    <xdr:from>
      <xdr:col>15</xdr:col>
      <xdr:colOff>542924</xdr:colOff>
      <xdr:row>2</xdr:row>
      <xdr:rowOff>81492</xdr:rowOff>
    </xdr:from>
    <xdr:to>
      <xdr:col>17</xdr:col>
      <xdr:colOff>514349</xdr:colOff>
      <xdr:row>4</xdr:row>
      <xdr:rowOff>15875</xdr:rowOff>
    </xdr:to>
    <xdr:sp macro="" textlink="">
      <xdr:nvSpPr>
        <xdr:cNvPr id="17" name="TextBox 16">
          <a:extLst>
            <a:ext uri="{FF2B5EF4-FFF2-40B4-BE49-F238E27FC236}">
              <a16:creationId xmlns:a16="http://schemas.microsoft.com/office/drawing/2014/main" id="{9098E1F1-B53A-40C0-90AF-B26D5A99AF1C}"/>
            </a:ext>
          </a:extLst>
        </xdr:cNvPr>
        <xdr:cNvSpPr txBox="1"/>
      </xdr:nvSpPr>
      <xdr:spPr>
        <a:xfrm>
          <a:off x="10861674" y="441325"/>
          <a:ext cx="1347258" cy="29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chemeClr val="bg1"/>
              </a:solidFill>
            </a:rPr>
            <a:t>Nagat</a:t>
          </a:r>
          <a:r>
            <a:rPr lang="en-US" sz="1200" baseline="0">
              <a:solidFill>
                <a:schemeClr val="bg1"/>
              </a:solidFill>
            </a:rPr>
            <a:t> El-Zeny</a:t>
          </a:r>
          <a:endParaRPr lang="ar-EG" sz="1200">
            <a:solidFill>
              <a:schemeClr val="bg1"/>
            </a:solidFill>
          </a:endParaRPr>
        </a:p>
      </xdr:txBody>
    </xdr:sp>
    <xdr:clientData/>
  </xdr:twoCellAnchor>
  <xdr:twoCellAnchor editAs="oneCell">
    <xdr:from>
      <xdr:col>1</xdr:col>
      <xdr:colOff>19050</xdr:colOff>
      <xdr:row>0</xdr:row>
      <xdr:rowOff>95250</xdr:rowOff>
    </xdr:from>
    <xdr:to>
      <xdr:col>1</xdr:col>
      <xdr:colOff>600075</xdr:colOff>
      <xdr:row>3</xdr:row>
      <xdr:rowOff>133350</xdr:rowOff>
    </xdr:to>
    <xdr:pic>
      <xdr:nvPicPr>
        <xdr:cNvPr id="19" name="Picture 18">
          <a:extLst>
            <a:ext uri="{FF2B5EF4-FFF2-40B4-BE49-F238E27FC236}">
              <a16:creationId xmlns:a16="http://schemas.microsoft.com/office/drawing/2014/main" id="{ED09896B-F93A-42C5-AA8D-6B67F00CE3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4850" y="95250"/>
          <a:ext cx="581025" cy="581025"/>
        </a:xfrm>
        <a:prstGeom prst="rect">
          <a:avLst/>
        </a:prstGeom>
      </xdr:spPr>
    </xdr:pic>
    <xdr:clientData/>
  </xdr:twoCellAnchor>
  <xdr:twoCellAnchor>
    <xdr:from>
      <xdr:col>1</xdr:col>
      <xdr:colOff>84666</xdr:colOff>
      <xdr:row>19</xdr:row>
      <xdr:rowOff>116417</xdr:rowOff>
    </xdr:from>
    <xdr:to>
      <xdr:col>17</xdr:col>
      <xdr:colOff>306917</xdr:colOff>
      <xdr:row>29</xdr:row>
      <xdr:rowOff>84667</xdr:rowOff>
    </xdr:to>
    <xdr:graphicFrame macro="">
      <xdr:nvGraphicFramePr>
        <xdr:cNvPr id="20" name="Chart 19">
          <a:extLst>
            <a:ext uri="{FF2B5EF4-FFF2-40B4-BE49-F238E27FC236}">
              <a16:creationId xmlns:a16="http://schemas.microsoft.com/office/drawing/2014/main" id="{9CF6C322-1573-44E7-91C4-EFC6C2D80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xdr:colOff>
      <xdr:row>8</xdr:row>
      <xdr:rowOff>95250</xdr:rowOff>
    </xdr:from>
    <xdr:to>
      <xdr:col>6</xdr:col>
      <xdr:colOff>201083</xdr:colOff>
      <xdr:row>19</xdr:row>
      <xdr:rowOff>11641</xdr:rowOff>
    </xdr:to>
    <xdr:sp macro="" textlink="">
      <xdr:nvSpPr>
        <xdr:cNvPr id="23" name="Rectangle: Rounded Corners 22">
          <a:extLst>
            <a:ext uri="{FF2B5EF4-FFF2-40B4-BE49-F238E27FC236}">
              <a16:creationId xmlns:a16="http://schemas.microsoft.com/office/drawing/2014/main" id="{CC341E6A-3E9B-40D1-A7D2-3690B97082D1}"/>
            </a:ext>
          </a:extLst>
        </xdr:cNvPr>
        <xdr:cNvSpPr/>
      </xdr:nvSpPr>
      <xdr:spPr>
        <a:xfrm>
          <a:off x="716492" y="1534583"/>
          <a:ext cx="3612091" cy="1895475"/>
        </a:xfrm>
        <a:prstGeom prst="roundRect">
          <a:avLst>
            <a:gd name="adj" fmla="val 7436"/>
          </a:avLst>
        </a:prstGeom>
        <a:solidFill>
          <a:srgbClr val="9CA3A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125939</xdr:colOff>
      <xdr:row>9</xdr:row>
      <xdr:rowOff>118531</xdr:rowOff>
    </xdr:from>
    <xdr:to>
      <xdr:col>6</xdr:col>
      <xdr:colOff>190499</xdr:colOff>
      <xdr:row>18</xdr:row>
      <xdr:rowOff>179916</xdr:rowOff>
    </xdr:to>
    <xdr:graphicFrame macro="">
      <xdr:nvGraphicFramePr>
        <xdr:cNvPr id="22" name="Chart 21">
          <a:extLst>
            <a:ext uri="{FF2B5EF4-FFF2-40B4-BE49-F238E27FC236}">
              <a16:creationId xmlns:a16="http://schemas.microsoft.com/office/drawing/2014/main" id="{A8467E34-B281-4178-85CA-538BB2012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56091</xdr:colOff>
      <xdr:row>8</xdr:row>
      <xdr:rowOff>45509</xdr:rowOff>
    </xdr:from>
    <xdr:to>
      <xdr:col>6</xdr:col>
      <xdr:colOff>624416</xdr:colOff>
      <xdr:row>12</xdr:row>
      <xdr:rowOff>10584</xdr:rowOff>
    </xdr:to>
    <xdr:sp macro="" textlink="">
      <xdr:nvSpPr>
        <xdr:cNvPr id="24" name="TextBox 23">
          <a:extLst>
            <a:ext uri="{FF2B5EF4-FFF2-40B4-BE49-F238E27FC236}">
              <a16:creationId xmlns:a16="http://schemas.microsoft.com/office/drawing/2014/main" id="{097F97B3-3F38-4A40-849D-4848EBE23E98}"/>
            </a:ext>
          </a:extLst>
        </xdr:cNvPr>
        <xdr:cNvSpPr txBox="1"/>
      </xdr:nvSpPr>
      <xdr:spPr>
        <a:xfrm>
          <a:off x="1431924" y="1484842"/>
          <a:ext cx="3319992" cy="684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0" i="0" cap="all" baseline="0">
              <a:solidFill>
                <a:schemeClr val="bg1"/>
              </a:solidFill>
              <a:effectLst/>
              <a:latin typeface="Dubai" panose="020B0503030403030204" pitchFamily="34" charset="-78"/>
              <a:ea typeface="+mn-ea"/>
              <a:cs typeface="Dubai" panose="020B0503030403030204" pitchFamily="34" charset="-78"/>
            </a:rPr>
            <a:t>payment method &amp; Orders</a:t>
          </a:r>
        </a:p>
        <a:p>
          <a:pPr marL="0" marR="0" lvl="0" indent="0" defTabSz="914400" rtl="0" eaLnBrk="1" fontAlgn="auto" latinLnBrk="0" hangingPunct="1">
            <a:lnSpc>
              <a:spcPct val="100000"/>
            </a:lnSpc>
            <a:spcBef>
              <a:spcPts val="0"/>
            </a:spcBef>
            <a:spcAft>
              <a:spcPts val="0"/>
            </a:spcAft>
            <a:buClrTx/>
            <a:buSzTx/>
            <a:buFontTx/>
            <a:buNone/>
            <a:tabLst/>
            <a:defRPr/>
          </a:pPr>
          <a:r>
            <a:rPr lang="en-US" sz="1200" b="0" i="0" cap="all" baseline="0">
              <a:solidFill>
                <a:schemeClr val="bg1"/>
              </a:solidFill>
              <a:effectLst/>
              <a:latin typeface="Dubai" panose="020B0503030403030204" pitchFamily="34" charset="-78"/>
              <a:ea typeface="+mn-ea"/>
              <a:cs typeface="Dubai" panose="020B0503030403030204" pitchFamily="34" charset="-78"/>
            </a:rPr>
            <a:t>                problems</a:t>
          </a:r>
          <a:endParaRPr lang="ar-EG" sz="1200">
            <a:solidFill>
              <a:schemeClr val="bg1"/>
            </a:solidFill>
            <a:effectLst/>
            <a:latin typeface="Dubai" panose="020B0503030403030204" pitchFamily="34" charset="-78"/>
            <a:cs typeface="Dubai" panose="020B0503030403030204" pitchFamily="34" charset="-78"/>
          </a:endParaRPr>
        </a:p>
        <a:p>
          <a:endParaRPr lang="ar-EG" sz="1100"/>
        </a:p>
      </xdr:txBody>
    </xdr:sp>
    <xdr:clientData/>
  </xdr:twoCellAnchor>
  <xdr:twoCellAnchor>
    <xdr:from>
      <xdr:col>6</xdr:col>
      <xdr:colOff>252941</xdr:colOff>
      <xdr:row>8</xdr:row>
      <xdr:rowOff>52917</xdr:rowOff>
    </xdr:from>
    <xdr:to>
      <xdr:col>11</xdr:col>
      <xdr:colOff>518583</xdr:colOff>
      <xdr:row>19</xdr:row>
      <xdr:rowOff>9750</xdr:rowOff>
    </xdr:to>
    <xdr:sp macro="" textlink="">
      <xdr:nvSpPr>
        <xdr:cNvPr id="26" name="Rectangle: Rounded Corners 25">
          <a:extLst>
            <a:ext uri="{FF2B5EF4-FFF2-40B4-BE49-F238E27FC236}">
              <a16:creationId xmlns:a16="http://schemas.microsoft.com/office/drawing/2014/main" id="{3828C2B4-F574-420B-B1A6-CA3085ED8AC0}"/>
            </a:ext>
          </a:extLst>
        </xdr:cNvPr>
        <xdr:cNvSpPr/>
      </xdr:nvSpPr>
      <xdr:spPr>
        <a:xfrm>
          <a:off x="4380441" y="1492250"/>
          <a:ext cx="3705225" cy="1935917"/>
        </a:xfrm>
        <a:prstGeom prst="roundRect">
          <a:avLst>
            <a:gd name="adj" fmla="val 6745"/>
          </a:avLst>
        </a:prstGeom>
        <a:solidFill>
          <a:srgbClr val="9CA3A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6</xdr:col>
      <xdr:colOff>317501</xdr:colOff>
      <xdr:row>9</xdr:row>
      <xdr:rowOff>51859</xdr:rowOff>
    </xdr:from>
    <xdr:to>
      <xdr:col>11</xdr:col>
      <xdr:colOff>476250</xdr:colOff>
      <xdr:row>19</xdr:row>
      <xdr:rowOff>70908</xdr:rowOff>
    </xdr:to>
    <xdr:graphicFrame macro="">
      <xdr:nvGraphicFramePr>
        <xdr:cNvPr id="25" name="Chart 24">
          <a:extLst>
            <a:ext uri="{FF2B5EF4-FFF2-40B4-BE49-F238E27FC236}">
              <a16:creationId xmlns:a16="http://schemas.microsoft.com/office/drawing/2014/main" id="{A2D0179D-00B6-4F95-8DE6-0B1FB76F8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2117</xdr:colOff>
      <xdr:row>8</xdr:row>
      <xdr:rowOff>14817</xdr:rowOff>
    </xdr:from>
    <xdr:to>
      <xdr:col>10</xdr:col>
      <xdr:colOff>440267</xdr:colOff>
      <xdr:row>9</xdr:row>
      <xdr:rowOff>99483</xdr:rowOff>
    </xdr:to>
    <xdr:sp macro="" textlink="">
      <xdr:nvSpPr>
        <xdr:cNvPr id="27" name="TextBox 26">
          <a:extLst>
            <a:ext uri="{FF2B5EF4-FFF2-40B4-BE49-F238E27FC236}">
              <a16:creationId xmlns:a16="http://schemas.microsoft.com/office/drawing/2014/main" id="{C9B12BE3-12B9-4DC7-9091-0B30CFFFAA43}"/>
            </a:ext>
          </a:extLst>
        </xdr:cNvPr>
        <xdr:cNvSpPr txBox="1"/>
      </xdr:nvSpPr>
      <xdr:spPr>
        <a:xfrm>
          <a:off x="5505450" y="1454150"/>
          <a:ext cx="1813984"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chemeClr val="bg1"/>
              </a:solidFill>
              <a:latin typeface="Dubai" panose="020B0503030403030204" pitchFamily="34" charset="-78"/>
              <a:cs typeface="Dubai" panose="020B0503030403030204" pitchFamily="34" charset="-78"/>
            </a:rPr>
            <a:t>Orders</a:t>
          </a:r>
          <a:r>
            <a:rPr lang="en-US" sz="1200" baseline="0">
              <a:solidFill>
                <a:schemeClr val="bg1"/>
              </a:solidFill>
              <a:latin typeface="Dubai" panose="020B0503030403030204" pitchFamily="34" charset="-78"/>
              <a:cs typeface="Dubai" panose="020B0503030403030204" pitchFamily="34" charset="-78"/>
            </a:rPr>
            <a:t> Per City</a:t>
          </a:r>
          <a:endParaRPr lang="ar-EG" sz="1200">
            <a:solidFill>
              <a:schemeClr val="bg1"/>
            </a:solidFill>
            <a:latin typeface="Dubai" panose="020B0503030403030204" pitchFamily="34" charset="-78"/>
            <a:cs typeface="Dubai" panose="020B0503030403030204" pitchFamily="34" charset="-78"/>
          </a:endParaRPr>
        </a:p>
      </xdr:txBody>
    </xdr:sp>
    <xdr:clientData/>
  </xdr:twoCellAnchor>
  <xdr:twoCellAnchor>
    <xdr:from>
      <xdr:col>11</xdr:col>
      <xdr:colOff>560916</xdr:colOff>
      <xdr:row>8</xdr:row>
      <xdr:rowOff>57150</xdr:rowOff>
    </xdr:from>
    <xdr:to>
      <xdr:col>17</xdr:col>
      <xdr:colOff>328083</xdr:colOff>
      <xdr:row>19</xdr:row>
      <xdr:rowOff>31750</xdr:rowOff>
    </xdr:to>
    <xdr:sp macro="" textlink="">
      <xdr:nvSpPr>
        <xdr:cNvPr id="29" name="Rectangle: Rounded Corners 28">
          <a:extLst>
            <a:ext uri="{FF2B5EF4-FFF2-40B4-BE49-F238E27FC236}">
              <a16:creationId xmlns:a16="http://schemas.microsoft.com/office/drawing/2014/main" id="{A5A19255-D840-40B3-AB6D-835B2C83CBC1}"/>
            </a:ext>
          </a:extLst>
        </xdr:cNvPr>
        <xdr:cNvSpPr/>
      </xdr:nvSpPr>
      <xdr:spPr>
        <a:xfrm>
          <a:off x="8127999" y="1496483"/>
          <a:ext cx="3894667" cy="1953684"/>
        </a:xfrm>
        <a:prstGeom prst="roundRect">
          <a:avLst>
            <a:gd name="adj" fmla="val 6412"/>
          </a:avLst>
        </a:prstGeom>
        <a:solidFill>
          <a:srgbClr val="9CA3A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11</xdr:col>
      <xdr:colOff>635001</xdr:colOff>
      <xdr:row>8</xdr:row>
      <xdr:rowOff>95250</xdr:rowOff>
    </xdr:from>
    <xdr:to>
      <xdr:col>17</xdr:col>
      <xdr:colOff>306917</xdr:colOff>
      <xdr:row>19</xdr:row>
      <xdr:rowOff>133350</xdr:rowOff>
    </xdr:to>
    <xdr:graphicFrame macro="">
      <xdr:nvGraphicFramePr>
        <xdr:cNvPr id="28" name="Chart 27">
          <a:extLst>
            <a:ext uri="{FF2B5EF4-FFF2-40B4-BE49-F238E27FC236}">
              <a16:creationId xmlns:a16="http://schemas.microsoft.com/office/drawing/2014/main" id="{42DE835D-1243-4BA1-A4DA-10C8915A7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455084</xdr:colOff>
      <xdr:row>4</xdr:row>
      <xdr:rowOff>52917</xdr:rowOff>
    </xdr:from>
    <xdr:to>
      <xdr:col>17</xdr:col>
      <xdr:colOff>338667</xdr:colOff>
      <xdr:row>8</xdr:row>
      <xdr:rowOff>42335</xdr:rowOff>
    </xdr:to>
    <mc:AlternateContent xmlns:mc="http://schemas.openxmlformats.org/markup-compatibility/2006">
      <mc:Choice xmlns:a14="http://schemas.microsoft.com/office/drawing/2010/main" Requires="a14">
        <xdr:graphicFrame macro="">
          <xdr:nvGraphicFramePr>
            <xdr:cNvPr id="30" name="City 1">
              <a:extLst>
                <a:ext uri="{FF2B5EF4-FFF2-40B4-BE49-F238E27FC236}">
                  <a16:creationId xmlns:a16="http://schemas.microsoft.com/office/drawing/2014/main" id="{6D3E5D28-60A7-40C0-9F37-0F17EB5A807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4582584" y="772584"/>
              <a:ext cx="7450666" cy="70908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95249</xdr:colOff>
      <xdr:row>8</xdr:row>
      <xdr:rowOff>63501</xdr:rowOff>
    </xdr:from>
    <xdr:to>
      <xdr:col>18</xdr:col>
      <xdr:colOff>275166</xdr:colOff>
      <xdr:row>9</xdr:row>
      <xdr:rowOff>116417</xdr:rowOff>
    </xdr:to>
    <xdr:sp macro="" textlink="">
      <xdr:nvSpPr>
        <xdr:cNvPr id="31" name="TextBox 30">
          <a:extLst>
            <a:ext uri="{FF2B5EF4-FFF2-40B4-BE49-F238E27FC236}">
              <a16:creationId xmlns:a16="http://schemas.microsoft.com/office/drawing/2014/main" id="{DE0BAF6A-7AA7-4CD0-AA27-7B48A29DA94C}"/>
            </a:ext>
          </a:extLst>
        </xdr:cNvPr>
        <xdr:cNvSpPr txBox="1"/>
      </xdr:nvSpPr>
      <xdr:spPr>
        <a:xfrm>
          <a:off x="9038166" y="1502834"/>
          <a:ext cx="3619500"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0" i="0" baseline="0">
              <a:solidFill>
                <a:schemeClr val="bg1"/>
              </a:solidFill>
              <a:effectLst/>
              <a:latin typeface="Dubai" panose="020B0503030403030204" pitchFamily="34" charset="-78"/>
              <a:ea typeface="+mn-ea"/>
              <a:cs typeface="Dubai" panose="020B0503030403030204" pitchFamily="34" charset="-78"/>
            </a:rPr>
            <a:t>most problemtic restaurant </a:t>
          </a:r>
          <a:endParaRPr lang="ar-EG" sz="1200">
            <a:solidFill>
              <a:schemeClr val="bg1"/>
            </a:solidFill>
            <a:effectLst/>
            <a:latin typeface="Dubai" panose="020B0503030403030204" pitchFamily="34" charset="-78"/>
            <a:cs typeface="Dubai" panose="020B0503030403030204" pitchFamily="34" charset="-78"/>
          </a:endParaRPr>
        </a:p>
        <a:p>
          <a:endParaRPr lang="ar-EG"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hnoPlus" refreshedDate="45854.982631944447" createdVersion="7" refreshedVersion="7" minRefreshableVersion="3" recordCount="1200" xr:uid="{62C41320-1050-43DA-AD22-D17CBA7C7130}">
  <cacheSource type="worksheet">
    <worksheetSource ref="B2:P1202" sheet="Data Cleaning"/>
  </cacheSource>
  <cacheFields count="15">
    <cacheField name="Order ID" numFmtId="0">
      <sharedItems/>
    </cacheField>
    <cacheField name="Customer ID" numFmtId="0">
      <sharedItems/>
    </cacheField>
    <cacheField name="Restaurant" numFmtId="0">
      <sharedItems count="10">
        <s v="Shawarma Express"/>
        <s v="Subway"/>
        <s v="Pizza Hut"/>
        <s v="Domino's"/>
        <s v="KFC"/>
        <s v="Popeyes"/>
        <s v="Sushi World"/>
        <s v="McDonald's"/>
        <s v="Hardee's"/>
        <s v="Burger King"/>
      </sharedItems>
    </cacheField>
    <cacheField name="City" numFmtId="0">
      <sharedItems count="10">
        <s v="Luxor"/>
        <s v="Tanta"/>
        <s v="Sharm El Sheikh"/>
        <s v="Mansoura"/>
        <s v="Hurghada"/>
        <s v="Aswan"/>
        <s v="Alexandria"/>
        <s v="Zagazig"/>
        <s v="Giza"/>
        <s v="Cairo"/>
      </sharedItems>
    </cacheField>
    <cacheField name="Order Date" numFmtId="164">
      <sharedItems/>
    </cacheField>
    <cacheField name="year" numFmtId="0">
      <sharedItems containsSemiMixedTypes="0" containsString="0" containsNumber="1" containsInteger="1" minValue="2024" maxValue="2024"/>
    </cacheField>
    <cacheField name="month" numFmtId="0">
      <sharedItems containsSemiMixedTypes="0" containsString="0" containsNumber="1" containsInteger="1" minValue="1" maxValue="1"/>
    </cacheField>
    <cacheField name="day" numFmtId="0">
      <sharedItems containsSemiMixedTypes="0" containsString="0" containsNumber="1" containsInteger="1" minValue="1" maxValue="31" count="31">
        <n v="9"/>
        <n v="21"/>
        <n v="14"/>
        <n v="11"/>
        <n v="17"/>
        <n v="8"/>
        <n v="31"/>
        <n v="27"/>
        <n v="25"/>
        <n v="18"/>
        <n v="16"/>
        <n v="23"/>
        <n v="26"/>
        <n v="15"/>
        <n v="24"/>
        <n v="19"/>
        <n v="6"/>
        <n v="29"/>
        <n v="7"/>
        <n v="22"/>
        <n v="5"/>
        <n v="28"/>
        <n v="4"/>
        <n v="20"/>
        <n v="10"/>
        <n v="1"/>
        <n v="2"/>
        <n v="3"/>
        <n v="13"/>
        <n v="12"/>
        <n v="30"/>
      </sharedItems>
    </cacheField>
    <cacheField name="Order Time" numFmtId="165">
      <sharedItems/>
    </cacheField>
    <cacheField name="Food Category" numFmtId="0">
      <sharedItems/>
    </cacheField>
    <cacheField name="Amount (EGP)" numFmtId="0">
      <sharedItems containsSemiMixedTypes="0" containsString="0" containsNumber="1" minValue="50.94" maxValue="499.89"/>
    </cacheField>
    <cacheField name="Payment Method" numFmtId="0">
      <sharedItems count="6">
        <s v="Wallet"/>
        <s v="PayPal"/>
        <s v="Cash"/>
        <s v="Credit Card"/>
        <s v="  payPal" u="1"/>
        <s v="  credit Card" u="1"/>
      </sharedItems>
    </cacheField>
    <cacheField name="Status" numFmtId="0">
      <sharedItems count="4">
        <s v="Delivered"/>
        <s v="Failed"/>
        <s v="Cancelled"/>
        <s v="Pending"/>
      </sharedItems>
    </cacheField>
    <cacheField name="Delivery Time (min)" numFmtId="0">
      <sharedItems containsSemiMixedTypes="0" containsString="0" containsNumber="1" containsInteger="1" minValue="15" maxValue="2800"/>
    </cacheField>
    <cacheField name="Rating" numFmtId="0">
      <sharedItems containsString="0" containsBlank="1" containsNumber="1" containsInteger="1" minValue="1" maxValue="10"/>
    </cacheField>
  </cacheFields>
  <extLst>
    <ext xmlns:x14="http://schemas.microsoft.com/office/spreadsheetml/2009/9/main" uri="{725AE2AE-9491-48be-B2B4-4EB974FC3084}">
      <x14:pivotCacheDefinition pivotCacheId="15640992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10000"/>
    <s v="CUST2743"/>
    <x v="0"/>
    <x v="0"/>
    <s v="2024-01-09"/>
    <n v="2024"/>
    <n v="1"/>
    <x v="0"/>
    <s v="10:38"/>
    <s v="Fast Food"/>
    <n v="201.83"/>
    <x v="0"/>
    <x v="0"/>
    <n v="59"/>
    <n v="5"/>
  </r>
  <r>
    <s v="ORD10001"/>
    <s v="CUST2169"/>
    <x v="1"/>
    <x v="0"/>
    <s v="2024-01-21"/>
    <n v="2024"/>
    <n v="1"/>
    <x v="1"/>
    <s v="23:22"/>
    <s v="Fast Food"/>
    <n v="242.96"/>
    <x v="0"/>
    <x v="1"/>
    <n v="78"/>
    <n v="4"/>
  </r>
  <r>
    <s v="ORD10002"/>
    <s v="CUST3568"/>
    <x v="2"/>
    <x v="1"/>
    <s v="2024-01-14"/>
    <n v="2024"/>
    <n v="1"/>
    <x v="2"/>
    <s v="21:50"/>
    <s v="Sushi"/>
    <n v="74.3"/>
    <x v="1"/>
    <x v="0"/>
    <n v="36"/>
    <m/>
  </r>
  <r>
    <s v="ORD10003"/>
    <s v="CUST9967"/>
    <x v="0"/>
    <x v="2"/>
    <s v="2024-01-11"/>
    <n v="2024"/>
    <n v="1"/>
    <x v="3"/>
    <s v="16:56"/>
    <s v="Healthy"/>
    <n v="483.22"/>
    <x v="0"/>
    <x v="2"/>
    <n v="49"/>
    <n v="4"/>
  </r>
  <r>
    <s v="ORD10004"/>
    <s v="CUST1747"/>
    <x v="3"/>
    <x v="3"/>
    <s v="2024-01-17"/>
    <n v="2024"/>
    <n v="1"/>
    <x v="4"/>
    <s v="13:53"/>
    <s v="BBQ"/>
    <n v="280.35000000000002"/>
    <x v="1"/>
    <x v="3"/>
    <n v="33"/>
    <n v="2"/>
  </r>
  <r>
    <s v="ORD10005"/>
    <s v="CUST6470"/>
    <x v="4"/>
    <x v="1"/>
    <s v="2024-01-08"/>
    <n v="2024"/>
    <n v="1"/>
    <x v="5"/>
    <s v="16:38"/>
    <s v="Seafood"/>
    <n v="126.35"/>
    <x v="0"/>
    <x v="0"/>
    <n v="25"/>
    <n v="5"/>
  </r>
  <r>
    <s v="ORD10006"/>
    <s v="CUST2345"/>
    <x v="5"/>
    <x v="4"/>
    <s v="2024-01-31"/>
    <n v="2024"/>
    <n v="1"/>
    <x v="6"/>
    <s v="15:50"/>
    <s v="Beverages"/>
    <n v="55.44"/>
    <x v="2"/>
    <x v="0"/>
    <n v="20"/>
    <n v="3"/>
  </r>
  <r>
    <s v="ORD10007"/>
    <s v="CUST3729"/>
    <x v="6"/>
    <x v="0"/>
    <s v="2024-01-27"/>
    <n v="2024"/>
    <n v="1"/>
    <x v="7"/>
    <s v="14:31"/>
    <s v="Seafood"/>
    <n v="68.83"/>
    <x v="2"/>
    <x v="2"/>
    <n v="48"/>
    <n v="3"/>
  </r>
  <r>
    <s v="ORD10008"/>
    <s v="CUST5206"/>
    <x v="7"/>
    <x v="5"/>
    <s v="2024-01-25"/>
    <n v="2024"/>
    <n v="1"/>
    <x v="8"/>
    <s v="14:39"/>
    <s v="Pizza"/>
    <n v="356.45"/>
    <x v="1"/>
    <x v="3"/>
    <n v="35"/>
    <n v="1"/>
  </r>
  <r>
    <s v="ORD10009"/>
    <s v="CUST5482"/>
    <x v="1"/>
    <x v="6"/>
    <s v="2024-01-18"/>
    <n v="2024"/>
    <n v="1"/>
    <x v="9"/>
    <s v="18:52"/>
    <s v="Pizza"/>
    <n v="198.88"/>
    <x v="2"/>
    <x v="2"/>
    <n v="30"/>
    <n v="2"/>
  </r>
  <r>
    <s v="ORD10010"/>
    <s v="CUST8261"/>
    <x v="1"/>
    <x v="6"/>
    <s v="2024-01-16"/>
    <n v="2024"/>
    <n v="1"/>
    <x v="10"/>
    <s v="11:47"/>
    <s v="Seafood"/>
    <n v="138.22999999999999"/>
    <x v="1"/>
    <x v="1"/>
    <n v="77"/>
    <n v="3"/>
  </r>
  <r>
    <s v="ORD10011"/>
    <s v="CUST1792"/>
    <x v="6"/>
    <x v="7"/>
    <s v="2024-01-11"/>
    <n v="2024"/>
    <n v="1"/>
    <x v="3"/>
    <s v="14:52"/>
    <s v="Desserts"/>
    <n v="183"/>
    <x v="1"/>
    <x v="3"/>
    <n v="46"/>
    <n v="2"/>
  </r>
  <r>
    <s v="ORD10012"/>
    <s v="CUST8892"/>
    <x v="1"/>
    <x v="5"/>
    <s v="2024-01-17"/>
    <n v="2024"/>
    <n v="1"/>
    <x v="4"/>
    <s v="22:57"/>
    <s v="Sushi"/>
    <n v="350.51"/>
    <x v="1"/>
    <x v="1"/>
    <n v="59"/>
    <n v="4"/>
  </r>
  <r>
    <s v="ORD10013"/>
    <s v="CUST1831"/>
    <x v="1"/>
    <x v="6"/>
    <s v="2024-01-23"/>
    <n v="2024"/>
    <n v="1"/>
    <x v="11"/>
    <s v="14:35"/>
    <s v="Desserts"/>
    <n v="122.67"/>
    <x v="3"/>
    <x v="3"/>
    <n v="62"/>
    <n v="5"/>
  </r>
  <r>
    <s v="ORD10014"/>
    <s v="CUST7182"/>
    <x v="4"/>
    <x v="4"/>
    <s v="2024-01-26"/>
    <n v="2024"/>
    <n v="1"/>
    <x v="12"/>
    <s v="11:17"/>
    <s v="Sushi"/>
    <n v="214.35"/>
    <x v="0"/>
    <x v="2"/>
    <n v="72"/>
    <n v="1"/>
  </r>
  <r>
    <s v="ORD10015"/>
    <s v="CUST8043"/>
    <x v="8"/>
    <x v="5"/>
    <s v="2024-01-21"/>
    <n v="2024"/>
    <n v="1"/>
    <x v="1"/>
    <s v="17:44"/>
    <s v="Pizza"/>
    <n v="229.92"/>
    <x v="1"/>
    <x v="2"/>
    <n v="75"/>
    <n v="5"/>
  </r>
  <r>
    <s v="ORD10016"/>
    <s v="CUST9917"/>
    <x v="7"/>
    <x v="2"/>
    <s v="2024-01-25"/>
    <n v="2024"/>
    <n v="1"/>
    <x v="8"/>
    <s v="11:59"/>
    <s v="Seafood"/>
    <n v="292.75"/>
    <x v="0"/>
    <x v="3"/>
    <n v="63"/>
    <n v="3"/>
  </r>
  <r>
    <s v="ORD10017"/>
    <s v="CUST1805"/>
    <x v="4"/>
    <x v="4"/>
    <s v="2024-01-15"/>
    <n v="2024"/>
    <n v="1"/>
    <x v="13"/>
    <s v="12:52"/>
    <s v="BBQ"/>
    <n v="294.77"/>
    <x v="2"/>
    <x v="3"/>
    <n v="23"/>
    <n v="4"/>
  </r>
  <r>
    <s v="ORD10018"/>
    <s v="CUST5245"/>
    <x v="9"/>
    <x v="7"/>
    <s v="2024-01-24"/>
    <n v="2024"/>
    <n v="1"/>
    <x v="14"/>
    <s v="18:14"/>
    <s v="BBQ"/>
    <n v="231.59"/>
    <x v="0"/>
    <x v="2"/>
    <n v="38"/>
    <n v="5"/>
  </r>
  <r>
    <s v="ORD10019"/>
    <s v="CUST8851"/>
    <x v="0"/>
    <x v="7"/>
    <s v="2024-01-08"/>
    <n v="2024"/>
    <n v="1"/>
    <x v="5"/>
    <s v="14:39"/>
    <s v="Healthy"/>
    <n v="478.69"/>
    <x v="3"/>
    <x v="2"/>
    <n v="20"/>
    <m/>
  </r>
  <r>
    <s v="ORD10020"/>
    <s v="CUST6257"/>
    <x v="7"/>
    <x v="8"/>
    <s v="2024-01-31"/>
    <n v="2024"/>
    <n v="1"/>
    <x v="6"/>
    <s v="13:41"/>
    <s v="Seafood"/>
    <n v="307.2"/>
    <x v="1"/>
    <x v="1"/>
    <n v="46"/>
    <n v="2"/>
  </r>
  <r>
    <s v="ORD10021"/>
    <s v="CUST9035"/>
    <x v="6"/>
    <x v="3"/>
    <s v="2024-01-19"/>
    <n v="2024"/>
    <n v="1"/>
    <x v="15"/>
    <s v="10:38"/>
    <s v="Pizza"/>
    <n v="464.87"/>
    <x v="0"/>
    <x v="2"/>
    <n v="59"/>
    <n v="5"/>
  </r>
  <r>
    <s v="ORD10022"/>
    <s v="CUST2543"/>
    <x v="2"/>
    <x v="3"/>
    <s v="2024-01-06"/>
    <n v="2024"/>
    <n v="1"/>
    <x v="16"/>
    <s v="14:54"/>
    <s v="Fast Food"/>
    <n v="249.69"/>
    <x v="1"/>
    <x v="1"/>
    <n v="74"/>
    <n v="4"/>
  </r>
  <r>
    <s v="ORD10023"/>
    <s v="CUST5734"/>
    <x v="3"/>
    <x v="7"/>
    <s v="2024-01-09"/>
    <n v="2024"/>
    <n v="1"/>
    <x v="0"/>
    <s v="12:19"/>
    <s v="Fast Food"/>
    <n v="84.96"/>
    <x v="0"/>
    <x v="0"/>
    <n v="22"/>
    <m/>
  </r>
  <r>
    <s v="ORD10024"/>
    <s v="CUST1477"/>
    <x v="8"/>
    <x v="9"/>
    <s v="2024-01-29"/>
    <n v="2024"/>
    <n v="1"/>
    <x v="17"/>
    <s v="15:47"/>
    <s v="Beverages"/>
    <n v="267.86"/>
    <x v="0"/>
    <x v="1"/>
    <n v="61"/>
    <n v="2"/>
  </r>
  <r>
    <s v="ORD10025"/>
    <s v="CUST4475"/>
    <x v="7"/>
    <x v="7"/>
    <s v="2024-01-07"/>
    <n v="2024"/>
    <n v="1"/>
    <x v="18"/>
    <s v="16:52"/>
    <s v="Beverages"/>
    <n v="258.16000000000003"/>
    <x v="0"/>
    <x v="1"/>
    <n v="72"/>
    <m/>
  </r>
  <r>
    <s v="ORD10026"/>
    <s v="CUST5175"/>
    <x v="1"/>
    <x v="2"/>
    <s v="2024-01-19"/>
    <n v="2024"/>
    <n v="1"/>
    <x v="15"/>
    <s v="22:32"/>
    <s v="Sushi"/>
    <n v="147.65"/>
    <x v="3"/>
    <x v="3"/>
    <n v="24"/>
    <n v="1"/>
  </r>
  <r>
    <s v="ORD10027"/>
    <s v="CUST8076"/>
    <x v="0"/>
    <x v="5"/>
    <s v="2024-01-24"/>
    <n v="2024"/>
    <n v="1"/>
    <x v="14"/>
    <s v="17:53"/>
    <s v="BBQ"/>
    <n v="498"/>
    <x v="3"/>
    <x v="1"/>
    <n v="85"/>
    <m/>
  </r>
  <r>
    <s v="ORD10028"/>
    <s v="CUST5376"/>
    <x v="7"/>
    <x v="0"/>
    <s v="2024-01-22"/>
    <n v="2024"/>
    <n v="1"/>
    <x v="19"/>
    <s v="13:51"/>
    <s v="Desserts"/>
    <n v="398.32"/>
    <x v="2"/>
    <x v="1"/>
    <n v="20"/>
    <n v="4"/>
  </r>
  <r>
    <s v="ORD10029"/>
    <s v="CUST7876"/>
    <x v="3"/>
    <x v="8"/>
    <s v="2024-01-24"/>
    <n v="2024"/>
    <n v="1"/>
    <x v="14"/>
    <s v="20:29"/>
    <s v="Beverages"/>
    <n v="109.45"/>
    <x v="2"/>
    <x v="0"/>
    <n v="90"/>
    <n v="5"/>
  </r>
  <r>
    <s v="ORD10030"/>
    <s v="CUST9075"/>
    <x v="1"/>
    <x v="7"/>
    <s v="2024-01-05"/>
    <n v="2024"/>
    <n v="1"/>
    <x v="20"/>
    <s v="22:53"/>
    <s v="Desserts"/>
    <n v="449.27"/>
    <x v="0"/>
    <x v="3"/>
    <n v="59"/>
    <n v="10"/>
  </r>
  <r>
    <s v="ORD10031"/>
    <s v="CUST2351"/>
    <x v="1"/>
    <x v="3"/>
    <s v="2024-01-26"/>
    <n v="2024"/>
    <n v="1"/>
    <x v="12"/>
    <s v="14:53"/>
    <s v="Seafood"/>
    <n v="339.7"/>
    <x v="2"/>
    <x v="2"/>
    <n v="44"/>
    <n v="3"/>
  </r>
  <r>
    <s v="ORD10032"/>
    <s v="CUST7173"/>
    <x v="6"/>
    <x v="1"/>
    <s v="2024-01-17"/>
    <n v="2024"/>
    <n v="1"/>
    <x v="4"/>
    <s v="20:12"/>
    <s v="Desserts"/>
    <n v="141.54"/>
    <x v="1"/>
    <x v="0"/>
    <n v="2800"/>
    <m/>
  </r>
  <r>
    <s v="ORD10033"/>
    <s v="CUST1402"/>
    <x v="0"/>
    <x v="9"/>
    <s v="2024-01-26"/>
    <n v="2024"/>
    <n v="1"/>
    <x v="12"/>
    <s v="23:32"/>
    <s v="Healthy"/>
    <n v="387"/>
    <x v="3"/>
    <x v="3"/>
    <n v="90"/>
    <n v="3"/>
  </r>
  <r>
    <s v="ORD10034"/>
    <s v="CUST3408"/>
    <x v="2"/>
    <x v="3"/>
    <s v="2024-01-27"/>
    <n v="2024"/>
    <n v="1"/>
    <x v="7"/>
    <s v="20:54"/>
    <s v="Beverages"/>
    <n v="184"/>
    <x v="0"/>
    <x v="2"/>
    <n v="87"/>
    <n v="2"/>
  </r>
  <r>
    <s v="ORD10035"/>
    <s v="CUST9188"/>
    <x v="9"/>
    <x v="5"/>
    <s v="2024-01-08"/>
    <n v="2024"/>
    <n v="1"/>
    <x v="5"/>
    <s v="11:34"/>
    <s v="Pizza"/>
    <n v="200.97"/>
    <x v="2"/>
    <x v="1"/>
    <n v="34"/>
    <m/>
  </r>
  <r>
    <s v="ORD10036"/>
    <s v="CUST4239"/>
    <x v="5"/>
    <x v="7"/>
    <s v="2024-01-28"/>
    <n v="2024"/>
    <n v="1"/>
    <x v="21"/>
    <s v="20:25"/>
    <s v="Fast Food"/>
    <n v="196.88"/>
    <x v="3"/>
    <x v="3"/>
    <n v="86"/>
    <n v="2"/>
  </r>
  <r>
    <s v="ORD10037"/>
    <s v="CUST1839"/>
    <x v="6"/>
    <x v="2"/>
    <s v="2024-01-23"/>
    <n v="2024"/>
    <n v="1"/>
    <x v="11"/>
    <s v="19:58"/>
    <s v="Fast Food"/>
    <n v="258.04000000000002"/>
    <x v="3"/>
    <x v="1"/>
    <n v="34"/>
    <n v="3"/>
  </r>
  <r>
    <s v="ORD10038"/>
    <s v="CUST5751"/>
    <x v="5"/>
    <x v="6"/>
    <s v="2024-01-28"/>
    <n v="2024"/>
    <n v="1"/>
    <x v="21"/>
    <s v="16:48"/>
    <s v="Seafood"/>
    <n v="399.67"/>
    <x v="1"/>
    <x v="1"/>
    <n v="23"/>
    <n v="1"/>
  </r>
  <r>
    <s v="ORD10039"/>
    <s v="CUST9400"/>
    <x v="6"/>
    <x v="6"/>
    <s v="2024-01-28"/>
    <n v="2024"/>
    <n v="1"/>
    <x v="21"/>
    <s v="14:47"/>
    <s v="Sushi"/>
    <n v="338.47"/>
    <x v="0"/>
    <x v="1"/>
    <n v="66"/>
    <n v="3"/>
  </r>
  <r>
    <s v="ORD10040"/>
    <s v="CUST6794"/>
    <x v="4"/>
    <x v="8"/>
    <s v="2024-01-07"/>
    <n v="2024"/>
    <n v="1"/>
    <x v="18"/>
    <s v="23:22"/>
    <s v="Pizza"/>
    <n v="175.49"/>
    <x v="0"/>
    <x v="1"/>
    <n v="52"/>
    <n v="3"/>
  </r>
  <r>
    <s v="ORD10041"/>
    <s v="CUST7505"/>
    <x v="2"/>
    <x v="2"/>
    <s v="2024-01-14"/>
    <n v="2024"/>
    <n v="1"/>
    <x v="2"/>
    <s v="16:35"/>
    <s v="Desserts"/>
    <n v="211.52"/>
    <x v="0"/>
    <x v="0"/>
    <n v="32"/>
    <n v="5"/>
  </r>
  <r>
    <s v="ORD10042"/>
    <s v="CUST4529"/>
    <x v="7"/>
    <x v="4"/>
    <s v="2024-01-04"/>
    <n v="2024"/>
    <n v="1"/>
    <x v="22"/>
    <s v="11:10"/>
    <s v="Sushi"/>
    <n v="290.18"/>
    <x v="2"/>
    <x v="2"/>
    <n v="31"/>
    <n v="2"/>
  </r>
  <r>
    <s v="ORD10043"/>
    <s v="CUST8564"/>
    <x v="2"/>
    <x v="1"/>
    <s v="2024-01-04"/>
    <n v="2024"/>
    <n v="1"/>
    <x v="22"/>
    <s v="19:17"/>
    <s v="Desserts"/>
    <n v="395.29"/>
    <x v="2"/>
    <x v="2"/>
    <n v="43"/>
    <n v="1"/>
  </r>
  <r>
    <s v="ORD10044"/>
    <s v="CUST1087"/>
    <x v="9"/>
    <x v="5"/>
    <s v="2024-01-08"/>
    <n v="2024"/>
    <n v="1"/>
    <x v="5"/>
    <s v="20:24"/>
    <s v="Beverages"/>
    <n v="332.59"/>
    <x v="3"/>
    <x v="3"/>
    <n v="45"/>
    <n v="3"/>
  </r>
  <r>
    <s v="ORD10045"/>
    <s v="CUST4222"/>
    <x v="9"/>
    <x v="7"/>
    <s v="2024-01-15"/>
    <n v="2024"/>
    <n v="1"/>
    <x v="13"/>
    <s v="15:22"/>
    <s v="Desserts"/>
    <n v="133.55000000000001"/>
    <x v="3"/>
    <x v="2"/>
    <n v="54"/>
    <n v="5"/>
  </r>
  <r>
    <s v="ORD10046"/>
    <s v="CUST1441"/>
    <x v="4"/>
    <x v="3"/>
    <s v="2024-01-23"/>
    <n v="2024"/>
    <n v="1"/>
    <x v="11"/>
    <s v="23:16"/>
    <s v="Pizza"/>
    <n v="423.21"/>
    <x v="0"/>
    <x v="2"/>
    <n v="54"/>
    <m/>
  </r>
  <r>
    <s v="ORD10047"/>
    <s v="CUST6313"/>
    <x v="1"/>
    <x v="5"/>
    <s v="2024-01-19"/>
    <n v="2024"/>
    <n v="1"/>
    <x v="15"/>
    <s v="16:49"/>
    <s v="Healthy"/>
    <n v="277.29000000000002"/>
    <x v="3"/>
    <x v="0"/>
    <n v="33"/>
    <n v="5"/>
  </r>
  <r>
    <s v="ORD10048"/>
    <s v="CUST1604"/>
    <x v="1"/>
    <x v="6"/>
    <s v="2024-01-25"/>
    <n v="2024"/>
    <n v="1"/>
    <x v="8"/>
    <s v="15:10"/>
    <s v="Healthy"/>
    <n v="476.45"/>
    <x v="2"/>
    <x v="3"/>
    <n v="65"/>
    <n v="2"/>
  </r>
  <r>
    <s v="ORD10049"/>
    <s v="CUST1329"/>
    <x v="8"/>
    <x v="3"/>
    <s v="2024-01-27"/>
    <n v="2024"/>
    <n v="1"/>
    <x v="7"/>
    <s v="11:23"/>
    <s v="Beverages"/>
    <n v="60.49"/>
    <x v="3"/>
    <x v="0"/>
    <n v="62"/>
    <n v="4"/>
  </r>
  <r>
    <s v="ORD10050"/>
    <s v="CUST2068"/>
    <x v="5"/>
    <x v="2"/>
    <s v="2024-01-18"/>
    <n v="2024"/>
    <n v="1"/>
    <x v="9"/>
    <s v="23:54"/>
    <s v="Sushi"/>
    <n v="397.36"/>
    <x v="1"/>
    <x v="3"/>
    <n v="53"/>
    <m/>
  </r>
  <r>
    <s v="ORD10051"/>
    <s v="CUST8160"/>
    <x v="7"/>
    <x v="1"/>
    <s v="2024-01-19"/>
    <n v="2024"/>
    <n v="1"/>
    <x v="15"/>
    <s v="15:14"/>
    <s v="Sushi"/>
    <n v="448.63"/>
    <x v="2"/>
    <x v="2"/>
    <n v="70"/>
    <n v="5"/>
  </r>
  <r>
    <s v="ORD10052"/>
    <s v="CUST9202"/>
    <x v="6"/>
    <x v="7"/>
    <s v="2024-01-18"/>
    <n v="2024"/>
    <n v="1"/>
    <x v="9"/>
    <s v="13:22"/>
    <s v="Pizza"/>
    <n v="478.69"/>
    <x v="2"/>
    <x v="0"/>
    <n v="48"/>
    <n v="5"/>
  </r>
  <r>
    <s v="ORD10053"/>
    <s v="CUST6984"/>
    <x v="8"/>
    <x v="1"/>
    <s v="2024-01-11"/>
    <n v="2024"/>
    <n v="1"/>
    <x v="3"/>
    <s v="12:34"/>
    <s v="Sushi"/>
    <n v="184.16"/>
    <x v="2"/>
    <x v="2"/>
    <n v="37"/>
    <n v="1"/>
  </r>
  <r>
    <s v="ORD10054"/>
    <s v="CUST8562"/>
    <x v="0"/>
    <x v="6"/>
    <s v="2024-01-31"/>
    <n v="2024"/>
    <n v="1"/>
    <x v="6"/>
    <s v="18:59"/>
    <s v="Seafood"/>
    <n v="322.26"/>
    <x v="2"/>
    <x v="2"/>
    <n v="40"/>
    <n v="2"/>
  </r>
  <r>
    <s v="ORD10055"/>
    <s v="CUST1123"/>
    <x v="7"/>
    <x v="9"/>
    <s v="2024-01-20"/>
    <n v="2024"/>
    <n v="1"/>
    <x v="23"/>
    <s v="18:18"/>
    <s v="BBQ"/>
    <n v="374.48"/>
    <x v="3"/>
    <x v="2"/>
    <n v="85"/>
    <n v="5"/>
  </r>
  <r>
    <s v="ORD10056"/>
    <s v="CUST8783"/>
    <x v="5"/>
    <x v="4"/>
    <s v="2024-01-20"/>
    <n v="2024"/>
    <n v="1"/>
    <x v="23"/>
    <s v="13:10"/>
    <s v="Sushi"/>
    <n v="346.2"/>
    <x v="3"/>
    <x v="1"/>
    <n v="41"/>
    <n v="2"/>
  </r>
  <r>
    <s v="ORD10057"/>
    <s v="CUST1822"/>
    <x v="8"/>
    <x v="2"/>
    <s v="2024-01-21"/>
    <n v="2024"/>
    <n v="1"/>
    <x v="1"/>
    <s v="21:10"/>
    <s v="Fast Food"/>
    <n v="244.07"/>
    <x v="3"/>
    <x v="2"/>
    <n v="77"/>
    <n v="3"/>
  </r>
  <r>
    <s v="ORD10058"/>
    <s v="CUST8873"/>
    <x v="7"/>
    <x v="5"/>
    <s v="2024-01-24"/>
    <n v="2024"/>
    <n v="1"/>
    <x v="14"/>
    <s v="13:39"/>
    <s v="Healthy"/>
    <n v="239.25"/>
    <x v="1"/>
    <x v="1"/>
    <n v="60"/>
    <n v="1"/>
  </r>
  <r>
    <s v="ORD10059"/>
    <s v="CUST8384"/>
    <x v="1"/>
    <x v="1"/>
    <s v="2024-01-29"/>
    <n v="2024"/>
    <n v="1"/>
    <x v="17"/>
    <s v="18:53"/>
    <s v="Pizza"/>
    <n v="276.91000000000003"/>
    <x v="1"/>
    <x v="1"/>
    <n v="18"/>
    <m/>
  </r>
  <r>
    <s v="ORD10060"/>
    <s v="CUST3712"/>
    <x v="2"/>
    <x v="1"/>
    <s v="2024-01-17"/>
    <n v="2024"/>
    <n v="1"/>
    <x v="4"/>
    <s v="15:24"/>
    <s v="Desserts"/>
    <n v="209.26"/>
    <x v="2"/>
    <x v="1"/>
    <n v="59"/>
    <n v="2"/>
  </r>
  <r>
    <s v="ORD10061"/>
    <s v="CUST8286"/>
    <x v="4"/>
    <x v="3"/>
    <s v="2024-01-10"/>
    <n v="2024"/>
    <n v="1"/>
    <x v="24"/>
    <s v="11:11"/>
    <s v="Healthy"/>
    <n v="379.69"/>
    <x v="3"/>
    <x v="1"/>
    <n v="31"/>
    <n v="3"/>
  </r>
  <r>
    <s v="ORD10062"/>
    <s v="CUST6310"/>
    <x v="9"/>
    <x v="3"/>
    <s v="2024-01-22"/>
    <n v="2024"/>
    <n v="1"/>
    <x v="19"/>
    <s v="16:53"/>
    <s v="Desserts"/>
    <n v="327.61"/>
    <x v="3"/>
    <x v="2"/>
    <n v="39"/>
    <n v="4"/>
  </r>
  <r>
    <s v="ORD10063"/>
    <s v="CUST4039"/>
    <x v="8"/>
    <x v="6"/>
    <s v="2024-01-29"/>
    <n v="2024"/>
    <n v="1"/>
    <x v="17"/>
    <s v="12:13"/>
    <s v="Fast Food"/>
    <n v="249.96"/>
    <x v="3"/>
    <x v="2"/>
    <n v="72"/>
    <n v="5"/>
  </r>
  <r>
    <s v="ORD10064"/>
    <s v="CUST2692"/>
    <x v="3"/>
    <x v="6"/>
    <s v="2024-01-08"/>
    <n v="2024"/>
    <n v="1"/>
    <x v="5"/>
    <s v="19:17"/>
    <s v="Healthy"/>
    <n v="272.47000000000003"/>
    <x v="3"/>
    <x v="0"/>
    <n v="33"/>
    <m/>
  </r>
  <r>
    <s v="ORD10065"/>
    <s v="CUST2392"/>
    <x v="4"/>
    <x v="4"/>
    <s v="2024-01-06"/>
    <n v="2024"/>
    <n v="1"/>
    <x v="16"/>
    <s v="10:58"/>
    <s v="Pizza"/>
    <n v="387.76"/>
    <x v="0"/>
    <x v="3"/>
    <n v="85"/>
    <n v="4"/>
  </r>
  <r>
    <s v="ORD10066"/>
    <s v="CUST4811"/>
    <x v="4"/>
    <x v="3"/>
    <s v="2024-01-01"/>
    <n v="2024"/>
    <n v="1"/>
    <x v="25"/>
    <s v="18:45"/>
    <s v="Fast Food"/>
    <n v="271.87"/>
    <x v="2"/>
    <x v="0"/>
    <n v="65"/>
    <m/>
  </r>
  <r>
    <s v="ORD10067"/>
    <s v="CUST2022"/>
    <x v="8"/>
    <x v="7"/>
    <s v="2024-01-24"/>
    <n v="2024"/>
    <n v="1"/>
    <x v="14"/>
    <s v="22:31"/>
    <s v="BBQ"/>
    <n v="464.54"/>
    <x v="1"/>
    <x v="1"/>
    <n v="27"/>
    <n v="2"/>
  </r>
  <r>
    <s v="ORD10068"/>
    <s v="CUST8989"/>
    <x v="9"/>
    <x v="4"/>
    <s v="2024-01-23"/>
    <n v="2024"/>
    <n v="1"/>
    <x v="11"/>
    <s v="22:20"/>
    <s v="BBQ"/>
    <n v="486.64"/>
    <x v="3"/>
    <x v="3"/>
    <n v="83"/>
    <n v="2"/>
  </r>
  <r>
    <s v="ORD10069"/>
    <s v="CUST1325"/>
    <x v="2"/>
    <x v="0"/>
    <s v="2024-01-17"/>
    <n v="2024"/>
    <n v="1"/>
    <x v="4"/>
    <s v="20:36"/>
    <s v="Fast Food"/>
    <n v="463.87"/>
    <x v="0"/>
    <x v="1"/>
    <n v="88"/>
    <n v="5"/>
  </r>
  <r>
    <s v="ORD10070"/>
    <s v="CUST2280"/>
    <x v="3"/>
    <x v="7"/>
    <s v="2024-01-05"/>
    <n v="2024"/>
    <n v="1"/>
    <x v="20"/>
    <s v="12:11"/>
    <s v="Beverages"/>
    <n v="258.64"/>
    <x v="1"/>
    <x v="1"/>
    <n v="58"/>
    <n v="2"/>
  </r>
  <r>
    <s v="ORD10071"/>
    <s v="CUST7944"/>
    <x v="5"/>
    <x v="9"/>
    <s v="2024-01-09"/>
    <n v="2024"/>
    <n v="1"/>
    <x v="0"/>
    <s v="16:26"/>
    <s v="Beverages"/>
    <n v="365.2"/>
    <x v="3"/>
    <x v="3"/>
    <n v="28"/>
    <n v="5"/>
  </r>
  <r>
    <s v="ORD10072"/>
    <s v="CUST4472"/>
    <x v="3"/>
    <x v="9"/>
    <s v="2024-01-14"/>
    <n v="2024"/>
    <n v="1"/>
    <x v="2"/>
    <s v="10:31"/>
    <s v="Beverages"/>
    <n v="270.56"/>
    <x v="1"/>
    <x v="2"/>
    <n v="23"/>
    <n v="2"/>
  </r>
  <r>
    <s v="ORD10073"/>
    <s v="CUST7716"/>
    <x v="8"/>
    <x v="9"/>
    <s v="2024-01-17"/>
    <n v="2024"/>
    <n v="1"/>
    <x v="4"/>
    <s v="14:47"/>
    <s v="BBQ"/>
    <n v="164.58"/>
    <x v="3"/>
    <x v="2"/>
    <n v="28"/>
    <n v="5"/>
  </r>
  <r>
    <s v="ORD10074"/>
    <s v="CUST8801"/>
    <x v="4"/>
    <x v="9"/>
    <s v="2024-01-20"/>
    <n v="2024"/>
    <n v="1"/>
    <x v="23"/>
    <s v="12:38"/>
    <s v="Seafood"/>
    <n v="106.97"/>
    <x v="1"/>
    <x v="1"/>
    <n v="88"/>
    <n v="2"/>
  </r>
  <r>
    <s v="ORD10075"/>
    <s v="CUST9782"/>
    <x v="3"/>
    <x v="3"/>
    <s v="2024-01-14"/>
    <n v="2024"/>
    <n v="1"/>
    <x v="2"/>
    <s v="12:27"/>
    <s v="BBQ"/>
    <n v="461.99"/>
    <x v="0"/>
    <x v="2"/>
    <n v="20"/>
    <n v="5"/>
  </r>
  <r>
    <s v="ORD10076"/>
    <s v="CUST8648"/>
    <x v="0"/>
    <x v="2"/>
    <s v="2024-01-02"/>
    <n v="2024"/>
    <n v="1"/>
    <x v="26"/>
    <s v="20:34"/>
    <s v="Beverages"/>
    <n v="301.60000000000002"/>
    <x v="2"/>
    <x v="0"/>
    <n v="60"/>
    <n v="5"/>
  </r>
  <r>
    <s v="ORD10077"/>
    <s v="CUST8963"/>
    <x v="1"/>
    <x v="5"/>
    <s v="2024-01-17"/>
    <n v="2024"/>
    <n v="1"/>
    <x v="4"/>
    <s v="13:15"/>
    <s v="Beverages"/>
    <n v="332.92"/>
    <x v="0"/>
    <x v="3"/>
    <n v="64"/>
    <n v="2"/>
  </r>
  <r>
    <s v="ORD10078"/>
    <s v="CUST4762"/>
    <x v="7"/>
    <x v="5"/>
    <s v="2024-01-21"/>
    <n v="2024"/>
    <n v="1"/>
    <x v="1"/>
    <s v="15:56"/>
    <s v="Desserts"/>
    <n v="244.29"/>
    <x v="3"/>
    <x v="1"/>
    <n v="84"/>
    <n v="3"/>
  </r>
  <r>
    <s v="ORD10079"/>
    <s v="CUST5863"/>
    <x v="0"/>
    <x v="9"/>
    <s v="2024-01-31"/>
    <n v="2024"/>
    <n v="1"/>
    <x v="6"/>
    <s v="23:38"/>
    <s v="Desserts"/>
    <n v="337.33"/>
    <x v="3"/>
    <x v="2"/>
    <n v="75"/>
    <n v="4"/>
  </r>
  <r>
    <s v="ORD10080"/>
    <s v="CUST4661"/>
    <x v="7"/>
    <x v="7"/>
    <s v="2024-01-01"/>
    <n v="2024"/>
    <n v="1"/>
    <x v="25"/>
    <s v="23:12"/>
    <s v="Fast Food"/>
    <n v="165.31"/>
    <x v="2"/>
    <x v="0"/>
    <n v="57"/>
    <m/>
  </r>
  <r>
    <s v="ORD10081"/>
    <s v="CUST2345"/>
    <x v="7"/>
    <x v="9"/>
    <s v="2024-01-03"/>
    <n v="2024"/>
    <n v="1"/>
    <x v="27"/>
    <s v="16:13"/>
    <s v="Desserts"/>
    <n v="233.94"/>
    <x v="3"/>
    <x v="1"/>
    <n v="18"/>
    <m/>
  </r>
  <r>
    <s v="ORD10082"/>
    <s v="CUST5337"/>
    <x v="3"/>
    <x v="3"/>
    <s v="2024-01-06"/>
    <n v="2024"/>
    <n v="1"/>
    <x v="16"/>
    <s v="11:59"/>
    <s v="Beverages"/>
    <n v="365.53"/>
    <x v="2"/>
    <x v="0"/>
    <n v="31"/>
    <n v="3"/>
  </r>
  <r>
    <s v="ORD10083"/>
    <s v="CUST9601"/>
    <x v="1"/>
    <x v="4"/>
    <s v="2024-01-16"/>
    <n v="2024"/>
    <n v="1"/>
    <x v="10"/>
    <s v="23:14"/>
    <s v="Desserts"/>
    <n v="383.22"/>
    <x v="2"/>
    <x v="0"/>
    <n v="46"/>
    <n v="2"/>
  </r>
  <r>
    <s v="ORD10084"/>
    <s v="CUST9356"/>
    <x v="0"/>
    <x v="8"/>
    <s v="2024-01-28"/>
    <n v="2024"/>
    <n v="1"/>
    <x v="21"/>
    <s v="14:51"/>
    <s v="Pizza"/>
    <n v="90.93"/>
    <x v="3"/>
    <x v="3"/>
    <n v="30"/>
    <n v="2"/>
  </r>
  <r>
    <s v="ORD10085"/>
    <s v="CUST2381"/>
    <x v="6"/>
    <x v="8"/>
    <s v="2024-01-22"/>
    <n v="2024"/>
    <n v="1"/>
    <x v="19"/>
    <s v="12:23"/>
    <s v="Fast Food"/>
    <n v="252.51"/>
    <x v="1"/>
    <x v="2"/>
    <n v="78"/>
    <n v="3"/>
  </r>
  <r>
    <s v="ORD10086"/>
    <s v="CUST7494"/>
    <x v="0"/>
    <x v="7"/>
    <s v="2024-01-29"/>
    <n v="2024"/>
    <n v="1"/>
    <x v="17"/>
    <s v="15:22"/>
    <s v="Beverages"/>
    <n v="245.66"/>
    <x v="3"/>
    <x v="3"/>
    <n v="15"/>
    <n v="3"/>
  </r>
  <r>
    <s v="ORD10087"/>
    <s v="CUST4329"/>
    <x v="0"/>
    <x v="1"/>
    <s v="2024-01-18"/>
    <n v="2024"/>
    <n v="1"/>
    <x v="9"/>
    <s v="20:11"/>
    <s v="BBQ"/>
    <n v="164.73"/>
    <x v="0"/>
    <x v="1"/>
    <n v="69"/>
    <n v="4"/>
  </r>
  <r>
    <s v="ORD10088"/>
    <s v="CUST6850"/>
    <x v="3"/>
    <x v="3"/>
    <s v="2024-01-14"/>
    <n v="2024"/>
    <n v="1"/>
    <x v="2"/>
    <s v="14:15"/>
    <s v="BBQ"/>
    <n v="182.13"/>
    <x v="0"/>
    <x v="0"/>
    <n v="61"/>
    <n v="5"/>
  </r>
  <r>
    <s v="ORD10089"/>
    <s v="CUST5415"/>
    <x v="1"/>
    <x v="0"/>
    <s v="2024-01-23"/>
    <n v="2024"/>
    <n v="1"/>
    <x v="11"/>
    <s v="15:20"/>
    <s v="BBQ"/>
    <n v="115.53"/>
    <x v="1"/>
    <x v="1"/>
    <n v="66"/>
    <n v="1"/>
  </r>
  <r>
    <s v="ORD10090"/>
    <s v="CUST9238"/>
    <x v="5"/>
    <x v="9"/>
    <s v="2024-01-13"/>
    <n v="2024"/>
    <n v="1"/>
    <x v="28"/>
    <s v="19:38"/>
    <s v="Fast Food"/>
    <n v="483.28"/>
    <x v="2"/>
    <x v="0"/>
    <n v="81"/>
    <m/>
  </r>
  <r>
    <s v="ORD10091"/>
    <s v="CUST4307"/>
    <x v="1"/>
    <x v="1"/>
    <s v="2024-01-01"/>
    <n v="2024"/>
    <n v="1"/>
    <x v="25"/>
    <s v="23:22"/>
    <s v="Desserts"/>
    <n v="115.6"/>
    <x v="1"/>
    <x v="1"/>
    <n v="67"/>
    <n v="4"/>
  </r>
  <r>
    <s v="ORD10092"/>
    <s v="CUST1126"/>
    <x v="2"/>
    <x v="8"/>
    <s v="2024-01-12"/>
    <n v="2024"/>
    <n v="1"/>
    <x v="29"/>
    <s v="17:11"/>
    <s v="Sushi"/>
    <n v="318.14999999999998"/>
    <x v="2"/>
    <x v="3"/>
    <n v="81"/>
    <n v="5"/>
  </r>
  <r>
    <s v="ORD10093"/>
    <s v="CUST9461"/>
    <x v="7"/>
    <x v="6"/>
    <s v="2024-01-14"/>
    <n v="2024"/>
    <n v="1"/>
    <x v="2"/>
    <s v="21:51"/>
    <s v="Healthy"/>
    <n v="94.7"/>
    <x v="0"/>
    <x v="0"/>
    <n v="18"/>
    <m/>
  </r>
  <r>
    <s v="ORD10094"/>
    <s v="CUST7280"/>
    <x v="0"/>
    <x v="0"/>
    <s v="2024-01-31"/>
    <n v="2024"/>
    <n v="1"/>
    <x v="6"/>
    <s v="10:39"/>
    <s v="Fast Food"/>
    <n v="291.23"/>
    <x v="3"/>
    <x v="0"/>
    <n v="47"/>
    <n v="5"/>
  </r>
  <r>
    <s v="ORD10095"/>
    <s v="CUST2113"/>
    <x v="8"/>
    <x v="4"/>
    <s v="2024-01-24"/>
    <n v="2024"/>
    <n v="1"/>
    <x v="14"/>
    <s v="20:28"/>
    <s v="Pizza"/>
    <n v="237.13"/>
    <x v="1"/>
    <x v="2"/>
    <n v="27"/>
    <n v="3"/>
  </r>
  <r>
    <s v="ORD10096"/>
    <s v="CUST9381"/>
    <x v="3"/>
    <x v="0"/>
    <s v="2024-01-07"/>
    <n v="2024"/>
    <n v="1"/>
    <x v="18"/>
    <s v="19:48"/>
    <s v="Pizza"/>
    <n v="306.05"/>
    <x v="1"/>
    <x v="3"/>
    <n v="64"/>
    <n v="4"/>
  </r>
  <r>
    <s v="ORD10097"/>
    <s v="CUST3301"/>
    <x v="3"/>
    <x v="6"/>
    <s v="2024-01-15"/>
    <n v="2024"/>
    <n v="1"/>
    <x v="13"/>
    <s v="10:15"/>
    <s v="Healthy"/>
    <n v="264.58"/>
    <x v="0"/>
    <x v="2"/>
    <n v="40"/>
    <n v="5"/>
  </r>
  <r>
    <s v="ORD10098"/>
    <s v="CUST8295"/>
    <x v="9"/>
    <x v="0"/>
    <s v="2024-01-12"/>
    <n v="2024"/>
    <n v="1"/>
    <x v="29"/>
    <s v="14:35"/>
    <s v="Seafood"/>
    <n v="136.11000000000001"/>
    <x v="3"/>
    <x v="2"/>
    <n v="51"/>
    <n v="2"/>
  </r>
  <r>
    <s v="ORD10099"/>
    <s v="CUST4153"/>
    <x v="4"/>
    <x v="7"/>
    <s v="2024-01-20"/>
    <n v="2024"/>
    <n v="1"/>
    <x v="23"/>
    <s v="10:50"/>
    <s v="Desserts"/>
    <n v="342.57"/>
    <x v="0"/>
    <x v="1"/>
    <n v="32"/>
    <n v="2"/>
  </r>
  <r>
    <s v="ORD10100"/>
    <s v="CUST4138"/>
    <x v="4"/>
    <x v="7"/>
    <s v="2024-01-17"/>
    <n v="2024"/>
    <n v="1"/>
    <x v="4"/>
    <s v="15:50"/>
    <s v="Healthy"/>
    <n v="455.4"/>
    <x v="2"/>
    <x v="0"/>
    <n v="75"/>
    <m/>
  </r>
  <r>
    <s v="ORD10101"/>
    <s v="CUST2249"/>
    <x v="1"/>
    <x v="5"/>
    <s v="2024-01-21"/>
    <n v="2024"/>
    <n v="1"/>
    <x v="1"/>
    <s v="20:11"/>
    <s v="Healthy"/>
    <n v="245.81"/>
    <x v="0"/>
    <x v="2"/>
    <n v="81"/>
    <m/>
  </r>
  <r>
    <s v="ORD10102"/>
    <s v="CUST9202"/>
    <x v="7"/>
    <x v="6"/>
    <s v="2024-01-23"/>
    <n v="2024"/>
    <n v="1"/>
    <x v="11"/>
    <s v="14:47"/>
    <s v="Beverages"/>
    <n v="357.48"/>
    <x v="1"/>
    <x v="0"/>
    <n v="64"/>
    <n v="1"/>
  </r>
  <r>
    <s v="ORD10103"/>
    <s v="CUST6808"/>
    <x v="7"/>
    <x v="6"/>
    <s v="2024-01-19"/>
    <n v="2024"/>
    <n v="1"/>
    <x v="15"/>
    <s v="17:21"/>
    <s v="Beverages"/>
    <n v="336.31"/>
    <x v="0"/>
    <x v="3"/>
    <n v="90"/>
    <n v="2"/>
  </r>
  <r>
    <s v="ORD10104"/>
    <s v="CUST6259"/>
    <x v="9"/>
    <x v="6"/>
    <s v="2024-01-07"/>
    <n v="2024"/>
    <n v="1"/>
    <x v="18"/>
    <s v="22:34"/>
    <s v="Fast Food"/>
    <n v="207.71"/>
    <x v="1"/>
    <x v="3"/>
    <n v="78"/>
    <n v="1"/>
  </r>
  <r>
    <s v="ORD10105"/>
    <s v="CUST1009"/>
    <x v="3"/>
    <x v="2"/>
    <s v="2024-01-11"/>
    <n v="2024"/>
    <n v="1"/>
    <x v="3"/>
    <s v="13:47"/>
    <s v="Sushi"/>
    <n v="428.84"/>
    <x v="2"/>
    <x v="3"/>
    <n v="46"/>
    <n v="3"/>
  </r>
  <r>
    <s v="ORD10106"/>
    <s v="CUST3787"/>
    <x v="5"/>
    <x v="5"/>
    <s v="2024-01-07"/>
    <n v="2024"/>
    <n v="1"/>
    <x v="18"/>
    <s v="20:56"/>
    <s v="BBQ"/>
    <n v="442.66"/>
    <x v="2"/>
    <x v="1"/>
    <n v="64"/>
    <n v="2"/>
  </r>
  <r>
    <s v="ORD10107"/>
    <s v="CUST8947"/>
    <x v="7"/>
    <x v="3"/>
    <s v="2024-01-18"/>
    <n v="2024"/>
    <n v="1"/>
    <x v="9"/>
    <s v="19:44"/>
    <s v="Desserts"/>
    <n v="216.87"/>
    <x v="0"/>
    <x v="2"/>
    <n v="80"/>
    <n v="1"/>
  </r>
  <r>
    <s v="ORD10108"/>
    <s v="CUST7115"/>
    <x v="2"/>
    <x v="5"/>
    <s v="2024-01-01"/>
    <n v="2024"/>
    <n v="1"/>
    <x v="25"/>
    <s v="23:25"/>
    <s v="BBQ"/>
    <n v="268.2"/>
    <x v="3"/>
    <x v="3"/>
    <n v="47"/>
    <n v="4"/>
  </r>
  <r>
    <s v="ORD10109"/>
    <s v="CUST2757"/>
    <x v="3"/>
    <x v="9"/>
    <s v="2024-01-29"/>
    <n v="2024"/>
    <n v="1"/>
    <x v="17"/>
    <s v="12:53"/>
    <s v="Sushi"/>
    <n v="262.43"/>
    <x v="0"/>
    <x v="1"/>
    <n v="39"/>
    <n v="3"/>
  </r>
  <r>
    <s v="ORD10110"/>
    <s v="CUST3381"/>
    <x v="2"/>
    <x v="7"/>
    <s v="2024-01-14"/>
    <n v="2024"/>
    <n v="1"/>
    <x v="2"/>
    <s v="11:24"/>
    <s v="Beverages"/>
    <n v="331.37"/>
    <x v="2"/>
    <x v="3"/>
    <n v="65"/>
    <n v="5"/>
  </r>
  <r>
    <s v="ORD10111"/>
    <s v="CUST3071"/>
    <x v="1"/>
    <x v="9"/>
    <s v="2024-01-15"/>
    <n v="2024"/>
    <n v="1"/>
    <x v="13"/>
    <s v="11:59"/>
    <s v="BBQ"/>
    <n v="328.86"/>
    <x v="2"/>
    <x v="2"/>
    <n v="86"/>
    <m/>
  </r>
  <r>
    <s v="ORD10112"/>
    <s v="CUST1477"/>
    <x v="5"/>
    <x v="5"/>
    <s v="2024-01-25"/>
    <n v="2024"/>
    <n v="1"/>
    <x v="8"/>
    <s v="18:20"/>
    <s v="Pizza"/>
    <n v="118.58"/>
    <x v="1"/>
    <x v="3"/>
    <n v="88"/>
    <n v="3"/>
  </r>
  <r>
    <s v="ORD10113"/>
    <s v="CUST8610"/>
    <x v="0"/>
    <x v="3"/>
    <s v="2024-01-31"/>
    <n v="2024"/>
    <n v="1"/>
    <x v="6"/>
    <s v="11:31"/>
    <s v="Seafood"/>
    <n v="468.27"/>
    <x v="3"/>
    <x v="2"/>
    <n v="38"/>
    <m/>
  </r>
  <r>
    <s v="ORD10114"/>
    <s v="CUST3965"/>
    <x v="9"/>
    <x v="5"/>
    <s v="2024-01-17"/>
    <n v="2024"/>
    <n v="1"/>
    <x v="4"/>
    <s v="19:42"/>
    <s v="Healthy"/>
    <n v="190.22"/>
    <x v="2"/>
    <x v="1"/>
    <n v="48"/>
    <n v="1"/>
  </r>
  <r>
    <s v="ORD10115"/>
    <s v="CUST1303"/>
    <x v="5"/>
    <x v="0"/>
    <s v="2024-01-19"/>
    <n v="2024"/>
    <n v="1"/>
    <x v="15"/>
    <s v="10:41"/>
    <s v="Desserts"/>
    <n v="466.95"/>
    <x v="0"/>
    <x v="3"/>
    <n v="64"/>
    <n v="2"/>
  </r>
  <r>
    <s v="ORD10116"/>
    <s v="CUST7275"/>
    <x v="7"/>
    <x v="3"/>
    <s v="2024-01-03"/>
    <n v="2024"/>
    <n v="1"/>
    <x v="27"/>
    <s v="14:29"/>
    <s v="Fast Food"/>
    <n v="260.33999999999997"/>
    <x v="2"/>
    <x v="1"/>
    <n v="63"/>
    <n v="2"/>
  </r>
  <r>
    <s v="ORD10117"/>
    <s v="CUST6969"/>
    <x v="8"/>
    <x v="3"/>
    <s v="2024-01-29"/>
    <n v="2024"/>
    <n v="1"/>
    <x v="17"/>
    <s v="12:10"/>
    <s v="Sushi"/>
    <n v="195.64"/>
    <x v="2"/>
    <x v="0"/>
    <n v="58"/>
    <n v="4"/>
  </r>
  <r>
    <s v="ORD10118"/>
    <s v="CUST8217"/>
    <x v="4"/>
    <x v="3"/>
    <s v="2024-01-11"/>
    <n v="2024"/>
    <n v="1"/>
    <x v="3"/>
    <s v="11:46"/>
    <s v="Sushi"/>
    <n v="151.66"/>
    <x v="3"/>
    <x v="3"/>
    <n v="35"/>
    <m/>
  </r>
  <r>
    <s v="ORD10119"/>
    <s v="CUST2427"/>
    <x v="2"/>
    <x v="9"/>
    <s v="2024-01-14"/>
    <n v="2024"/>
    <n v="1"/>
    <x v="2"/>
    <s v="14:20"/>
    <s v="Seafood"/>
    <n v="208.83"/>
    <x v="3"/>
    <x v="0"/>
    <n v="17"/>
    <n v="3"/>
  </r>
  <r>
    <s v="ORD10120"/>
    <s v="CUST6449"/>
    <x v="6"/>
    <x v="0"/>
    <s v="2024-01-24"/>
    <n v="2024"/>
    <n v="1"/>
    <x v="14"/>
    <s v="22:53"/>
    <s v="Beverages"/>
    <n v="200.43"/>
    <x v="3"/>
    <x v="0"/>
    <n v="46"/>
    <n v="1"/>
  </r>
  <r>
    <s v="ORD10121"/>
    <s v="CUST3987"/>
    <x v="9"/>
    <x v="1"/>
    <s v="2024-01-09"/>
    <n v="2024"/>
    <n v="1"/>
    <x v="0"/>
    <s v="18:20"/>
    <s v="BBQ"/>
    <n v="180.28"/>
    <x v="3"/>
    <x v="3"/>
    <n v="42"/>
    <n v="5"/>
  </r>
  <r>
    <s v="ORD10122"/>
    <s v="CUST6718"/>
    <x v="6"/>
    <x v="7"/>
    <s v="2024-01-23"/>
    <n v="2024"/>
    <n v="1"/>
    <x v="11"/>
    <s v="14:24"/>
    <s v="BBQ"/>
    <n v="414"/>
    <x v="3"/>
    <x v="1"/>
    <n v="46"/>
    <n v="3"/>
  </r>
  <r>
    <s v="ORD10123"/>
    <s v="CUST9295"/>
    <x v="5"/>
    <x v="6"/>
    <s v="2024-01-02"/>
    <n v="2024"/>
    <n v="1"/>
    <x v="26"/>
    <s v="21:38"/>
    <s v="Fast Food"/>
    <n v="347.68"/>
    <x v="0"/>
    <x v="3"/>
    <n v="20"/>
    <m/>
  </r>
  <r>
    <s v="ORD10124"/>
    <s v="CUST4421"/>
    <x v="9"/>
    <x v="2"/>
    <s v="2024-01-24"/>
    <n v="2024"/>
    <n v="1"/>
    <x v="14"/>
    <s v="19:28"/>
    <s v="Fast Food"/>
    <n v="327.78"/>
    <x v="1"/>
    <x v="0"/>
    <n v="16"/>
    <n v="2"/>
  </r>
  <r>
    <s v="ORD10125"/>
    <s v="CUST3547"/>
    <x v="3"/>
    <x v="8"/>
    <s v="2024-01-16"/>
    <n v="2024"/>
    <n v="1"/>
    <x v="10"/>
    <s v="12:20"/>
    <s v="Pizza"/>
    <n v="381.05"/>
    <x v="3"/>
    <x v="3"/>
    <n v="16"/>
    <n v="3"/>
  </r>
  <r>
    <s v="ORD10126"/>
    <s v="CUST3620"/>
    <x v="0"/>
    <x v="7"/>
    <s v="2024-01-14"/>
    <n v="2024"/>
    <n v="1"/>
    <x v="2"/>
    <s v="15:26"/>
    <s v="Seafood"/>
    <n v="340.09"/>
    <x v="0"/>
    <x v="2"/>
    <n v="48"/>
    <n v="4"/>
  </r>
  <r>
    <s v="ORD10127"/>
    <s v="CUST4094"/>
    <x v="9"/>
    <x v="0"/>
    <s v="2024-01-20"/>
    <n v="2024"/>
    <n v="1"/>
    <x v="23"/>
    <s v="23:45"/>
    <s v="Desserts"/>
    <n v="286.14"/>
    <x v="0"/>
    <x v="2"/>
    <n v="72"/>
    <n v="4"/>
  </r>
  <r>
    <s v="ORD10128"/>
    <s v="CUST2270"/>
    <x v="5"/>
    <x v="7"/>
    <s v="2024-01-25"/>
    <n v="2024"/>
    <n v="1"/>
    <x v="8"/>
    <s v="16:47"/>
    <s v="Pizza"/>
    <n v="465.68"/>
    <x v="2"/>
    <x v="3"/>
    <n v="84"/>
    <m/>
  </r>
  <r>
    <s v="ORD10129"/>
    <s v="CUST7322"/>
    <x v="6"/>
    <x v="4"/>
    <s v="2024-01-03"/>
    <n v="2024"/>
    <n v="1"/>
    <x v="27"/>
    <s v="20:46"/>
    <s v="Seafood"/>
    <n v="61.16"/>
    <x v="2"/>
    <x v="3"/>
    <n v="16"/>
    <m/>
  </r>
  <r>
    <s v="ORD10130"/>
    <s v="CUST5402"/>
    <x v="1"/>
    <x v="0"/>
    <s v="2024-01-25"/>
    <n v="2024"/>
    <n v="1"/>
    <x v="8"/>
    <s v="13:41"/>
    <s v="Pizza"/>
    <n v="213.14"/>
    <x v="1"/>
    <x v="1"/>
    <n v="16"/>
    <n v="2"/>
  </r>
  <r>
    <s v="ORD10131"/>
    <s v="CUST7405"/>
    <x v="2"/>
    <x v="9"/>
    <s v="2024-01-06"/>
    <n v="2024"/>
    <n v="1"/>
    <x v="16"/>
    <s v="23:57"/>
    <s v="Desserts"/>
    <n v="299"/>
    <x v="2"/>
    <x v="1"/>
    <n v="57"/>
    <n v="3"/>
  </r>
  <r>
    <s v="ORD10132"/>
    <s v="CUST6927"/>
    <x v="5"/>
    <x v="4"/>
    <s v="2024-01-16"/>
    <n v="2024"/>
    <n v="1"/>
    <x v="10"/>
    <s v="19:17"/>
    <s v="Seafood"/>
    <n v="239.12"/>
    <x v="0"/>
    <x v="0"/>
    <n v="42"/>
    <n v="1"/>
  </r>
  <r>
    <s v="ORD10133"/>
    <s v="CUST9666"/>
    <x v="2"/>
    <x v="3"/>
    <s v="2024-01-13"/>
    <n v="2024"/>
    <n v="1"/>
    <x v="28"/>
    <s v="11:14"/>
    <s v="Healthy"/>
    <n v="50.94"/>
    <x v="2"/>
    <x v="3"/>
    <n v="36"/>
    <n v="5"/>
  </r>
  <r>
    <s v="ORD10134"/>
    <s v="CUST2714"/>
    <x v="7"/>
    <x v="3"/>
    <s v="2024-01-01"/>
    <n v="2024"/>
    <n v="1"/>
    <x v="25"/>
    <s v="16:15"/>
    <s v="Healthy"/>
    <n v="467.24"/>
    <x v="1"/>
    <x v="3"/>
    <n v="78"/>
    <n v="2"/>
  </r>
  <r>
    <s v="ORD10135"/>
    <s v="CUST8229"/>
    <x v="7"/>
    <x v="6"/>
    <s v="2024-01-05"/>
    <n v="2024"/>
    <n v="1"/>
    <x v="20"/>
    <s v="20:28"/>
    <s v="Desserts"/>
    <n v="96.49"/>
    <x v="2"/>
    <x v="1"/>
    <n v="27"/>
    <n v="4"/>
  </r>
  <r>
    <s v="ORD10136"/>
    <s v="CUST5671"/>
    <x v="6"/>
    <x v="1"/>
    <s v="2024-01-29"/>
    <n v="2024"/>
    <n v="1"/>
    <x v="17"/>
    <s v="12:35"/>
    <s v="Pizza"/>
    <n v="300.44"/>
    <x v="1"/>
    <x v="3"/>
    <n v="74"/>
    <n v="3"/>
  </r>
  <r>
    <s v="ORD10137"/>
    <s v="CUST6348"/>
    <x v="6"/>
    <x v="5"/>
    <s v="2024-01-30"/>
    <n v="2024"/>
    <n v="1"/>
    <x v="30"/>
    <s v="14:39"/>
    <s v="Desserts"/>
    <n v="98.53"/>
    <x v="2"/>
    <x v="1"/>
    <n v="68"/>
    <n v="3"/>
  </r>
  <r>
    <s v="ORD10138"/>
    <s v="CUST5683"/>
    <x v="7"/>
    <x v="3"/>
    <s v="2024-01-23"/>
    <n v="2024"/>
    <n v="1"/>
    <x v="11"/>
    <s v="19:49"/>
    <s v="Desserts"/>
    <n v="404.26"/>
    <x v="2"/>
    <x v="3"/>
    <n v="79"/>
    <m/>
  </r>
  <r>
    <s v="ORD10139"/>
    <s v="CUST7642"/>
    <x v="9"/>
    <x v="2"/>
    <s v="2024-01-11"/>
    <n v="2024"/>
    <n v="1"/>
    <x v="3"/>
    <s v="19:16"/>
    <s v="Beverages"/>
    <n v="120.23"/>
    <x v="1"/>
    <x v="2"/>
    <n v="16"/>
    <n v="3"/>
  </r>
  <r>
    <s v="ORD10140"/>
    <s v="CUST6486"/>
    <x v="0"/>
    <x v="6"/>
    <s v="2024-01-04"/>
    <n v="2024"/>
    <n v="1"/>
    <x v="22"/>
    <s v="16:20"/>
    <s v="BBQ"/>
    <n v="187.43"/>
    <x v="1"/>
    <x v="3"/>
    <n v="15"/>
    <m/>
  </r>
  <r>
    <s v="ORD10141"/>
    <s v="CUST6580"/>
    <x v="1"/>
    <x v="9"/>
    <s v="2024-01-25"/>
    <n v="2024"/>
    <n v="1"/>
    <x v="8"/>
    <s v="14:51"/>
    <s v="Seafood"/>
    <n v="343.79"/>
    <x v="0"/>
    <x v="1"/>
    <n v="62"/>
    <n v="1"/>
  </r>
  <r>
    <s v="ORD10142"/>
    <s v="CUST8849"/>
    <x v="9"/>
    <x v="0"/>
    <s v="2024-01-26"/>
    <n v="2024"/>
    <n v="1"/>
    <x v="12"/>
    <s v="13:51"/>
    <s v="Desserts"/>
    <n v="298.39999999999998"/>
    <x v="2"/>
    <x v="0"/>
    <n v="64"/>
    <n v="5"/>
  </r>
  <r>
    <s v="ORD10143"/>
    <s v="CUST3563"/>
    <x v="1"/>
    <x v="7"/>
    <s v="2024-01-18"/>
    <n v="2024"/>
    <n v="1"/>
    <x v="9"/>
    <s v="14:18"/>
    <s v="Seafood"/>
    <n v="187.88"/>
    <x v="1"/>
    <x v="2"/>
    <n v="62"/>
    <n v="3"/>
  </r>
  <r>
    <s v="ORD10144"/>
    <s v="CUST3281"/>
    <x v="3"/>
    <x v="6"/>
    <s v="2024-01-16"/>
    <n v="2024"/>
    <n v="1"/>
    <x v="10"/>
    <s v="12:11"/>
    <s v="Healthy"/>
    <n v="345.07"/>
    <x v="1"/>
    <x v="1"/>
    <n v="32"/>
    <n v="4"/>
  </r>
  <r>
    <s v="ORD10145"/>
    <s v="CUST1403"/>
    <x v="5"/>
    <x v="2"/>
    <s v="2024-01-29"/>
    <n v="2024"/>
    <n v="1"/>
    <x v="17"/>
    <s v="21:30"/>
    <s v="Sushi"/>
    <n v="130.16"/>
    <x v="2"/>
    <x v="0"/>
    <n v="79"/>
    <m/>
  </r>
  <r>
    <s v="ORD10146"/>
    <s v="CUST4583"/>
    <x v="3"/>
    <x v="9"/>
    <s v="2024-01-22"/>
    <n v="2024"/>
    <n v="1"/>
    <x v="19"/>
    <s v="18:11"/>
    <s v="Beverages"/>
    <n v="391.25"/>
    <x v="3"/>
    <x v="3"/>
    <n v="57"/>
    <n v="4"/>
  </r>
  <r>
    <s v="ORD10147"/>
    <s v="CUST8612"/>
    <x v="3"/>
    <x v="2"/>
    <s v="2024-01-19"/>
    <n v="2024"/>
    <n v="1"/>
    <x v="15"/>
    <s v="14:53"/>
    <s v="Healthy"/>
    <n v="77.02"/>
    <x v="2"/>
    <x v="3"/>
    <n v="30"/>
    <n v="5"/>
  </r>
  <r>
    <s v="ORD10148"/>
    <s v="CUST3582"/>
    <x v="6"/>
    <x v="6"/>
    <s v="2024-01-11"/>
    <n v="2024"/>
    <n v="1"/>
    <x v="3"/>
    <s v="12:12"/>
    <s v="Seafood"/>
    <n v="178"/>
    <x v="3"/>
    <x v="3"/>
    <n v="89"/>
    <n v="3"/>
  </r>
  <r>
    <s v="ORD10149"/>
    <s v="CUST8017"/>
    <x v="1"/>
    <x v="7"/>
    <s v="2024-01-17"/>
    <n v="2024"/>
    <n v="1"/>
    <x v="4"/>
    <s v="11:46"/>
    <s v="Seafood"/>
    <n v="228.79"/>
    <x v="1"/>
    <x v="3"/>
    <n v="43"/>
    <n v="1"/>
  </r>
  <r>
    <s v="ORD10150"/>
    <s v="CUST4345"/>
    <x v="7"/>
    <x v="2"/>
    <s v="2024-01-10"/>
    <n v="2024"/>
    <n v="1"/>
    <x v="24"/>
    <s v="19:35"/>
    <s v="Seafood"/>
    <n v="461.65"/>
    <x v="1"/>
    <x v="1"/>
    <n v="85"/>
    <n v="1"/>
  </r>
  <r>
    <s v="ORD10151"/>
    <s v="CUST2945"/>
    <x v="3"/>
    <x v="9"/>
    <s v="2024-01-14"/>
    <n v="2024"/>
    <n v="1"/>
    <x v="2"/>
    <s v="22:26"/>
    <s v="BBQ"/>
    <n v="152.05000000000001"/>
    <x v="3"/>
    <x v="2"/>
    <n v="83"/>
    <n v="4"/>
  </r>
  <r>
    <s v="ORD10152"/>
    <s v="CUST9137"/>
    <x v="2"/>
    <x v="7"/>
    <s v="2024-01-01"/>
    <n v="2024"/>
    <n v="1"/>
    <x v="25"/>
    <s v="17:54"/>
    <s v="Beverages"/>
    <n v="490.9"/>
    <x v="3"/>
    <x v="3"/>
    <n v="29"/>
    <m/>
  </r>
  <r>
    <s v="ORD10153"/>
    <s v="CUST3200"/>
    <x v="6"/>
    <x v="4"/>
    <s v="2024-01-18"/>
    <n v="2024"/>
    <n v="1"/>
    <x v="9"/>
    <s v="10:40"/>
    <s v="BBQ"/>
    <n v="171.97"/>
    <x v="3"/>
    <x v="2"/>
    <n v="64"/>
    <n v="2"/>
  </r>
  <r>
    <s v="ORD10154"/>
    <s v="CUST6790"/>
    <x v="9"/>
    <x v="6"/>
    <s v="2024-01-27"/>
    <n v="2024"/>
    <n v="1"/>
    <x v="7"/>
    <s v="20:22"/>
    <s v="Fast Food"/>
    <n v="432.83"/>
    <x v="2"/>
    <x v="2"/>
    <n v="50"/>
    <m/>
  </r>
  <r>
    <s v="ORD10155"/>
    <s v="CUST9319"/>
    <x v="2"/>
    <x v="3"/>
    <s v="2024-01-23"/>
    <n v="2024"/>
    <n v="1"/>
    <x v="11"/>
    <s v="15:27"/>
    <s v="Desserts"/>
    <n v="265.64999999999998"/>
    <x v="0"/>
    <x v="2"/>
    <n v="15"/>
    <n v="2"/>
  </r>
  <r>
    <s v="ORD10156"/>
    <s v="CUST4819"/>
    <x v="0"/>
    <x v="8"/>
    <s v="2024-01-04"/>
    <n v="2024"/>
    <n v="1"/>
    <x v="22"/>
    <s v="23:55"/>
    <s v="Fast Food"/>
    <n v="466.32"/>
    <x v="0"/>
    <x v="0"/>
    <n v="47"/>
    <n v="4"/>
  </r>
  <r>
    <s v="ORD10157"/>
    <s v="CUST1878"/>
    <x v="4"/>
    <x v="0"/>
    <s v="2024-01-02"/>
    <n v="2024"/>
    <n v="1"/>
    <x v="26"/>
    <s v="11:38"/>
    <s v="Pizza"/>
    <n v="499.89"/>
    <x v="1"/>
    <x v="1"/>
    <n v="83"/>
    <n v="2"/>
  </r>
  <r>
    <s v="ORD10158"/>
    <s v="CUST6485"/>
    <x v="8"/>
    <x v="9"/>
    <s v="2024-01-11"/>
    <n v="2024"/>
    <n v="1"/>
    <x v="3"/>
    <s v="18:31"/>
    <s v="BBQ"/>
    <n v="222.02"/>
    <x v="3"/>
    <x v="0"/>
    <n v="71"/>
    <n v="2"/>
  </r>
  <r>
    <s v="ORD10159"/>
    <s v="CUST2877"/>
    <x v="2"/>
    <x v="0"/>
    <s v="2024-01-03"/>
    <n v="2024"/>
    <n v="1"/>
    <x v="27"/>
    <s v="19:20"/>
    <s v="Desserts"/>
    <n v="323.92"/>
    <x v="0"/>
    <x v="3"/>
    <n v="82"/>
    <m/>
  </r>
  <r>
    <s v="ORD10160"/>
    <s v="CUST2358"/>
    <x v="1"/>
    <x v="1"/>
    <s v="2024-01-09"/>
    <n v="2024"/>
    <n v="1"/>
    <x v="0"/>
    <s v="21:43"/>
    <s v="Beverages"/>
    <n v="436.86"/>
    <x v="1"/>
    <x v="0"/>
    <n v="87"/>
    <n v="5"/>
  </r>
  <r>
    <s v="ORD10161"/>
    <s v="CUST5663"/>
    <x v="2"/>
    <x v="9"/>
    <s v="2024-01-15"/>
    <n v="2024"/>
    <n v="1"/>
    <x v="13"/>
    <s v="10:43"/>
    <s v="Healthy"/>
    <n v="437.15"/>
    <x v="3"/>
    <x v="3"/>
    <n v="60"/>
    <n v="5"/>
  </r>
  <r>
    <s v="ORD10162"/>
    <s v="CUST1077"/>
    <x v="1"/>
    <x v="1"/>
    <s v="2024-01-08"/>
    <n v="2024"/>
    <n v="1"/>
    <x v="5"/>
    <s v="20:24"/>
    <s v="Healthy"/>
    <n v="433.73"/>
    <x v="3"/>
    <x v="2"/>
    <n v="75"/>
    <n v="1"/>
  </r>
  <r>
    <s v="ORD10163"/>
    <s v="CUST9488"/>
    <x v="0"/>
    <x v="0"/>
    <s v="2024-01-15"/>
    <n v="2024"/>
    <n v="1"/>
    <x v="13"/>
    <s v="11:44"/>
    <s v="Fast Food"/>
    <n v="105.31"/>
    <x v="1"/>
    <x v="0"/>
    <n v="80"/>
    <n v="3"/>
  </r>
  <r>
    <s v="ORD10164"/>
    <s v="CUST2255"/>
    <x v="9"/>
    <x v="5"/>
    <s v="2024-01-11"/>
    <n v="2024"/>
    <n v="1"/>
    <x v="3"/>
    <s v="23:14"/>
    <s v="Seafood"/>
    <n v="276.56"/>
    <x v="0"/>
    <x v="1"/>
    <n v="31"/>
    <n v="4"/>
  </r>
  <r>
    <s v="ORD10165"/>
    <s v="CUST6227"/>
    <x v="0"/>
    <x v="5"/>
    <s v="2024-01-11"/>
    <n v="2024"/>
    <n v="1"/>
    <x v="3"/>
    <s v="13:28"/>
    <s v="Seafood"/>
    <n v="240.27"/>
    <x v="1"/>
    <x v="1"/>
    <n v="28"/>
    <n v="4"/>
  </r>
  <r>
    <s v="ORD10166"/>
    <s v="CUST2089"/>
    <x v="3"/>
    <x v="8"/>
    <s v="2024-01-17"/>
    <n v="2024"/>
    <n v="1"/>
    <x v="4"/>
    <s v="13:27"/>
    <s v="Fast Food"/>
    <n v="377.78"/>
    <x v="2"/>
    <x v="2"/>
    <n v="89"/>
    <n v="4"/>
  </r>
  <r>
    <s v="ORD10167"/>
    <s v="CUST2625"/>
    <x v="1"/>
    <x v="3"/>
    <s v="2024-01-11"/>
    <n v="2024"/>
    <n v="1"/>
    <x v="3"/>
    <s v="10:41"/>
    <s v="Seafood"/>
    <n v="139.66"/>
    <x v="3"/>
    <x v="2"/>
    <n v="39"/>
    <n v="2"/>
  </r>
  <r>
    <s v="ORD10168"/>
    <s v="CUST5916"/>
    <x v="7"/>
    <x v="3"/>
    <s v="2024-01-24"/>
    <n v="2024"/>
    <n v="1"/>
    <x v="14"/>
    <s v="21:11"/>
    <s v="Healthy"/>
    <n v="197.87"/>
    <x v="1"/>
    <x v="3"/>
    <n v="31"/>
    <m/>
  </r>
  <r>
    <s v="ORD10169"/>
    <s v="CUST5096"/>
    <x v="6"/>
    <x v="6"/>
    <s v="2024-01-03"/>
    <n v="2024"/>
    <n v="1"/>
    <x v="27"/>
    <s v="13:13"/>
    <s v="Sushi"/>
    <n v="158.26"/>
    <x v="0"/>
    <x v="2"/>
    <n v="82"/>
    <n v="2"/>
  </r>
  <r>
    <s v="ORD10170"/>
    <s v="CUST8901"/>
    <x v="1"/>
    <x v="2"/>
    <s v="2024-01-03"/>
    <n v="2024"/>
    <n v="1"/>
    <x v="27"/>
    <s v="15:24"/>
    <s v="Fast Food"/>
    <n v="387.16"/>
    <x v="3"/>
    <x v="0"/>
    <n v="82"/>
    <n v="5"/>
  </r>
  <r>
    <s v="ORD10171"/>
    <s v="CUST8134"/>
    <x v="8"/>
    <x v="8"/>
    <s v="2024-01-02"/>
    <n v="2024"/>
    <n v="1"/>
    <x v="26"/>
    <s v="20:36"/>
    <s v="Pizza"/>
    <n v="424.79"/>
    <x v="2"/>
    <x v="2"/>
    <n v="40"/>
    <n v="1"/>
  </r>
  <r>
    <s v="ORD10172"/>
    <s v="CUST1655"/>
    <x v="3"/>
    <x v="8"/>
    <s v="2024-01-09"/>
    <n v="2024"/>
    <n v="1"/>
    <x v="0"/>
    <s v="21:54"/>
    <s v="Seafood"/>
    <n v="127.87"/>
    <x v="1"/>
    <x v="1"/>
    <n v="44"/>
    <n v="5"/>
  </r>
  <r>
    <s v="ORD10173"/>
    <s v="CUST8105"/>
    <x v="7"/>
    <x v="9"/>
    <s v="2024-01-06"/>
    <n v="2024"/>
    <n v="1"/>
    <x v="16"/>
    <s v="11:30"/>
    <s v="BBQ"/>
    <n v="78.81"/>
    <x v="2"/>
    <x v="3"/>
    <n v="49"/>
    <n v="1"/>
  </r>
  <r>
    <s v="ORD10174"/>
    <s v="CUST9935"/>
    <x v="0"/>
    <x v="5"/>
    <s v="2024-01-30"/>
    <n v="2024"/>
    <n v="1"/>
    <x v="30"/>
    <s v="19:43"/>
    <s v="Pizza"/>
    <n v="294.58"/>
    <x v="0"/>
    <x v="0"/>
    <n v="21"/>
    <n v="2"/>
  </r>
  <r>
    <s v="ORD10175"/>
    <s v="CUST5658"/>
    <x v="3"/>
    <x v="3"/>
    <s v="2024-01-11"/>
    <n v="2024"/>
    <n v="1"/>
    <x v="3"/>
    <s v="15:30"/>
    <s v="Fast Food"/>
    <n v="268.94"/>
    <x v="2"/>
    <x v="1"/>
    <n v="52"/>
    <n v="3"/>
  </r>
  <r>
    <s v="ORD10176"/>
    <s v="CUST6458"/>
    <x v="2"/>
    <x v="0"/>
    <s v="2024-01-24"/>
    <n v="2024"/>
    <n v="1"/>
    <x v="14"/>
    <s v="17:36"/>
    <s v="Fast Food"/>
    <n v="188.44"/>
    <x v="1"/>
    <x v="3"/>
    <n v="39"/>
    <n v="1"/>
  </r>
  <r>
    <s v="ORD10177"/>
    <s v="CUST3042"/>
    <x v="1"/>
    <x v="2"/>
    <s v="2024-01-04"/>
    <n v="2024"/>
    <n v="1"/>
    <x v="22"/>
    <s v="11:48"/>
    <s v="Fast Food"/>
    <n v="471.22"/>
    <x v="0"/>
    <x v="2"/>
    <n v="85"/>
    <n v="5"/>
  </r>
  <r>
    <s v="ORD10178"/>
    <s v="CUST6840"/>
    <x v="1"/>
    <x v="0"/>
    <s v="2024-01-13"/>
    <n v="2024"/>
    <n v="1"/>
    <x v="28"/>
    <s v="18:37"/>
    <s v="Fast Food"/>
    <n v="308.33999999999997"/>
    <x v="0"/>
    <x v="2"/>
    <n v="61"/>
    <n v="3"/>
  </r>
  <r>
    <s v="ORD10179"/>
    <s v="CUST9825"/>
    <x v="7"/>
    <x v="5"/>
    <s v="2024-01-30"/>
    <n v="2024"/>
    <n v="1"/>
    <x v="30"/>
    <s v="16:56"/>
    <s v="Seafood"/>
    <n v="211.65"/>
    <x v="2"/>
    <x v="3"/>
    <n v="75"/>
    <n v="3"/>
  </r>
  <r>
    <s v="ORD10180"/>
    <s v="CUST1833"/>
    <x v="2"/>
    <x v="0"/>
    <s v="2024-01-31"/>
    <n v="2024"/>
    <n v="1"/>
    <x v="6"/>
    <s v="20:37"/>
    <s v="Fast Food"/>
    <n v="478.04"/>
    <x v="1"/>
    <x v="0"/>
    <n v="87"/>
    <n v="2"/>
  </r>
  <r>
    <s v="ORD10181"/>
    <s v="CUST5073"/>
    <x v="9"/>
    <x v="0"/>
    <s v="2024-01-04"/>
    <n v="2024"/>
    <n v="1"/>
    <x v="22"/>
    <s v="14:59"/>
    <s v="Sushi"/>
    <n v="210.78"/>
    <x v="3"/>
    <x v="2"/>
    <n v="55"/>
    <n v="1"/>
  </r>
  <r>
    <s v="ORD10182"/>
    <s v="CUST5196"/>
    <x v="0"/>
    <x v="6"/>
    <s v="2024-01-03"/>
    <n v="2024"/>
    <n v="1"/>
    <x v="27"/>
    <s v="10:29"/>
    <s v="BBQ"/>
    <n v="263.83999999999997"/>
    <x v="2"/>
    <x v="2"/>
    <n v="28"/>
    <n v="2"/>
  </r>
  <r>
    <s v="ORD10183"/>
    <s v="CUST9023"/>
    <x v="9"/>
    <x v="9"/>
    <s v="2024-01-27"/>
    <n v="2024"/>
    <n v="1"/>
    <x v="7"/>
    <s v="15:43"/>
    <s v="Desserts"/>
    <n v="131.84"/>
    <x v="2"/>
    <x v="1"/>
    <n v="85"/>
    <n v="1"/>
  </r>
  <r>
    <s v="ORD10184"/>
    <s v="CUST1775"/>
    <x v="6"/>
    <x v="0"/>
    <s v="2024-01-27"/>
    <n v="2024"/>
    <n v="1"/>
    <x v="7"/>
    <s v="12:11"/>
    <s v="Beverages"/>
    <n v="221.32"/>
    <x v="3"/>
    <x v="2"/>
    <n v="26"/>
    <n v="1"/>
  </r>
  <r>
    <s v="ORD10185"/>
    <s v="CUST3779"/>
    <x v="7"/>
    <x v="0"/>
    <s v="2024-01-07"/>
    <n v="2024"/>
    <n v="1"/>
    <x v="18"/>
    <s v="13:19"/>
    <s v="Seafood"/>
    <n v="399.73"/>
    <x v="2"/>
    <x v="3"/>
    <n v="52"/>
    <n v="5"/>
  </r>
  <r>
    <s v="ORD10186"/>
    <s v="CUST2891"/>
    <x v="7"/>
    <x v="0"/>
    <s v="2024-01-03"/>
    <n v="2024"/>
    <n v="1"/>
    <x v="27"/>
    <s v="20:20"/>
    <s v="Fast Food"/>
    <n v="118.63"/>
    <x v="1"/>
    <x v="2"/>
    <n v="54"/>
    <m/>
  </r>
  <r>
    <s v="ORD10187"/>
    <s v="CUST8988"/>
    <x v="2"/>
    <x v="8"/>
    <s v="2024-01-19"/>
    <n v="2024"/>
    <n v="1"/>
    <x v="15"/>
    <s v="19:43"/>
    <s v="Sushi"/>
    <n v="176.64"/>
    <x v="1"/>
    <x v="0"/>
    <n v="53"/>
    <n v="5"/>
  </r>
  <r>
    <s v="ORD10188"/>
    <s v="CUST4394"/>
    <x v="7"/>
    <x v="6"/>
    <s v="2024-01-09"/>
    <n v="2024"/>
    <n v="1"/>
    <x v="0"/>
    <s v="22:48"/>
    <s v="Seafood"/>
    <n v="186.96"/>
    <x v="0"/>
    <x v="2"/>
    <n v="64"/>
    <n v="3"/>
  </r>
  <r>
    <s v="ORD10189"/>
    <s v="CUST7157"/>
    <x v="6"/>
    <x v="3"/>
    <s v="2024-01-11"/>
    <n v="2024"/>
    <n v="1"/>
    <x v="3"/>
    <s v="20:41"/>
    <s v="BBQ"/>
    <n v="124.13"/>
    <x v="3"/>
    <x v="2"/>
    <n v="24"/>
    <n v="5"/>
  </r>
  <r>
    <s v="ORD10190"/>
    <s v="CUST1831"/>
    <x v="3"/>
    <x v="8"/>
    <s v="2024-01-01"/>
    <n v="2024"/>
    <n v="1"/>
    <x v="25"/>
    <s v="17:27"/>
    <s v="BBQ"/>
    <n v="220.49"/>
    <x v="2"/>
    <x v="0"/>
    <n v="25"/>
    <n v="3"/>
  </r>
  <r>
    <s v="ORD10191"/>
    <s v="CUST3370"/>
    <x v="8"/>
    <x v="2"/>
    <s v="2024-01-27"/>
    <n v="2024"/>
    <n v="1"/>
    <x v="7"/>
    <s v="12:43"/>
    <s v="Sushi"/>
    <n v="65.47"/>
    <x v="1"/>
    <x v="3"/>
    <n v="54"/>
    <n v="1"/>
  </r>
  <r>
    <s v="ORD10192"/>
    <s v="CUST9006"/>
    <x v="5"/>
    <x v="2"/>
    <s v="2024-01-19"/>
    <n v="2024"/>
    <n v="1"/>
    <x v="15"/>
    <s v="13:21"/>
    <s v="Healthy"/>
    <n v="364.76"/>
    <x v="1"/>
    <x v="3"/>
    <n v="20"/>
    <n v="4"/>
  </r>
  <r>
    <s v="ORD10193"/>
    <s v="CUST8495"/>
    <x v="3"/>
    <x v="2"/>
    <s v="2024-01-17"/>
    <n v="2024"/>
    <n v="1"/>
    <x v="4"/>
    <s v="17:12"/>
    <s v="Healthy"/>
    <n v="492.92"/>
    <x v="3"/>
    <x v="1"/>
    <n v="73"/>
    <n v="4"/>
  </r>
  <r>
    <s v="ORD10194"/>
    <s v="CUST5888"/>
    <x v="0"/>
    <x v="3"/>
    <s v="2024-01-29"/>
    <n v="2024"/>
    <n v="1"/>
    <x v="17"/>
    <s v="13:59"/>
    <s v="BBQ"/>
    <n v="51.12"/>
    <x v="3"/>
    <x v="0"/>
    <n v="22"/>
    <n v="5"/>
  </r>
  <r>
    <s v="ORD10195"/>
    <s v="CUST1402"/>
    <x v="2"/>
    <x v="6"/>
    <s v="2024-01-07"/>
    <n v="2024"/>
    <n v="1"/>
    <x v="18"/>
    <s v="11:20"/>
    <s v="Pizza"/>
    <n v="226.63"/>
    <x v="0"/>
    <x v="3"/>
    <n v="72"/>
    <n v="3"/>
  </r>
  <r>
    <s v="ORD10196"/>
    <s v="CUST9910"/>
    <x v="1"/>
    <x v="9"/>
    <s v="2024-01-17"/>
    <n v="2024"/>
    <n v="1"/>
    <x v="4"/>
    <s v="20:29"/>
    <s v="Pizza"/>
    <n v="82.4"/>
    <x v="0"/>
    <x v="1"/>
    <n v="72"/>
    <n v="1"/>
  </r>
  <r>
    <s v="ORD10197"/>
    <s v="CUST7004"/>
    <x v="3"/>
    <x v="4"/>
    <s v="2024-01-08"/>
    <n v="2024"/>
    <n v="1"/>
    <x v="5"/>
    <s v="11:37"/>
    <s v="Fast Food"/>
    <n v="442.37"/>
    <x v="2"/>
    <x v="1"/>
    <n v="53"/>
    <n v="2"/>
  </r>
  <r>
    <s v="ORD10198"/>
    <s v="CUST2050"/>
    <x v="7"/>
    <x v="9"/>
    <s v="2024-01-22"/>
    <n v="2024"/>
    <n v="1"/>
    <x v="19"/>
    <s v="16:49"/>
    <s v="BBQ"/>
    <n v="416.9"/>
    <x v="0"/>
    <x v="1"/>
    <n v="90"/>
    <n v="4"/>
  </r>
  <r>
    <s v="ORD10199"/>
    <s v="CUST5938"/>
    <x v="5"/>
    <x v="0"/>
    <s v="2024-01-14"/>
    <n v="2024"/>
    <n v="1"/>
    <x v="2"/>
    <s v="23:19"/>
    <s v="Sushi"/>
    <n v="384.51"/>
    <x v="3"/>
    <x v="3"/>
    <n v="36"/>
    <n v="3"/>
  </r>
  <r>
    <s v="ORD10200"/>
    <s v="CUST3141"/>
    <x v="3"/>
    <x v="3"/>
    <s v="2024-01-19"/>
    <n v="2024"/>
    <n v="1"/>
    <x v="15"/>
    <s v="22:32"/>
    <s v="Pizza"/>
    <n v="314.06"/>
    <x v="1"/>
    <x v="3"/>
    <n v="83"/>
    <n v="3"/>
  </r>
  <r>
    <s v="ORD10201"/>
    <s v="CUST7856"/>
    <x v="7"/>
    <x v="2"/>
    <s v="2024-01-26"/>
    <n v="2024"/>
    <n v="1"/>
    <x v="12"/>
    <s v="18:33"/>
    <s v="Fast Food"/>
    <n v="91.31"/>
    <x v="3"/>
    <x v="0"/>
    <n v="55"/>
    <n v="3"/>
  </r>
  <r>
    <s v="ORD10202"/>
    <s v="CUST5852"/>
    <x v="9"/>
    <x v="5"/>
    <s v="2024-01-06"/>
    <n v="2024"/>
    <n v="1"/>
    <x v="16"/>
    <s v="21:51"/>
    <s v="Healthy"/>
    <n v="275.22000000000003"/>
    <x v="2"/>
    <x v="2"/>
    <n v="40"/>
    <n v="1"/>
  </r>
  <r>
    <s v="ORD10203"/>
    <s v="CUST4960"/>
    <x v="5"/>
    <x v="4"/>
    <s v="2024-01-26"/>
    <n v="2024"/>
    <n v="1"/>
    <x v="12"/>
    <s v="22:20"/>
    <s v="Fast Food"/>
    <n v="258.54000000000002"/>
    <x v="2"/>
    <x v="0"/>
    <n v="52"/>
    <n v="2"/>
  </r>
  <r>
    <s v="ORD10204"/>
    <s v="CUST9290"/>
    <x v="3"/>
    <x v="8"/>
    <s v="2024-01-09"/>
    <n v="2024"/>
    <n v="1"/>
    <x v="0"/>
    <s v="22:15"/>
    <s v="Beverages"/>
    <n v="329.12"/>
    <x v="3"/>
    <x v="3"/>
    <n v="31"/>
    <n v="2"/>
  </r>
  <r>
    <s v="ORD10205"/>
    <s v="CUST1930"/>
    <x v="4"/>
    <x v="9"/>
    <s v="2024-01-04"/>
    <n v="2024"/>
    <n v="1"/>
    <x v="22"/>
    <s v="18:37"/>
    <s v="Desserts"/>
    <n v="342.29"/>
    <x v="1"/>
    <x v="3"/>
    <n v="48"/>
    <m/>
  </r>
  <r>
    <s v="ORD10206"/>
    <s v="CUST8083"/>
    <x v="2"/>
    <x v="0"/>
    <s v="2024-01-21"/>
    <n v="2024"/>
    <n v="1"/>
    <x v="1"/>
    <s v="20:57"/>
    <s v="Seafood"/>
    <n v="301.22000000000003"/>
    <x v="3"/>
    <x v="2"/>
    <n v="21"/>
    <m/>
  </r>
  <r>
    <s v="ORD10207"/>
    <s v="CUST5711"/>
    <x v="3"/>
    <x v="7"/>
    <s v="2024-01-12"/>
    <n v="2024"/>
    <n v="1"/>
    <x v="29"/>
    <s v="23:21"/>
    <s v="Pizza"/>
    <n v="289.14999999999998"/>
    <x v="2"/>
    <x v="2"/>
    <n v="65"/>
    <m/>
  </r>
  <r>
    <s v="ORD10208"/>
    <s v="CUST9830"/>
    <x v="3"/>
    <x v="9"/>
    <s v="2024-01-06"/>
    <n v="2024"/>
    <n v="1"/>
    <x v="16"/>
    <s v="17:48"/>
    <s v="BBQ"/>
    <n v="98.15"/>
    <x v="3"/>
    <x v="1"/>
    <n v="18"/>
    <n v="3"/>
  </r>
  <r>
    <s v="ORD10209"/>
    <s v="CUST2541"/>
    <x v="9"/>
    <x v="3"/>
    <s v="2024-01-25"/>
    <n v="2024"/>
    <n v="1"/>
    <x v="8"/>
    <s v="23:41"/>
    <s v="Desserts"/>
    <n v="425.1"/>
    <x v="0"/>
    <x v="1"/>
    <n v="66"/>
    <n v="2"/>
  </r>
  <r>
    <s v="ORD10210"/>
    <s v="CUST4387"/>
    <x v="6"/>
    <x v="3"/>
    <s v="2024-01-09"/>
    <n v="2024"/>
    <n v="1"/>
    <x v="0"/>
    <s v="11:51"/>
    <s v="Fast Food"/>
    <n v="472.48"/>
    <x v="3"/>
    <x v="0"/>
    <n v="29"/>
    <n v="2"/>
  </r>
  <r>
    <s v="ORD10211"/>
    <s v="CUST8905"/>
    <x v="2"/>
    <x v="9"/>
    <s v="2024-01-02"/>
    <n v="2024"/>
    <n v="1"/>
    <x v="26"/>
    <s v="22:41"/>
    <s v="Sushi"/>
    <n v="225.29"/>
    <x v="1"/>
    <x v="3"/>
    <n v="23"/>
    <n v="2"/>
  </r>
  <r>
    <s v="ORD10212"/>
    <s v="CUST8837"/>
    <x v="9"/>
    <x v="2"/>
    <s v="2024-01-02"/>
    <n v="2024"/>
    <n v="1"/>
    <x v="26"/>
    <s v="14:31"/>
    <s v="Pizza"/>
    <n v="69.86"/>
    <x v="0"/>
    <x v="0"/>
    <n v="63"/>
    <n v="3"/>
  </r>
  <r>
    <s v="ORD10213"/>
    <s v="CUST2986"/>
    <x v="6"/>
    <x v="2"/>
    <s v="2024-01-22"/>
    <n v="2024"/>
    <n v="1"/>
    <x v="19"/>
    <s v="19:58"/>
    <s v="Desserts"/>
    <n v="460.03"/>
    <x v="2"/>
    <x v="3"/>
    <n v="16"/>
    <n v="2"/>
  </r>
  <r>
    <s v="ORD10214"/>
    <s v="CUST3451"/>
    <x v="2"/>
    <x v="0"/>
    <s v="2024-01-09"/>
    <n v="2024"/>
    <n v="1"/>
    <x v="0"/>
    <s v="22:16"/>
    <s v="Beverages"/>
    <n v="302.33"/>
    <x v="0"/>
    <x v="0"/>
    <n v="46"/>
    <n v="3"/>
  </r>
  <r>
    <s v="ORD10215"/>
    <s v="CUST9948"/>
    <x v="4"/>
    <x v="8"/>
    <s v="2024-01-05"/>
    <n v="2024"/>
    <n v="1"/>
    <x v="20"/>
    <s v="23:54"/>
    <s v="Healthy"/>
    <n v="464.61"/>
    <x v="0"/>
    <x v="2"/>
    <n v="89"/>
    <n v="1"/>
  </r>
  <r>
    <s v="ORD10216"/>
    <s v="CUST1316"/>
    <x v="5"/>
    <x v="1"/>
    <s v="2024-01-28"/>
    <n v="2024"/>
    <n v="1"/>
    <x v="21"/>
    <s v="17:34"/>
    <s v="Desserts"/>
    <n v="437.2"/>
    <x v="3"/>
    <x v="3"/>
    <n v="34"/>
    <n v="2"/>
  </r>
  <r>
    <s v="ORD10217"/>
    <s v="CUST9042"/>
    <x v="0"/>
    <x v="1"/>
    <s v="2024-01-03"/>
    <n v="2024"/>
    <n v="1"/>
    <x v="27"/>
    <s v="12:17"/>
    <s v="Healthy"/>
    <n v="96.87"/>
    <x v="2"/>
    <x v="1"/>
    <n v="82"/>
    <n v="2"/>
  </r>
  <r>
    <s v="ORD10218"/>
    <s v="CUST4837"/>
    <x v="8"/>
    <x v="9"/>
    <s v="2024-01-08"/>
    <n v="2024"/>
    <n v="1"/>
    <x v="5"/>
    <s v="17:20"/>
    <s v="Healthy"/>
    <n v="59.24"/>
    <x v="3"/>
    <x v="1"/>
    <n v="90"/>
    <n v="5"/>
  </r>
  <r>
    <s v="ORD10219"/>
    <s v="CUST5090"/>
    <x v="1"/>
    <x v="7"/>
    <s v="2024-01-13"/>
    <n v="2024"/>
    <n v="1"/>
    <x v="28"/>
    <s v="19:39"/>
    <s v="Healthy"/>
    <n v="201.78"/>
    <x v="2"/>
    <x v="1"/>
    <n v="74"/>
    <n v="3"/>
  </r>
  <r>
    <s v="ORD10220"/>
    <s v="CUST3023"/>
    <x v="3"/>
    <x v="4"/>
    <s v="2024-01-15"/>
    <n v="2024"/>
    <n v="1"/>
    <x v="13"/>
    <s v="19:40"/>
    <s v="Sushi"/>
    <n v="354.19"/>
    <x v="2"/>
    <x v="3"/>
    <n v="34"/>
    <n v="4"/>
  </r>
  <r>
    <s v="ORD10221"/>
    <s v="CUST3543"/>
    <x v="9"/>
    <x v="5"/>
    <s v="2024-01-19"/>
    <n v="2024"/>
    <n v="1"/>
    <x v="15"/>
    <s v="20:33"/>
    <s v="Seafood"/>
    <n v="218.38"/>
    <x v="2"/>
    <x v="0"/>
    <n v="45"/>
    <n v="2"/>
  </r>
  <r>
    <s v="ORD10222"/>
    <s v="CUST3056"/>
    <x v="2"/>
    <x v="1"/>
    <s v="2024-01-13"/>
    <n v="2024"/>
    <n v="1"/>
    <x v="28"/>
    <s v="20:57"/>
    <s v="Seafood"/>
    <n v="242.63"/>
    <x v="0"/>
    <x v="2"/>
    <n v="52"/>
    <n v="2"/>
  </r>
  <r>
    <s v="ORD10223"/>
    <s v="CUST6620"/>
    <x v="0"/>
    <x v="7"/>
    <s v="2024-01-30"/>
    <n v="2024"/>
    <n v="1"/>
    <x v="30"/>
    <s v="23:23"/>
    <s v="BBQ"/>
    <n v="164.96"/>
    <x v="2"/>
    <x v="0"/>
    <n v="75"/>
    <n v="2"/>
  </r>
  <r>
    <s v="ORD10224"/>
    <s v="CUST5226"/>
    <x v="3"/>
    <x v="9"/>
    <s v="2024-01-15"/>
    <n v="2024"/>
    <n v="1"/>
    <x v="13"/>
    <s v="21:19"/>
    <s v="Desserts"/>
    <n v="157.85"/>
    <x v="3"/>
    <x v="1"/>
    <n v="66"/>
    <m/>
  </r>
  <r>
    <s v="ORD10225"/>
    <s v="CUST5521"/>
    <x v="0"/>
    <x v="1"/>
    <s v="2024-01-12"/>
    <n v="2024"/>
    <n v="1"/>
    <x v="29"/>
    <s v="11:15"/>
    <s v="BBQ"/>
    <n v="85.67"/>
    <x v="2"/>
    <x v="1"/>
    <n v="54"/>
    <n v="4"/>
  </r>
  <r>
    <s v="ORD10226"/>
    <s v="CUST5955"/>
    <x v="5"/>
    <x v="2"/>
    <s v="2024-01-18"/>
    <n v="2024"/>
    <n v="1"/>
    <x v="9"/>
    <s v="11:15"/>
    <s v="Pizza"/>
    <n v="136.16"/>
    <x v="2"/>
    <x v="1"/>
    <n v="71"/>
    <n v="3"/>
  </r>
  <r>
    <s v="ORD10227"/>
    <s v="CUST7925"/>
    <x v="0"/>
    <x v="8"/>
    <s v="2024-01-05"/>
    <n v="2024"/>
    <n v="1"/>
    <x v="20"/>
    <s v="23:22"/>
    <s v="Beverages"/>
    <n v="87.64"/>
    <x v="2"/>
    <x v="3"/>
    <n v="82"/>
    <n v="2"/>
  </r>
  <r>
    <s v="ORD10228"/>
    <s v="CUST5427"/>
    <x v="4"/>
    <x v="6"/>
    <s v="2024-01-09"/>
    <n v="2024"/>
    <n v="1"/>
    <x v="0"/>
    <s v="12:11"/>
    <s v="Desserts"/>
    <n v="200.42"/>
    <x v="3"/>
    <x v="2"/>
    <n v="67"/>
    <n v="5"/>
  </r>
  <r>
    <s v="ORD10229"/>
    <s v="CUST4358"/>
    <x v="2"/>
    <x v="8"/>
    <s v="2024-01-08"/>
    <n v="2024"/>
    <n v="1"/>
    <x v="5"/>
    <s v="12:56"/>
    <s v="Healthy"/>
    <n v="338.03"/>
    <x v="0"/>
    <x v="0"/>
    <n v="17"/>
    <n v="1"/>
  </r>
  <r>
    <s v="ORD10230"/>
    <s v="CUST1687"/>
    <x v="8"/>
    <x v="4"/>
    <s v="2024-01-22"/>
    <n v="2024"/>
    <n v="1"/>
    <x v="19"/>
    <s v="21:15"/>
    <s v="Sushi"/>
    <n v="72.209999999999994"/>
    <x v="2"/>
    <x v="1"/>
    <n v="22"/>
    <n v="3"/>
  </r>
  <r>
    <s v="ORD10231"/>
    <s v="CUST5405"/>
    <x v="0"/>
    <x v="2"/>
    <s v="2024-01-10"/>
    <n v="2024"/>
    <n v="1"/>
    <x v="24"/>
    <s v="23:51"/>
    <s v="Beverages"/>
    <n v="138.32"/>
    <x v="0"/>
    <x v="1"/>
    <n v="63"/>
    <n v="3"/>
  </r>
  <r>
    <s v="ORD10232"/>
    <s v="CUST5263"/>
    <x v="1"/>
    <x v="6"/>
    <s v="2024-01-04"/>
    <n v="2024"/>
    <n v="1"/>
    <x v="22"/>
    <s v="18:40"/>
    <s v="Pizza"/>
    <n v="316.31"/>
    <x v="3"/>
    <x v="3"/>
    <n v="84"/>
    <n v="1"/>
  </r>
  <r>
    <s v="ORD10233"/>
    <s v="CUST6114"/>
    <x v="1"/>
    <x v="5"/>
    <s v="2024-01-02"/>
    <n v="2024"/>
    <n v="1"/>
    <x v="26"/>
    <s v="21:59"/>
    <s v="Desserts"/>
    <n v="431.43"/>
    <x v="3"/>
    <x v="1"/>
    <n v="85"/>
    <n v="4"/>
  </r>
  <r>
    <s v="ORD10234"/>
    <s v="CUST3360"/>
    <x v="5"/>
    <x v="2"/>
    <s v="2024-01-09"/>
    <n v="2024"/>
    <n v="1"/>
    <x v="0"/>
    <s v="17:56"/>
    <s v="Desserts"/>
    <n v="400.93"/>
    <x v="3"/>
    <x v="0"/>
    <n v="50"/>
    <n v="5"/>
  </r>
  <r>
    <s v="ORD10235"/>
    <s v="CUST5752"/>
    <x v="6"/>
    <x v="5"/>
    <s v="2024-01-01"/>
    <n v="2024"/>
    <n v="1"/>
    <x v="25"/>
    <s v="18:16"/>
    <s v="BBQ"/>
    <n v="133.76"/>
    <x v="1"/>
    <x v="1"/>
    <n v="70"/>
    <n v="4"/>
  </r>
  <r>
    <s v="ORD10236"/>
    <s v="CUST7345"/>
    <x v="5"/>
    <x v="7"/>
    <s v="2024-01-06"/>
    <n v="2024"/>
    <n v="1"/>
    <x v="16"/>
    <s v="21:57"/>
    <s v="Desserts"/>
    <n v="387.8"/>
    <x v="2"/>
    <x v="1"/>
    <n v="75"/>
    <n v="2"/>
  </r>
  <r>
    <s v="ORD10237"/>
    <s v="CUST3244"/>
    <x v="2"/>
    <x v="4"/>
    <s v="2024-01-12"/>
    <n v="2024"/>
    <n v="1"/>
    <x v="29"/>
    <s v="14:43"/>
    <s v="Pizza"/>
    <n v="337.51"/>
    <x v="3"/>
    <x v="3"/>
    <n v="75"/>
    <n v="2"/>
  </r>
  <r>
    <s v="ORD10238"/>
    <s v="CUST7315"/>
    <x v="9"/>
    <x v="4"/>
    <s v="2024-01-14"/>
    <n v="2024"/>
    <n v="1"/>
    <x v="2"/>
    <s v="15:30"/>
    <s v="Sushi"/>
    <n v="278.51"/>
    <x v="2"/>
    <x v="0"/>
    <n v="25"/>
    <n v="3"/>
  </r>
  <r>
    <s v="ORD10239"/>
    <s v="CUST5263"/>
    <x v="6"/>
    <x v="0"/>
    <s v="2024-01-25"/>
    <n v="2024"/>
    <n v="1"/>
    <x v="8"/>
    <s v="22:44"/>
    <s v="Healthy"/>
    <n v="138.78"/>
    <x v="1"/>
    <x v="1"/>
    <n v="90"/>
    <n v="2"/>
  </r>
  <r>
    <s v="ORD10240"/>
    <s v="CUST8304"/>
    <x v="8"/>
    <x v="6"/>
    <s v="2024-01-27"/>
    <n v="2024"/>
    <n v="1"/>
    <x v="7"/>
    <s v="19:44"/>
    <s v="Desserts"/>
    <n v="342.65"/>
    <x v="0"/>
    <x v="1"/>
    <n v="59"/>
    <n v="1"/>
  </r>
  <r>
    <s v="ORD10241"/>
    <s v="CUST2724"/>
    <x v="7"/>
    <x v="2"/>
    <s v="2024-01-01"/>
    <n v="2024"/>
    <n v="1"/>
    <x v="25"/>
    <s v="16:26"/>
    <s v="Seafood"/>
    <n v="238.6"/>
    <x v="0"/>
    <x v="1"/>
    <n v="38"/>
    <n v="3"/>
  </r>
  <r>
    <s v="ORD10242"/>
    <s v="CUST4289"/>
    <x v="5"/>
    <x v="3"/>
    <s v="2024-01-21"/>
    <n v="2024"/>
    <n v="1"/>
    <x v="1"/>
    <s v="23:39"/>
    <s v="BBQ"/>
    <n v="221.37"/>
    <x v="1"/>
    <x v="2"/>
    <n v="59"/>
    <n v="4"/>
  </r>
  <r>
    <s v="ORD10243"/>
    <s v="CUST4100"/>
    <x v="3"/>
    <x v="5"/>
    <s v="2024-01-08"/>
    <n v="2024"/>
    <n v="1"/>
    <x v="5"/>
    <s v="12:38"/>
    <s v="Desserts"/>
    <n v="421.39"/>
    <x v="2"/>
    <x v="0"/>
    <n v="22"/>
    <n v="2"/>
  </r>
  <r>
    <s v="ORD10244"/>
    <s v="CUST8341"/>
    <x v="2"/>
    <x v="6"/>
    <s v="2024-01-26"/>
    <n v="2024"/>
    <n v="1"/>
    <x v="12"/>
    <s v="17:46"/>
    <s v="BBQ"/>
    <n v="299.06"/>
    <x v="3"/>
    <x v="0"/>
    <n v="65"/>
    <n v="1"/>
  </r>
  <r>
    <s v="ORD10245"/>
    <s v="CUST9510"/>
    <x v="3"/>
    <x v="3"/>
    <s v="2024-01-27"/>
    <n v="2024"/>
    <n v="1"/>
    <x v="7"/>
    <s v="20:48"/>
    <s v="Sushi"/>
    <n v="90.51"/>
    <x v="1"/>
    <x v="3"/>
    <n v="55"/>
    <n v="4"/>
  </r>
  <r>
    <s v="ORD10246"/>
    <s v="CUST1813"/>
    <x v="5"/>
    <x v="7"/>
    <s v="2024-01-05"/>
    <n v="2024"/>
    <n v="1"/>
    <x v="20"/>
    <s v="12:47"/>
    <s v="Desserts"/>
    <n v="116.51"/>
    <x v="0"/>
    <x v="2"/>
    <n v="22"/>
    <n v="2"/>
  </r>
  <r>
    <s v="ORD10247"/>
    <s v="CUST7289"/>
    <x v="3"/>
    <x v="1"/>
    <s v="2024-01-28"/>
    <n v="2024"/>
    <n v="1"/>
    <x v="21"/>
    <s v="18:41"/>
    <s v="BBQ"/>
    <n v="281.75"/>
    <x v="1"/>
    <x v="0"/>
    <n v="67"/>
    <n v="4"/>
  </r>
  <r>
    <s v="ORD10248"/>
    <s v="CUST6746"/>
    <x v="6"/>
    <x v="3"/>
    <s v="2024-01-26"/>
    <n v="2024"/>
    <n v="1"/>
    <x v="12"/>
    <s v="10:27"/>
    <s v="Pizza"/>
    <n v="250.93"/>
    <x v="1"/>
    <x v="0"/>
    <n v="82"/>
    <n v="3"/>
  </r>
  <r>
    <s v="ORD10249"/>
    <s v="CUST1935"/>
    <x v="5"/>
    <x v="9"/>
    <s v="2024-01-12"/>
    <n v="2024"/>
    <n v="1"/>
    <x v="29"/>
    <s v="20:52"/>
    <s v="Pizza"/>
    <n v="329.34"/>
    <x v="2"/>
    <x v="0"/>
    <n v="35"/>
    <n v="2"/>
  </r>
  <r>
    <s v="ORD10250"/>
    <s v="CUST4037"/>
    <x v="9"/>
    <x v="8"/>
    <s v="2024-01-04"/>
    <n v="2024"/>
    <n v="1"/>
    <x v="22"/>
    <s v="16:33"/>
    <s v="Beverages"/>
    <n v="266.60000000000002"/>
    <x v="2"/>
    <x v="1"/>
    <n v="78"/>
    <n v="3"/>
  </r>
  <r>
    <s v="ORD10251"/>
    <s v="CUST4395"/>
    <x v="2"/>
    <x v="3"/>
    <s v="2024-01-11"/>
    <n v="2024"/>
    <n v="1"/>
    <x v="3"/>
    <s v="12:49"/>
    <s v="Desserts"/>
    <n v="103.55"/>
    <x v="0"/>
    <x v="2"/>
    <n v="84"/>
    <n v="3"/>
  </r>
  <r>
    <s v="ORD10252"/>
    <s v="CUST9877"/>
    <x v="7"/>
    <x v="4"/>
    <s v="2024-01-09"/>
    <n v="2024"/>
    <n v="1"/>
    <x v="0"/>
    <s v="21:28"/>
    <s v="Desserts"/>
    <n v="432.3"/>
    <x v="0"/>
    <x v="0"/>
    <n v="69"/>
    <n v="4"/>
  </r>
  <r>
    <s v="ORD10253"/>
    <s v="CUST3404"/>
    <x v="2"/>
    <x v="2"/>
    <s v="2024-01-30"/>
    <n v="2024"/>
    <n v="1"/>
    <x v="30"/>
    <s v="22:16"/>
    <s v="Fast Food"/>
    <n v="291.62"/>
    <x v="0"/>
    <x v="3"/>
    <n v="15"/>
    <n v="1"/>
  </r>
  <r>
    <s v="ORD10254"/>
    <s v="CUST4209"/>
    <x v="2"/>
    <x v="4"/>
    <s v="2024-01-19"/>
    <n v="2024"/>
    <n v="1"/>
    <x v="15"/>
    <s v="22:43"/>
    <s v="Sushi"/>
    <n v="438.3"/>
    <x v="0"/>
    <x v="2"/>
    <n v="56"/>
    <n v="5"/>
  </r>
  <r>
    <s v="ORD10255"/>
    <s v="CUST2987"/>
    <x v="3"/>
    <x v="7"/>
    <s v="2024-01-03"/>
    <n v="2024"/>
    <n v="1"/>
    <x v="27"/>
    <s v="15:20"/>
    <s v="Healthy"/>
    <n v="53.35"/>
    <x v="3"/>
    <x v="0"/>
    <n v="17"/>
    <n v="4"/>
  </r>
  <r>
    <s v="ORD10256"/>
    <s v="CUST2146"/>
    <x v="1"/>
    <x v="2"/>
    <s v="2024-01-15"/>
    <n v="2024"/>
    <n v="1"/>
    <x v="13"/>
    <s v="22:27"/>
    <s v="Sushi"/>
    <n v="365.58"/>
    <x v="3"/>
    <x v="1"/>
    <n v="78"/>
    <n v="3"/>
  </r>
  <r>
    <s v="ORD10257"/>
    <s v="CUST4363"/>
    <x v="2"/>
    <x v="5"/>
    <s v="2024-01-08"/>
    <n v="2024"/>
    <n v="1"/>
    <x v="5"/>
    <s v="17:45"/>
    <s v="Sushi"/>
    <n v="192.74"/>
    <x v="1"/>
    <x v="2"/>
    <n v="52"/>
    <n v="5"/>
  </r>
  <r>
    <s v="ORD10258"/>
    <s v="CUST8512"/>
    <x v="2"/>
    <x v="8"/>
    <s v="2024-01-29"/>
    <n v="2024"/>
    <n v="1"/>
    <x v="17"/>
    <s v="14:13"/>
    <s v="Desserts"/>
    <n v="288.33999999999997"/>
    <x v="0"/>
    <x v="2"/>
    <n v="17"/>
    <n v="4"/>
  </r>
  <r>
    <s v="ORD10259"/>
    <s v="CUST1072"/>
    <x v="0"/>
    <x v="8"/>
    <s v="2024-01-25"/>
    <n v="2024"/>
    <n v="1"/>
    <x v="8"/>
    <s v="21:51"/>
    <s v="Pizza"/>
    <n v="207.67"/>
    <x v="1"/>
    <x v="3"/>
    <n v="67"/>
    <n v="2"/>
  </r>
  <r>
    <s v="ORD10260"/>
    <s v="CUST5102"/>
    <x v="1"/>
    <x v="8"/>
    <s v="2024-01-13"/>
    <n v="2024"/>
    <n v="1"/>
    <x v="28"/>
    <s v="22:51"/>
    <s v="Seafood"/>
    <n v="258.2"/>
    <x v="2"/>
    <x v="0"/>
    <n v="65"/>
    <n v="4"/>
  </r>
  <r>
    <s v="ORD10261"/>
    <s v="CUST1568"/>
    <x v="4"/>
    <x v="7"/>
    <s v="2024-01-28"/>
    <n v="2024"/>
    <n v="1"/>
    <x v="21"/>
    <s v="15:50"/>
    <s v="Fast Food"/>
    <n v="424.24"/>
    <x v="3"/>
    <x v="2"/>
    <n v="71"/>
    <n v="1"/>
  </r>
  <r>
    <s v="ORD10262"/>
    <s v="CUST7795"/>
    <x v="1"/>
    <x v="7"/>
    <s v="2024-01-14"/>
    <n v="2024"/>
    <n v="1"/>
    <x v="2"/>
    <s v="14:55"/>
    <s v="Desserts"/>
    <n v="111.67"/>
    <x v="0"/>
    <x v="2"/>
    <n v="50"/>
    <n v="2"/>
  </r>
  <r>
    <s v="ORD10263"/>
    <s v="CUST9904"/>
    <x v="3"/>
    <x v="5"/>
    <s v="2024-01-08"/>
    <n v="2024"/>
    <n v="1"/>
    <x v="5"/>
    <s v="23:28"/>
    <s v="Seafood"/>
    <n v="360.85"/>
    <x v="1"/>
    <x v="0"/>
    <n v="87"/>
    <n v="5"/>
  </r>
  <r>
    <s v="ORD10264"/>
    <s v="CUST6711"/>
    <x v="3"/>
    <x v="9"/>
    <s v="2024-01-28"/>
    <n v="2024"/>
    <n v="1"/>
    <x v="21"/>
    <s v="21:12"/>
    <s v="Sushi"/>
    <n v="221.96"/>
    <x v="0"/>
    <x v="1"/>
    <n v="67"/>
    <n v="2"/>
  </r>
  <r>
    <s v="ORD10265"/>
    <s v="CUST9877"/>
    <x v="4"/>
    <x v="7"/>
    <s v="2024-01-09"/>
    <n v="2024"/>
    <n v="1"/>
    <x v="0"/>
    <s v="19:11"/>
    <s v="Pizza"/>
    <n v="257.98"/>
    <x v="0"/>
    <x v="3"/>
    <n v="42"/>
    <n v="4"/>
  </r>
  <r>
    <s v="ORD10266"/>
    <s v="CUST3778"/>
    <x v="7"/>
    <x v="1"/>
    <s v="2024-01-05"/>
    <n v="2024"/>
    <n v="1"/>
    <x v="20"/>
    <s v="17:36"/>
    <s v="BBQ"/>
    <n v="175.03"/>
    <x v="3"/>
    <x v="1"/>
    <n v="34"/>
    <n v="5"/>
  </r>
  <r>
    <s v="ORD10267"/>
    <s v="CUST3801"/>
    <x v="5"/>
    <x v="5"/>
    <s v="2024-01-17"/>
    <n v="2024"/>
    <n v="1"/>
    <x v="4"/>
    <s v="21:17"/>
    <s v="Seafood"/>
    <n v="124.54"/>
    <x v="1"/>
    <x v="1"/>
    <n v="87"/>
    <n v="2"/>
  </r>
  <r>
    <s v="ORD10268"/>
    <s v="CUST7321"/>
    <x v="0"/>
    <x v="8"/>
    <s v="2024-01-06"/>
    <n v="2024"/>
    <n v="1"/>
    <x v="16"/>
    <s v="18:20"/>
    <s v="Desserts"/>
    <n v="331.25"/>
    <x v="1"/>
    <x v="1"/>
    <n v="31"/>
    <n v="3"/>
  </r>
  <r>
    <s v="ORD10269"/>
    <s v="CUST7871"/>
    <x v="1"/>
    <x v="4"/>
    <s v="2024-01-29"/>
    <n v="2024"/>
    <n v="1"/>
    <x v="17"/>
    <s v="20:51"/>
    <s v="BBQ"/>
    <n v="54.92"/>
    <x v="1"/>
    <x v="1"/>
    <n v="90"/>
    <n v="5"/>
  </r>
  <r>
    <s v="ORD10270"/>
    <s v="CUST3842"/>
    <x v="1"/>
    <x v="1"/>
    <s v="2024-01-27"/>
    <n v="2024"/>
    <n v="1"/>
    <x v="7"/>
    <s v="23:54"/>
    <s v="Desserts"/>
    <n v="365.63"/>
    <x v="2"/>
    <x v="2"/>
    <n v="60"/>
    <n v="1"/>
  </r>
  <r>
    <s v="ORD10271"/>
    <s v="CUST7721"/>
    <x v="9"/>
    <x v="8"/>
    <s v="2024-01-29"/>
    <n v="2024"/>
    <n v="1"/>
    <x v="17"/>
    <s v="11:48"/>
    <s v="Pizza"/>
    <n v="126.44"/>
    <x v="0"/>
    <x v="0"/>
    <n v="44"/>
    <n v="5"/>
  </r>
  <r>
    <s v="ORD10272"/>
    <s v="CUST2083"/>
    <x v="4"/>
    <x v="9"/>
    <s v="2024-01-24"/>
    <n v="2024"/>
    <n v="1"/>
    <x v="14"/>
    <s v="22:15"/>
    <s v="BBQ"/>
    <n v="366.33"/>
    <x v="2"/>
    <x v="2"/>
    <n v="64"/>
    <n v="3"/>
  </r>
  <r>
    <s v="ORD10273"/>
    <s v="CUST3866"/>
    <x v="7"/>
    <x v="7"/>
    <s v="2024-01-08"/>
    <n v="2024"/>
    <n v="1"/>
    <x v="5"/>
    <s v="23:57"/>
    <s v="Beverages"/>
    <n v="428.94"/>
    <x v="2"/>
    <x v="1"/>
    <n v="16"/>
    <m/>
  </r>
  <r>
    <s v="ORD10274"/>
    <s v="CUST2750"/>
    <x v="1"/>
    <x v="4"/>
    <s v="2024-01-14"/>
    <n v="2024"/>
    <n v="1"/>
    <x v="2"/>
    <s v="16:27"/>
    <s v="Beverages"/>
    <n v="85.63"/>
    <x v="3"/>
    <x v="3"/>
    <n v="74"/>
    <n v="3"/>
  </r>
  <r>
    <s v="ORD10275"/>
    <s v="CUST4268"/>
    <x v="1"/>
    <x v="2"/>
    <s v="2024-01-10"/>
    <n v="2024"/>
    <n v="1"/>
    <x v="24"/>
    <s v="20:40"/>
    <s v="Beverages"/>
    <n v="247.39"/>
    <x v="2"/>
    <x v="1"/>
    <n v="78"/>
    <m/>
  </r>
  <r>
    <s v="ORD10276"/>
    <s v="CUST3922"/>
    <x v="5"/>
    <x v="4"/>
    <s v="2024-01-20"/>
    <n v="2024"/>
    <n v="1"/>
    <x v="23"/>
    <s v="12:14"/>
    <s v="Healthy"/>
    <n v="335.26"/>
    <x v="3"/>
    <x v="3"/>
    <n v="54"/>
    <n v="5"/>
  </r>
  <r>
    <s v="ORD10277"/>
    <s v="CUST4166"/>
    <x v="0"/>
    <x v="6"/>
    <s v="2024-01-02"/>
    <n v="2024"/>
    <n v="1"/>
    <x v="26"/>
    <s v="18:22"/>
    <s v="Fast Food"/>
    <n v="102.94"/>
    <x v="2"/>
    <x v="1"/>
    <n v="53"/>
    <n v="5"/>
  </r>
  <r>
    <s v="ORD10278"/>
    <s v="CUST1486"/>
    <x v="4"/>
    <x v="7"/>
    <s v="2024-01-06"/>
    <n v="2024"/>
    <n v="1"/>
    <x v="16"/>
    <s v="14:35"/>
    <s v="Seafood"/>
    <n v="430.34"/>
    <x v="1"/>
    <x v="0"/>
    <n v="51"/>
    <m/>
  </r>
  <r>
    <s v="ORD10279"/>
    <s v="CUST4974"/>
    <x v="3"/>
    <x v="4"/>
    <s v="2024-01-14"/>
    <n v="2024"/>
    <n v="1"/>
    <x v="2"/>
    <s v="14:28"/>
    <s v="Seafood"/>
    <n v="299.7"/>
    <x v="1"/>
    <x v="0"/>
    <n v="29"/>
    <n v="5"/>
  </r>
  <r>
    <s v="ORD10280"/>
    <s v="CUST6756"/>
    <x v="1"/>
    <x v="3"/>
    <s v="2024-01-22"/>
    <n v="2024"/>
    <n v="1"/>
    <x v="19"/>
    <s v="12:50"/>
    <s v="Beverages"/>
    <n v="446.52"/>
    <x v="2"/>
    <x v="0"/>
    <n v="38"/>
    <n v="2"/>
  </r>
  <r>
    <s v="ORD10281"/>
    <s v="CUST8591"/>
    <x v="7"/>
    <x v="2"/>
    <s v="2024-01-19"/>
    <n v="2024"/>
    <n v="1"/>
    <x v="15"/>
    <s v="10:28"/>
    <s v="Seafood"/>
    <n v="392.04"/>
    <x v="1"/>
    <x v="1"/>
    <n v="45"/>
    <m/>
  </r>
  <r>
    <s v="ORD10282"/>
    <s v="CUST3208"/>
    <x v="4"/>
    <x v="5"/>
    <s v="2024-01-23"/>
    <n v="2024"/>
    <n v="1"/>
    <x v="11"/>
    <s v="19:33"/>
    <s v="Seafood"/>
    <n v="401.06"/>
    <x v="3"/>
    <x v="1"/>
    <n v="42"/>
    <n v="4"/>
  </r>
  <r>
    <s v="ORD10283"/>
    <s v="CUST6426"/>
    <x v="7"/>
    <x v="6"/>
    <s v="2024-01-19"/>
    <n v="2024"/>
    <n v="1"/>
    <x v="15"/>
    <s v="22:11"/>
    <s v="Beverages"/>
    <n v="371.11"/>
    <x v="1"/>
    <x v="2"/>
    <n v="76"/>
    <n v="5"/>
  </r>
  <r>
    <s v="ORD10284"/>
    <s v="CUST9631"/>
    <x v="9"/>
    <x v="0"/>
    <s v="2024-01-16"/>
    <n v="2024"/>
    <n v="1"/>
    <x v="10"/>
    <s v="13:31"/>
    <s v="Sushi"/>
    <n v="387"/>
    <x v="3"/>
    <x v="0"/>
    <n v="76"/>
    <n v="3"/>
  </r>
  <r>
    <s v="ORD10285"/>
    <s v="CUST5165"/>
    <x v="6"/>
    <x v="9"/>
    <s v="2024-01-02"/>
    <n v="2024"/>
    <n v="1"/>
    <x v="26"/>
    <s v="21:50"/>
    <s v="Healthy"/>
    <n v="126.54"/>
    <x v="1"/>
    <x v="2"/>
    <n v="85"/>
    <n v="5"/>
  </r>
  <r>
    <s v="ORD10286"/>
    <s v="CUST7956"/>
    <x v="3"/>
    <x v="2"/>
    <s v="2024-01-19"/>
    <n v="2024"/>
    <n v="1"/>
    <x v="15"/>
    <s v="21:23"/>
    <s v="Sushi"/>
    <n v="460.57"/>
    <x v="2"/>
    <x v="2"/>
    <n v="40"/>
    <m/>
  </r>
  <r>
    <s v="ORD10287"/>
    <s v="CUST2117"/>
    <x v="6"/>
    <x v="9"/>
    <s v="2024-01-20"/>
    <n v="2024"/>
    <n v="1"/>
    <x v="23"/>
    <s v="15:14"/>
    <s v="Desserts"/>
    <n v="425"/>
    <x v="3"/>
    <x v="2"/>
    <n v="61"/>
    <n v="4"/>
  </r>
  <r>
    <s v="ORD10288"/>
    <s v="CUST7125"/>
    <x v="9"/>
    <x v="1"/>
    <s v="2024-01-02"/>
    <n v="2024"/>
    <n v="1"/>
    <x v="26"/>
    <s v="11:32"/>
    <s v="Desserts"/>
    <n v="66.400000000000006"/>
    <x v="2"/>
    <x v="0"/>
    <n v="20"/>
    <n v="5"/>
  </r>
  <r>
    <s v="ORD10289"/>
    <s v="CUST6112"/>
    <x v="8"/>
    <x v="6"/>
    <s v="2024-01-07"/>
    <n v="2024"/>
    <n v="1"/>
    <x v="18"/>
    <s v="15:29"/>
    <s v="Seafood"/>
    <n v="343.16"/>
    <x v="0"/>
    <x v="0"/>
    <n v="23"/>
    <n v="1"/>
  </r>
  <r>
    <s v="ORD10290"/>
    <s v="CUST2089"/>
    <x v="3"/>
    <x v="9"/>
    <s v="2024-01-02"/>
    <n v="2024"/>
    <n v="1"/>
    <x v="26"/>
    <s v="20:40"/>
    <s v="Pizza"/>
    <n v="276.95"/>
    <x v="2"/>
    <x v="3"/>
    <n v="76"/>
    <n v="1"/>
  </r>
  <r>
    <s v="ORD10291"/>
    <s v="CUST3597"/>
    <x v="8"/>
    <x v="6"/>
    <s v="2024-01-22"/>
    <n v="2024"/>
    <n v="1"/>
    <x v="19"/>
    <s v="10:44"/>
    <s v="BBQ"/>
    <n v="87.06"/>
    <x v="1"/>
    <x v="0"/>
    <n v="27"/>
    <n v="4"/>
  </r>
  <r>
    <s v="ORD10292"/>
    <s v="CUST4047"/>
    <x v="3"/>
    <x v="1"/>
    <s v="2024-01-29"/>
    <n v="2024"/>
    <n v="1"/>
    <x v="17"/>
    <s v="17:30"/>
    <s v="Sushi"/>
    <n v="207.28"/>
    <x v="2"/>
    <x v="2"/>
    <n v="87"/>
    <n v="5"/>
  </r>
  <r>
    <s v="ORD10293"/>
    <s v="CUST7263"/>
    <x v="8"/>
    <x v="6"/>
    <s v="2024-01-24"/>
    <n v="2024"/>
    <n v="1"/>
    <x v="14"/>
    <s v="16:54"/>
    <s v="Seafood"/>
    <n v="156.06"/>
    <x v="0"/>
    <x v="0"/>
    <n v="86"/>
    <n v="2"/>
  </r>
  <r>
    <s v="ORD10294"/>
    <s v="CUST3227"/>
    <x v="7"/>
    <x v="9"/>
    <s v="2024-01-15"/>
    <n v="2024"/>
    <n v="1"/>
    <x v="13"/>
    <s v="21:38"/>
    <s v="Seafood"/>
    <n v="302.89"/>
    <x v="3"/>
    <x v="2"/>
    <n v="18"/>
    <n v="2"/>
  </r>
  <r>
    <s v="ORD10295"/>
    <s v="CUST5557"/>
    <x v="7"/>
    <x v="5"/>
    <s v="2024-01-10"/>
    <n v="2024"/>
    <n v="1"/>
    <x v="24"/>
    <s v="12:12"/>
    <s v="Seafood"/>
    <n v="228.44"/>
    <x v="0"/>
    <x v="0"/>
    <n v="83"/>
    <n v="5"/>
  </r>
  <r>
    <s v="ORD10296"/>
    <s v="CUST4749"/>
    <x v="9"/>
    <x v="4"/>
    <s v="2024-01-15"/>
    <n v="2024"/>
    <n v="1"/>
    <x v="13"/>
    <s v="19:43"/>
    <s v="Sushi"/>
    <n v="197.32"/>
    <x v="1"/>
    <x v="0"/>
    <n v="88"/>
    <m/>
  </r>
  <r>
    <s v="ORD10297"/>
    <s v="CUST8165"/>
    <x v="0"/>
    <x v="0"/>
    <s v="2024-01-19"/>
    <n v="2024"/>
    <n v="1"/>
    <x v="15"/>
    <s v="15:35"/>
    <s v="Beverages"/>
    <n v="284.83"/>
    <x v="1"/>
    <x v="0"/>
    <n v="41"/>
    <n v="4"/>
  </r>
  <r>
    <s v="ORD10298"/>
    <s v="CUST1642"/>
    <x v="7"/>
    <x v="8"/>
    <s v="2024-01-29"/>
    <n v="2024"/>
    <n v="1"/>
    <x v="17"/>
    <s v="17:21"/>
    <s v="Pizza"/>
    <n v="182.7"/>
    <x v="2"/>
    <x v="3"/>
    <n v="63"/>
    <n v="4"/>
  </r>
  <r>
    <s v="ORD10299"/>
    <s v="CUST6518"/>
    <x v="6"/>
    <x v="9"/>
    <s v="2024-01-26"/>
    <n v="2024"/>
    <n v="1"/>
    <x v="12"/>
    <s v="15:45"/>
    <s v="Healthy"/>
    <n v="349.97"/>
    <x v="3"/>
    <x v="0"/>
    <n v="21"/>
    <n v="5"/>
  </r>
  <r>
    <s v="ORD10300"/>
    <s v="CUST9443"/>
    <x v="7"/>
    <x v="4"/>
    <s v="2024-01-09"/>
    <n v="2024"/>
    <n v="1"/>
    <x v="0"/>
    <s v="15:19"/>
    <s v="Pizza"/>
    <n v="458.23"/>
    <x v="1"/>
    <x v="3"/>
    <n v="89"/>
    <n v="4"/>
  </r>
  <r>
    <s v="ORD10301"/>
    <s v="CUST8456"/>
    <x v="3"/>
    <x v="0"/>
    <s v="2024-01-13"/>
    <n v="2024"/>
    <n v="1"/>
    <x v="28"/>
    <s v="20:34"/>
    <s v="Desserts"/>
    <n v="125.19"/>
    <x v="0"/>
    <x v="1"/>
    <n v="77"/>
    <n v="4"/>
  </r>
  <r>
    <s v="ORD10302"/>
    <s v="CUST4754"/>
    <x v="9"/>
    <x v="4"/>
    <s v="2024-01-11"/>
    <n v="2024"/>
    <n v="1"/>
    <x v="3"/>
    <s v="13:25"/>
    <s v="Healthy"/>
    <n v="466.54"/>
    <x v="1"/>
    <x v="1"/>
    <n v="87"/>
    <n v="5"/>
  </r>
  <r>
    <s v="ORD10303"/>
    <s v="CUST8467"/>
    <x v="3"/>
    <x v="9"/>
    <s v="2024-01-26"/>
    <n v="2024"/>
    <n v="1"/>
    <x v="12"/>
    <s v="21:25"/>
    <s v="Desserts"/>
    <n v="496.55"/>
    <x v="1"/>
    <x v="2"/>
    <n v="77"/>
    <n v="1"/>
  </r>
  <r>
    <s v="ORD10304"/>
    <s v="CUST6060"/>
    <x v="5"/>
    <x v="0"/>
    <s v="2024-01-27"/>
    <n v="2024"/>
    <n v="1"/>
    <x v="7"/>
    <s v="13:32"/>
    <s v="Sushi"/>
    <n v="218.5"/>
    <x v="1"/>
    <x v="1"/>
    <n v="52"/>
    <n v="1"/>
  </r>
  <r>
    <s v="ORD10305"/>
    <s v="CUST4714"/>
    <x v="4"/>
    <x v="8"/>
    <s v="2024-01-31"/>
    <n v="2024"/>
    <n v="1"/>
    <x v="6"/>
    <s v="10:27"/>
    <s v="Desserts"/>
    <n v="219.78"/>
    <x v="0"/>
    <x v="0"/>
    <n v="36"/>
    <n v="2"/>
  </r>
  <r>
    <s v="ORD10306"/>
    <s v="CUST3307"/>
    <x v="3"/>
    <x v="7"/>
    <s v="2024-01-01"/>
    <n v="2024"/>
    <n v="1"/>
    <x v="25"/>
    <s v="22:28"/>
    <s v="Fast Food"/>
    <n v="379.71"/>
    <x v="0"/>
    <x v="0"/>
    <n v="18"/>
    <n v="2"/>
  </r>
  <r>
    <s v="ORD10307"/>
    <s v="CUST7727"/>
    <x v="7"/>
    <x v="3"/>
    <s v="2024-01-08"/>
    <n v="2024"/>
    <n v="1"/>
    <x v="5"/>
    <s v="11:27"/>
    <s v="Desserts"/>
    <n v="175.86"/>
    <x v="0"/>
    <x v="1"/>
    <n v="19"/>
    <n v="3"/>
  </r>
  <r>
    <s v="ORD10308"/>
    <s v="CUST7717"/>
    <x v="8"/>
    <x v="8"/>
    <s v="2024-01-11"/>
    <n v="2024"/>
    <n v="1"/>
    <x v="3"/>
    <s v="20:13"/>
    <s v="Seafood"/>
    <n v="334.78"/>
    <x v="0"/>
    <x v="2"/>
    <n v="37"/>
    <n v="5"/>
  </r>
  <r>
    <s v="ORD10309"/>
    <s v="CUST2909"/>
    <x v="7"/>
    <x v="7"/>
    <s v="2024-01-13"/>
    <n v="2024"/>
    <n v="1"/>
    <x v="28"/>
    <s v="22:53"/>
    <s v="Beverages"/>
    <n v="131.79"/>
    <x v="2"/>
    <x v="2"/>
    <n v="35"/>
    <m/>
  </r>
  <r>
    <s v="ORD10310"/>
    <s v="CUST6606"/>
    <x v="4"/>
    <x v="3"/>
    <s v="2024-01-09"/>
    <n v="2024"/>
    <n v="1"/>
    <x v="0"/>
    <s v="20:32"/>
    <s v="Desserts"/>
    <n v="147.05000000000001"/>
    <x v="1"/>
    <x v="1"/>
    <n v="15"/>
    <n v="3"/>
  </r>
  <r>
    <s v="ORD10311"/>
    <s v="CUST3861"/>
    <x v="9"/>
    <x v="1"/>
    <s v="2024-01-21"/>
    <n v="2024"/>
    <n v="1"/>
    <x v="1"/>
    <s v="18:50"/>
    <s v="Seafood"/>
    <n v="218.58"/>
    <x v="0"/>
    <x v="2"/>
    <n v="53"/>
    <n v="5"/>
  </r>
  <r>
    <s v="ORD10312"/>
    <s v="CUST4886"/>
    <x v="2"/>
    <x v="2"/>
    <s v="2024-01-12"/>
    <n v="2024"/>
    <n v="1"/>
    <x v="29"/>
    <s v="17:38"/>
    <s v="Seafood"/>
    <n v="208.06"/>
    <x v="2"/>
    <x v="3"/>
    <n v="81"/>
    <n v="3"/>
  </r>
  <r>
    <s v="ORD10313"/>
    <s v="CUST5993"/>
    <x v="7"/>
    <x v="0"/>
    <s v="2024-01-17"/>
    <n v="2024"/>
    <n v="1"/>
    <x v="4"/>
    <s v="16:12"/>
    <s v="Beverages"/>
    <n v="270.12"/>
    <x v="1"/>
    <x v="2"/>
    <n v="71"/>
    <n v="4"/>
  </r>
  <r>
    <s v="ORD10314"/>
    <s v="CUST3249"/>
    <x v="9"/>
    <x v="8"/>
    <s v="2024-01-19"/>
    <n v="2024"/>
    <n v="1"/>
    <x v="15"/>
    <s v="14:20"/>
    <s v="Beverages"/>
    <n v="499.56"/>
    <x v="3"/>
    <x v="1"/>
    <n v="28"/>
    <n v="1"/>
  </r>
  <r>
    <s v="ORD10315"/>
    <s v="CUST8415"/>
    <x v="8"/>
    <x v="7"/>
    <s v="2024-01-02"/>
    <n v="2024"/>
    <n v="1"/>
    <x v="26"/>
    <s v="16:42"/>
    <s v="Healthy"/>
    <n v="373.67"/>
    <x v="1"/>
    <x v="2"/>
    <n v="21"/>
    <n v="3"/>
  </r>
  <r>
    <s v="ORD10316"/>
    <s v="CUST6252"/>
    <x v="6"/>
    <x v="7"/>
    <s v="2024-01-31"/>
    <n v="2024"/>
    <n v="1"/>
    <x v="6"/>
    <s v="16:11"/>
    <s v="Healthy"/>
    <n v="73.55"/>
    <x v="0"/>
    <x v="3"/>
    <n v="77"/>
    <n v="4"/>
  </r>
  <r>
    <s v="ORD10317"/>
    <s v="CUST3183"/>
    <x v="7"/>
    <x v="2"/>
    <s v="2024-01-24"/>
    <n v="2024"/>
    <n v="1"/>
    <x v="14"/>
    <s v="23:11"/>
    <s v="BBQ"/>
    <n v="54.99"/>
    <x v="3"/>
    <x v="2"/>
    <n v="29"/>
    <n v="3"/>
  </r>
  <r>
    <s v="ORD10318"/>
    <s v="CUST7765"/>
    <x v="3"/>
    <x v="1"/>
    <s v="2024-01-15"/>
    <n v="2024"/>
    <n v="1"/>
    <x v="13"/>
    <s v="18:37"/>
    <s v="Beverages"/>
    <n v="238.32"/>
    <x v="3"/>
    <x v="3"/>
    <n v="80"/>
    <n v="5"/>
  </r>
  <r>
    <s v="ORD10319"/>
    <s v="CUST1690"/>
    <x v="8"/>
    <x v="3"/>
    <s v="2024-01-31"/>
    <n v="2024"/>
    <n v="1"/>
    <x v="6"/>
    <s v="22:41"/>
    <s v="Desserts"/>
    <n v="86.76"/>
    <x v="2"/>
    <x v="1"/>
    <n v="46"/>
    <m/>
  </r>
  <r>
    <s v="ORD10320"/>
    <s v="CUST1818"/>
    <x v="7"/>
    <x v="6"/>
    <s v="2024-01-06"/>
    <n v="2024"/>
    <n v="1"/>
    <x v="16"/>
    <s v="15:43"/>
    <s v="Beverages"/>
    <n v="92.87"/>
    <x v="3"/>
    <x v="1"/>
    <n v="30"/>
    <n v="1"/>
  </r>
  <r>
    <s v="ORD10321"/>
    <s v="CUST3685"/>
    <x v="8"/>
    <x v="5"/>
    <s v="2024-01-06"/>
    <n v="2024"/>
    <n v="1"/>
    <x v="16"/>
    <s v="10:15"/>
    <s v="Seafood"/>
    <n v="344.02"/>
    <x v="2"/>
    <x v="2"/>
    <n v="88"/>
    <m/>
  </r>
  <r>
    <s v="ORD10322"/>
    <s v="CUST4789"/>
    <x v="5"/>
    <x v="3"/>
    <s v="2024-01-06"/>
    <n v="2024"/>
    <n v="1"/>
    <x v="16"/>
    <s v="16:31"/>
    <s v="Beverages"/>
    <n v="417.57"/>
    <x v="1"/>
    <x v="2"/>
    <n v="61"/>
    <n v="1"/>
  </r>
  <r>
    <s v="ORD10323"/>
    <s v="CUST7919"/>
    <x v="0"/>
    <x v="5"/>
    <s v="2024-01-28"/>
    <n v="2024"/>
    <n v="1"/>
    <x v="21"/>
    <s v="22:46"/>
    <s v="Healthy"/>
    <n v="138.80000000000001"/>
    <x v="2"/>
    <x v="2"/>
    <n v="57"/>
    <n v="5"/>
  </r>
  <r>
    <s v="ORD10324"/>
    <s v="CUST5066"/>
    <x v="4"/>
    <x v="9"/>
    <s v="2024-01-17"/>
    <n v="2024"/>
    <n v="1"/>
    <x v="4"/>
    <s v="14:42"/>
    <s v="Sushi"/>
    <n v="88.86"/>
    <x v="1"/>
    <x v="0"/>
    <n v="53"/>
    <n v="5"/>
  </r>
  <r>
    <s v="ORD10325"/>
    <s v="CUST3070"/>
    <x v="4"/>
    <x v="2"/>
    <s v="2024-01-31"/>
    <n v="2024"/>
    <n v="1"/>
    <x v="6"/>
    <s v="22:57"/>
    <s v="Beverages"/>
    <n v="60.51"/>
    <x v="0"/>
    <x v="0"/>
    <n v="39"/>
    <m/>
  </r>
  <r>
    <s v="ORD10326"/>
    <s v="CUST5316"/>
    <x v="1"/>
    <x v="6"/>
    <s v="2024-01-05"/>
    <n v="2024"/>
    <n v="1"/>
    <x v="20"/>
    <s v="17:58"/>
    <s v="Sushi"/>
    <n v="399.28"/>
    <x v="1"/>
    <x v="0"/>
    <n v="86"/>
    <n v="2"/>
  </r>
  <r>
    <s v="ORD10327"/>
    <s v="CUST7115"/>
    <x v="1"/>
    <x v="1"/>
    <s v="2024-01-26"/>
    <n v="2024"/>
    <n v="1"/>
    <x v="12"/>
    <s v="23:54"/>
    <s v="Desserts"/>
    <n v="201.11"/>
    <x v="0"/>
    <x v="1"/>
    <n v="53"/>
    <n v="5"/>
  </r>
  <r>
    <s v="ORD10328"/>
    <s v="CUST8174"/>
    <x v="5"/>
    <x v="9"/>
    <s v="2024-01-23"/>
    <n v="2024"/>
    <n v="1"/>
    <x v="11"/>
    <s v="19:42"/>
    <s v="Fast Food"/>
    <n v="253.79"/>
    <x v="2"/>
    <x v="2"/>
    <n v="81"/>
    <n v="1"/>
  </r>
  <r>
    <s v="ORD10329"/>
    <s v="CUST2096"/>
    <x v="0"/>
    <x v="9"/>
    <s v="2024-01-29"/>
    <n v="2024"/>
    <n v="1"/>
    <x v="17"/>
    <s v="22:16"/>
    <s v="Seafood"/>
    <n v="171.66"/>
    <x v="2"/>
    <x v="0"/>
    <n v="41"/>
    <n v="2"/>
  </r>
  <r>
    <s v="ORD10330"/>
    <s v="CUST3067"/>
    <x v="9"/>
    <x v="3"/>
    <s v="2024-01-26"/>
    <n v="2024"/>
    <n v="1"/>
    <x v="12"/>
    <s v="14:31"/>
    <s v="Beverages"/>
    <n v="375.15"/>
    <x v="2"/>
    <x v="3"/>
    <n v="52"/>
    <n v="1"/>
  </r>
  <r>
    <s v="ORD10331"/>
    <s v="CUST8646"/>
    <x v="7"/>
    <x v="9"/>
    <s v="2024-01-30"/>
    <n v="2024"/>
    <n v="1"/>
    <x v="30"/>
    <s v="21:18"/>
    <s v="Seafood"/>
    <n v="368.41"/>
    <x v="3"/>
    <x v="0"/>
    <n v="75"/>
    <n v="2"/>
  </r>
  <r>
    <s v="ORD10332"/>
    <s v="CUST4701"/>
    <x v="2"/>
    <x v="9"/>
    <s v="2024-01-05"/>
    <n v="2024"/>
    <n v="1"/>
    <x v="20"/>
    <s v="10:29"/>
    <s v="Desserts"/>
    <n v="403.58"/>
    <x v="2"/>
    <x v="2"/>
    <n v="73"/>
    <n v="2"/>
  </r>
  <r>
    <s v="ORD10333"/>
    <s v="CUST8569"/>
    <x v="6"/>
    <x v="1"/>
    <s v="2024-01-04"/>
    <n v="2024"/>
    <n v="1"/>
    <x v="22"/>
    <s v="20:48"/>
    <s v="Pizza"/>
    <n v="124.08"/>
    <x v="3"/>
    <x v="2"/>
    <n v="38"/>
    <n v="3"/>
  </r>
  <r>
    <s v="ORD10334"/>
    <s v="CUST9619"/>
    <x v="9"/>
    <x v="3"/>
    <s v="2024-01-17"/>
    <n v="2024"/>
    <n v="1"/>
    <x v="4"/>
    <s v="22:26"/>
    <s v="Sushi"/>
    <n v="422.06"/>
    <x v="1"/>
    <x v="3"/>
    <n v="33"/>
    <n v="5"/>
  </r>
  <r>
    <s v="ORD10335"/>
    <s v="CUST8197"/>
    <x v="8"/>
    <x v="5"/>
    <s v="2024-01-08"/>
    <n v="2024"/>
    <n v="1"/>
    <x v="5"/>
    <s v="19:26"/>
    <s v="Fast Food"/>
    <n v="254.25"/>
    <x v="3"/>
    <x v="2"/>
    <n v="29"/>
    <n v="4"/>
  </r>
  <r>
    <s v="ORD10336"/>
    <s v="CUST3518"/>
    <x v="6"/>
    <x v="0"/>
    <s v="2024-01-31"/>
    <n v="2024"/>
    <n v="1"/>
    <x v="6"/>
    <s v="21:49"/>
    <s v="Fast Food"/>
    <n v="495.61"/>
    <x v="1"/>
    <x v="2"/>
    <n v="75"/>
    <n v="3"/>
  </r>
  <r>
    <s v="ORD10337"/>
    <s v="CUST7190"/>
    <x v="5"/>
    <x v="9"/>
    <s v="2024-01-10"/>
    <n v="2024"/>
    <n v="1"/>
    <x v="24"/>
    <s v="20:52"/>
    <s v="Beverages"/>
    <n v="53.64"/>
    <x v="3"/>
    <x v="0"/>
    <n v="61"/>
    <n v="1"/>
  </r>
  <r>
    <s v="ORD10338"/>
    <s v="CUST2680"/>
    <x v="7"/>
    <x v="6"/>
    <s v="2024-01-27"/>
    <n v="2024"/>
    <n v="1"/>
    <x v="7"/>
    <s v="12:16"/>
    <s v="BBQ"/>
    <n v="175.36"/>
    <x v="1"/>
    <x v="0"/>
    <n v="77"/>
    <n v="1"/>
  </r>
  <r>
    <s v="ORD10339"/>
    <s v="CUST7871"/>
    <x v="0"/>
    <x v="2"/>
    <s v="2024-01-17"/>
    <n v="2024"/>
    <n v="1"/>
    <x v="4"/>
    <s v="13:58"/>
    <s v="Sushi"/>
    <n v="430.51"/>
    <x v="2"/>
    <x v="1"/>
    <n v="77"/>
    <m/>
  </r>
  <r>
    <s v="ORD10340"/>
    <s v="CUST4832"/>
    <x v="0"/>
    <x v="2"/>
    <s v="2024-01-15"/>
    <n v="2024"/>
    <n v="1"/>
    <x v="13"/>
    <s v="21:45"/>
    <s v="BBQ"/>
    <n v="240.85"/>
    <x v="1"/>
    <x v="2"/>
    <n v="21"/>
    <n v="1"/>
  </r>
  <r>
    <s v="ORD10341"/>
    <s v="CUST4800"/>
    <x v="6"/>
    <x v="5"/>
    <s v="2024-01-11"/>
    <n v="2024"/>
    <n v="1"/>
    <x v="3"/>
    <s v="18:37"/>
    <s v="Fast Food"/>
    <n v="169.5"/>
    <x v="0"/>
    <x v="3"/>
    <n v="47"/>
    <n v="3"/>
  </r>
  <r>
    <s v="ORD10342"/>
    <s v="CUST5971"/>
    <x v="7"/>
    <x v="0"/>
    <s v="2024-01-24"/>
    <n v="2024"/>
    <n v="1"/>
    <x v="14"/>
    <s v="10:59"/>
    <s v="Pizza"/>
    <n v="130.30000000000001"/>
    <x v="2"/>
    <x v="0"/>
    <n v="37"/>
    <m/>
  </r>
  <r>
    <s v="ORD10343"/>
    <s v="CUST7429"/>
    <x v="2"/>
    <x v="6"/>
    <s v="2024-01-09"/>
    <n v="2024"/>
    <n v="1"/>
    <x v="0"/>
    <s v="15:37"/>
    <s v="Desserts"/>
    <n v="184.81"/>
    <x v="2"/>
    <x v="2"/>
    <n v="72"/>
    <n v="5"/>
  </r>
  <r>
    <s v="ORD10344"/>
    <s v="CUST2090"/>
    <x v="5"/>
    <x v="0"/>
    <s v="2024-01-27"/>
    <n v="2024"/>
    <n v="1"/>
    <x v="7"/>
    <s v="15:26"/>
    <s v="BBQ"/>
    <n v="209.5"/>
    <x v="1"/>
    <x v="1"/>
    <n v="67"/>
    <n v="3"/>
  </r>
  <r>
    <s v="ORD10345"/>
    <s v="CUST1172"/>
    <x v="4"/>
    <x v="2"/>
    <s v="2024-01-14"/>
    <n v="2024"/>
    <n v="1"/>
    <x v="2"/>
    <s v="23:15"/>
    <s v="Seafood"/>
    <n v="193.82"/>
    <x v="1"/>
    <x v="3"/>
    <n v="15"/>
    <n v="5"/>
  </r>
  <r>
    <s v="ORD10346"/>
    <s v="CUST9360"/>
    <x v="5"/>
    <x v="9"/>
    <s v="2024-01-08"/>
    <n v="2024"/>
    <n v="1"/>
    <x v="5"/>
    <s v="11:59"/>
    <s v="Sushi"/>
    <n v="329.57"/>
    <x v="3"/>
    <x v="1"/>
    <n v="34"/>
    <n v="3"/>
  </r>
  <r>
    <s v="ORD10347"/>
    <s v="CUST5272"/>
    <x v="2"/>
    <x v="5"/>
    <s v="2024-01-21"/>
    <n v="2024"/>
    <n v="1"/>
    <x v="1"/>
    <s v="18:17"/>
    <s v="Pizza"/>
    <n v="469.32"/>
    <x v="0"/>
    <x v="0"/>
    <n v="66"/>
    <n v="2"/>
  </r>
  <r>
    <s v="ORD10348"/>
    <s v="CUST4863"/>
    <x v="1"/>
    <x v="5"/>
    <s v="2024-01-30"/>
    <n v="2024"/>
    <n v="1"/>
    <x v="30"/>
    <s v="19:54"/>
    <s v="Desserts"/>
    <n v="159.47999999999999"/>
    <x v="3"/>
    <x v="0"/>
    <n v="51"/>
    <n v="2"/>
  </r>
  <r>
    <s v="ORD10349"/>
    <s v="CUST6978"/>
    <x v="9"/>
    <x v="8"/>
    <s v="2024-01-04"/>
    <n v="2024"/>
    <n v="1"/>
    <x v="22"/>
    <s v="19:48"/>
    <s v="Sushi"/>
    <n v="190.67"/>
    <x v="2"/>
    <x v="0"/>
    <n v="82"/>
    <n v="1"/>
  </r>
  <r>
    <s v="ORD10350"/>
    <s v="CUST2187"/>
    <x v="6"/>
    <x v="8"/>
    <s v="2024-01-07"/>
    <n v="2024"/>
    <n v="1"/>
    <x v="18"/>
    <s v="16:30"/>
    <s v="Sushi"/>
    <n v="178.34"/>
    <x v="1"/>
    <x v="3"/>
    <n v="50"/>
    <n v="2"/>
  </r>
  <r>
    <s v="ORD10351"/>
    <s v="CUST6005"/>
    <x v="8"/>
    <x v="4"/>
    <s v="2024-01-12"/>
    <n v="2024"/>
    <n v="1"/>
    <x v="29"/>
    <s v="11:49"/>
    <s v="Fast Food"/>
    <n v="236.07"/>
    <x v="3"/>
    <x v="1"/>
    <n v="63"/>
    <n v="5"/>
  </r>
  <r>
    <s v="ORD10352"/>
    <s v="CUST9408"/>
    <x v="7"/>
    <x v="6"/>
    <s v="2024-01-25"/>
    <n v="2024"/>
    <n v="1"/>
    <x v="8"/>
    <s v="15:50"/>
    <s v="BBQ"/>
    <n v="430.36"/>
    <x v="2"/>
    <x v="0"/>
    <n v="46"/>
    <n v="5"/>
  </r>
  <r>
    <s v="ORD10353"/>
    <s v="CUST7410"/>
    <x v="4"/>
    <x v="5"/>
    <s v="2024-01-01"/>
    <n v="2024"/>
    <n v="1"/>
    <x v="25"/>
    <s v="20:48"/>
    <s v="Sushi"/>
    <n v="167.86"/>
    <x v="0"/>
    <x v="2"/>
    <n v="22"/>
    <n v="4"/>
  </r>
  <r>
    <s v="ORD10354"/>
    <s v="CUST1465"/>
    <x v="7"/>
    <x v="0"/>
    <s v="2024-01-05"/>
    <n v="2024"/>
    <n v="1"/>
    <x v="20"/>
    <s v="20:30"/>
    <s v="Healthy"/>
    <n v="412.38"/>
    <x v="3"/>
    <x v="0"/>
    <n v="46"/>
    <n v="3"/>
  </r>
  <r>
    <s v="ORD10355"/>
    <s v="CUST3661"/>
    <x v="8"/>
    <x v="1"/>
    <s v="2024-01-31"/>
    <n v="2024"/>
    <n v="1"/>
    <x v="6"/>
    <s v="20:33"/>
    <s v="Sushi"/>
    <n v="247.33"/>
    <x v="2"/>
    <x v="0"/>
    <n v="61"/>
    <n v="2"/>
  </r>
  <r>
    <s v="ORD10356"/>
    <s v="CUST5515"/>
    <x v="3"/>
    <x v="4"/>
    <s v="2024-01-02"/>
    <n v="2024"/>
    <n v="1"/>
    <x v="26"/>
    <s v="22:33"/>
    <s v="Beverages"/>
    <n v="332.92"/>
    <x v="0"/>
    <x v="0"/>
    <n v="81"/>
    <m/>
  </r>
  <r>
    <s v="ORD10357"/>
    <s v="CUST5877"/>
    <x v="4"/>
    <x v="5"/>
    <s v="2024-01-18"/>
    <n v="2024"/>
    <n v="1"/>
    <x v="9"/>
    <s v="19:30"/>
    <s v="Desserts"/>
    <n v="112.1"/>
    <x v="2"/>
    <x v="1"/>
    <n v="22"/>
    <m/>
  </r>
  <r>
    <s v="ORD10358"/>
    <s v="CUST2842"/>
    <x v="4"/>
    <x v="5"/>
    <s v="2024-01-25"/>
    <n v="2024"/>
    <n v="1"/>
    <x v="8"/>
    <s v="12:24"/>
    <s v="Seafood"/>
    <n v="360.14"/>
    <x v="3"/>
    <x v="3"/>
    <n v="82"/>
    <m/>
  </r>
  <r>
    <s v="ORD10359"/>
    <s v="CUST4660"/>
    <x v="7"/>
    <x v="7"/>
    <s v="2024-01-10"/>
    <n v="2024"/>
    <n v="1"/>
    <x v="24"/>
    <s v="21:19"/>
    <s v="Desserts"/>
    <n v="138.56"/>
    <x v="3"/>
    <x v="1"/>
    <n v="61"/>
    <m/>
  </r>
  <r>
    <s v="ORD10360"/>
    <s v="CUST2883"/>
    <x v="1"/>
    <x v="4"/>
    <s v="2024-01-23"/>
    <n v="2024"/>
    <n v="1"/>
    <x v="11"/>
    <s v="23:50"/>
    <s v="Beverages"/>
    <n v="149.47999999999999"/>
    <x v="0"/>
    <x v="1"/>
    <n v="24"/>
    <n v="2"/>
  </r>
  <r>
    <s v="ORD10361"/>
    <s v="CUST2435"/>
    <x v="6"/>
    <x v="7"/>
    <s v="2024-01-30"/>
    <n v="2024"/>
    <n v="1"/>
    <x v="30"/>
    <s v="16:57"/>
    <s v="Sushi"/>
    <n v="400.1"/>
    <x v="3"/>
    <x v="2"/>
    <n v="30"/>
    <n v="2"/>
  </r>
  <r>
    <s v="ORD10362"/>
    <s v="CUST2281"/>
    <x v="6"/>
    <x v="3"/>
    <s v="2024-01-19"/>
    <n v="2024"/>
    <n v="1"/>
    <x v="15"/>
    <s v="11:59"/>
    <s v="Pizza"/>
    <n v="109.32"/>
    <x v="0"/>
    <x v="1"/>
    <n v="90"/>
    <n v="3"/>
  </r>
  <r>
    <s v="ORD10363"/>
    <s v="CUST2467"/>
    <x v="9"/>
    <x v="5"/>
    <s v="2024-01-12"/>
    <n v="2024"/>
    <n v="1"/>
    <x v="29"/>
    <s v="18:50"/>
    <s v="Fast Food"/>
    <n v="322.77999999999997"/>
    <x v="1"/>
    <x v="0"/>
    <n v="66"/>
    <n v="2"/>
  </r>
  <r>
    <s v="ORD10364"/>
    <s v="CUST1220"/>
    <x v="9"/>
    <x v="6"/>
    <s v="2024-01-01"/>
    <n v="2024"/>
    <n v="1"/>
    <x v="25"/>
    <s v="16:27"/>
    <s v="BBQ"/>
    <n v="339.54"/>
    <x v="0"/>
    <x v="1"/>
    <n v="60"/>
    <n v="3"/>
  </r>
  <r>
    <s v="ORD10365"/>
    <s v="CUST7177"/>
    <x v="3"/>
    <x v="3"/>
    <s v="2024-01-03"/>
    <n v="2024"/>
    <n v="1"/>
    <x v="27"/>
    <s v="12:51"/>
    <s v="Desserts"/>
    <n v="67.680000000000007"/>
    <x v="0"/>
    <x v="2"/>
    <n v="88"/>
    <n v="4"/>
  </r>
  <r>
    <s v="ORD10366"/>
    <s v="CUST3978"/>
    <x v="0"/>
    <x v="9"/>
    <s v="2024-01-02"/>
    <n v="2024"/>
    <n v="1"/>
    <x v="26"/>
    <s v="21:55"/>
    <s v="Pizza"/>
    <n v="319.70999999999998"/>
    <x v="3"/>
    <x v="2"/>
    <n v="66"/>
    <n v="4"/>
  </r>
  <r>
    <s v="ORD10367"/>
    <s v="CUST5709"/>
    <x v="4"/>
    <x v="2"/>
    <s v="2024-01-29"/>
    <n v="2024"/>
    <n v="1"/>
    <x v="17"/>
    <s v="14:47"/>
    <s v="Sushi"/>
    <n v="175.01"/>
    <x v="2"/>
    <x v="0"/>
    <n v="49"/>
    <m/>
  </r>
  <r>
    <s v="ORD10368"/>
    <s v="CUST4926"/>
    <x v="8"/>
    <x v="9"/>
    <s v="2024-01-14"/>
    <n v="2024"/>
    <n v="1"/>
    <x v="2"/>
    <s v="18:54"/>
    <s v="BBQ"/>
    <n v="445.24"/>
    <x v="2"/>
    <x v="1"/>
    <n v="60"/>
    <n v="3"/>
  </r>
  <r>
    <s v="ORD10369"/>
    <s v="CUST6660"/>
    <x v="6"/>
    <x v="1"/>
    <s v="2024-01-01"/>
    <n v="2024"/>
    <n v="1"/>
    <x v="25"/>
    <s v="13:49"/>
    <s v="Seafood"/>
    <n v="141.44999999999999"/>
    <x v="2"/>
    <x v="0"/>
    <n v="40"/>
    <n v="2"/>
  </r>
  <r>
    <s v="ORD10370"/>
    <s v="CUST5712"/>
    <x v="5"/>
    <x v="8"/>
    <s v="2024-01-08"/>
    <n v="2024"/>
    <n v="1"/>
    <x v="5"/>
    <s v="18:22"/>
    <s v="Sushi"/>
    <n v="396.51"/>
    <x v="0"/>
    <x v="3"/>
    <n v="32"/>
    <n v="3"/>
  </r>
  <r>
    <s v="ORD10371"/>
    <s v="CUST1341"/>
    <x v="3"/>
    <x v="1"/>
    <s v="2024-01-09"/>
    <n v="2024"/>
    <n v="1"/>
    <x v="0"/>
    <s v="13:22"/>
    <s v="BBQ"/>
    <n v="227.17"/>
    <x v="3"/>
    <x v="3"/>
    <n v="27"/>
    <n v="3"/>
  </r>
  <r>
    <s v="ORD10372"/>
    <s v="CUST2663"/>
    <x v="7"/>
    <x v="8"/>
    <s v="2024-01-26"/>
    <n v="2024"/>
    <n v="1"/>
    <x v="12"/>
    <s v="12:47"/>
    <s v="Seafood"/>
    <n v="446.67"/>
    <x v="3"/>
    <x v="0"/>
    <n v="70"/>
    <n v="1"/>
  </r>
  <r>
    <s v="ORD10373"/>
    <s v="CUST6183"/>
    <x v="4"/>
    <x v="2"/>
    <s v="2024-01-10"/>
    <n v="2024"/>
    <n v="1"/>
    <x v="24"/>
    <s v="10:38"/>
    <s v="BBQ"/>
    <n v="63.96"/>
    <x v="2"/>
    <x v="1"/>
    <n v="76"/>
    <n v="5"/>
  </r>
  <r>
    <s v="ORD10374"/>
    <s v="CUST1561"/>
    <x v="3"/>
    <x v="0"/>
    <s v="2024-01-15"/>
    <n v="2024"/>
    <n v="1"/>
    <x v="13"/>
    <s v="12:58"/>
    <s v="Healthy"/>
    <n v="139.78"/>
    <x v="3"/>
    <x v="1"/>
    <n v="44"/>
    <n v="5"/>
  </r>
  <r>
    <s v="ORD10375"/>
    <s v="CUST1764"/>
    <x v="7"/>
    <x v="4"/>
    <s v="2024-01-30"/>
    <n v="2024"/>
    <n v="1"/>
    <x v="30"/>
    <s v="18:15"/>
    <s v="Seafood"/>
    <n v="423.93"/>
    <x v="1"/>
    <x v="3"/>
    <n v="71"/>
    <n v="4"/>
  </r>
  <r>
    <s v="ORD10376"/>
    <s v="CUST7556"/>
    <x v="6"/>
    <x v="0"/>
    <s v="2024-01-02"/>
    <n v="2024"/>
    <n v="1"/>
    <x v="26"/>
    <s v="21:40"/>
    <s v="Pizza"/>
    <n v="286.39999999999998"/>
    <x v="2"/>
    <x v="1"/>
    <n v="85"/>
    <n v="5"/>
  </r>
  <r>
    <s v="ORD10377"/>
    <s v="CUST8738"/>
    <x v="7"/>
    <x v="5"/>
    <s v="2024-01-26"/>
    <n v="2024"/>
    <n v="1"/>
    <x v="12"/>
    <s v="16:39"/>
    <s v="BBQ"/>
    <n v="158.83000000000001"/>
    <x v="2"/>
    <x v="2"/>
    <n v="59"/>
    <n v="1"/>
  </r>
  <r>
    <s v="ORD10378"/>
    <s v="CUST7619"/>
    <x v="3"/>
    <x v="1"/>
    <s v="2024-01-29"/>
    <n v="2024"/>
    <n v="1"/>
    <x v="17"/>
    <s v="15:24"/>
    <s v="Healthy"/>
    <n v="88.17"/>
    <x v="1"/>
    <x v="2"/>
    <n v="86"/>
    <n v="1"/>
  </r>
  <r>
    <s v="ORD10379"/>
    <s v="CUST9871"/>
    <x v="2"/>
    <x v="6"/>
    <s v="2024-01-19"/>
    <n v="2024"/>
    <n v="1"/>
    <x v="15"/>
    <s v="14:22"/>
    <s v="Healthy"/>
    <n v="176.05"/>
    <x v="3"/>
    <x v="3"/>
    <n v="70"/>
    <n v="2"/>
  </r>
  <r>
    <s v="ORD10380"/>
    <s v="CUST9124"/>
    <x v="3"/>
    <x v="3"/>
    <s v="2024-01-14"/>
    <n v="2024"/>
    <n v="1"/>
    <x v="2"/>
    <s v="10:49"/>
    <s v="Sushi"/>
    <n v="431.42"/>
    <x v="0"/>
    <x v="1"/>
    <n v="43"/>
    <n v="2"/>
  </r>
  <r>
    <s v="ORD10381"/>
    <s v="CUST7336"/>
    <x v="2"/>
    <x v="0"/>
    <s v="2024-01-17"/>
    <n v="2024"/>
    <n v="1"/>
    <x v="4"/>
    <s v="18:10"/>
    <s v="Pizza"/>
    <n v="443.78"/>
    <x v="1"/>
    <x v="3"/>
    <n v="87"/>
    <n v="5"/>
  </r>
  <r>
    <s v="ORD10382"/>
    <s v="CUST5915"/>
    <x v="6"/>
    <x v="6"/>
    <s v="2024-01-29"/>
    <n v="2024"/>
    <n v="1"/>
    <x v="17"/>
    <s v="17:54"/>
    <s v="Sushi"/>
    <n v="250.2"/>
    <x v="3"/>
    <x v="3"/>
    <n v="90"/>
    <n v="3"/>
  </r>
  <r>
    <s v="ORD10383"/>
    <s v="CUST9143"/>
    <x v="3"/>
    <x v="1"/>
    <s v="2024-01-03"/>
    <n v="2024"/>
    <n v="1"/>
    <x v="27"/>
    <s v="16:46"/>
    <s v="Sushi"/>
    <n v="366.26"/>
    <x v="3"/>
    <x v="3"/>
    <n v="76"/>
    <m/>
  </r>
  <r>
    <s v="ORD10384"/>
    <s v="CUST7285"/>
    <x v="8"/>
    <x v="7"/>
    <s v="2024-01-04"/>
    <n v="2024"/>
    <n v="1"/>
    <x v="22"/>
    <s v="17:27"/>
    <s v="BBQ"/>
    <n v="193.23"/>
    <x v="0"/>
    <x v="0"/>
    <n v="63"/>
    <m/>
  </r>
  <r>
    <s v="ORD10385"/>
    <s v="CUST9486"/>
    <x v="2"/>
    <x v="5"/>
    <s v="2024-01-22"/>
    <n v="2024"/>
    <n v="1"/>
    <x v="19"/>
    <s v="10:38"/>
    <s v="Sushi"/>
    <n v="343.52"/>
    <x v="1"/>
    <x v="2"/>
    <n v="39"/>
    <n v="2"/>
  </r>
  <r>
    <s v="ORD10386"/>
    <s v="CUST9628"/>
    <x v="0"/>
    <x v="9"/>
    <s v="2024-01-21"/>
    <n v="2024"/>
    <n v="1"/>
    <x v="1"/>
    <s v="17:14"/>
    <s v="Seafood"/>
    <n v="126.55"/>
    <x v="0"/>
    <x v="1"/>
    <n v="39"/>
    <n v="1"/>
  </r>
  <r>
    <s v="ORD10387"/>
    <s v="CUST3082"/>
    <x v="9"/>
    <x v="3"/>
    <s v="2024-01-24"/>
    <n v="2024"/>
    <n v="1"/>
    <x v="14"/>
    <s v="14:34"/>
    <s v="Seafood"/>
    <n v="387.65"/>
    <x v="2"/>
    <x v="2"/>
    <n v="29"/>
    <m/>
  </r>
  <r>
    <s v="ORD10388"/>
    <s v="CUST7189"/>
    <x v="4"/>
    <x v="6"/>
    <s v="2024-01-16"/>
    <n v="2024"/>
    <n v="1"/>
    <x v="10"/>
    <s v="20:22"/>
    <s v="Pizza"/>
    <n v="480.71"/>
    <x v="3"/>
    <x v="2"/>
    <n v="52"/>
    <n v="4"/>
  </r>
  <r>
    <s v="ORD10389"/>
    <s v="CUST2878"/>
    <x v="0"/>
    <x v="7"/>
    <s v="2024-01-01"/>
    <n v="2024"/>
    <n v="1"/>
    <x v="25"/>
    <s v="18:27"/>
    <s v="Beverages"/>
    <n v="308.61"/>
    <x v="2"/>
    <x v="2"/>
    <n v="21"/>
    <n v="2"/>
  </r>
  <r>
    <s v="ORD10390"/>
    <s v="CUST7874"/>
    <x v="7"/>
    <x v="8"/>
    <s v="2024-01-24"/>
    <n v="2024"/>
    <n v="1"/>
    <x v="14"/>
    <s v="21:27"/>
    <s v="Healthy"/>
    <n v="167.11"/>
    <x v="3"/>
    <x v="1"/>
    <n v="21"/>
    <m/>
  </r>
  <r>
    <s v="ORD10391"/>
    <s v="CUST1049"/>
    <x v="8"/>
    <x v="6"/>
    <s v="2024-01-16"/>
    <n v="2024"/>
    <n v="1"/>
    <x v="10"/>
    <s v="21:26"/>
    <s v="Fast Food"/>
    <n v="359.96"/>
    <x v="2"/>
    <x v="1"/>
    <n v="81"/>
    <m/>
  </r>
  <r>
    <s v="ORD10392"/>
    <s v="CUST6594"/>
    <x v="5"/>
    <x v="7"/>
    <s v="2024-01-16"/>
    <n v="2024"/>
    <n v="1"/>
    <x v="10"/>
    <s v="23:35"/>
    <s v="Fast Food"/>
    <n v="233.28"/>
    <x v="2"/>
    <x v="2"/>
    <n v="39"/>
    <n v="3"/>
  </r>
  <r>
    <s v="ORD10393"/>
    <s v="CUST2178"/>
    <x v="9"/>
    <x v="2"/>
    <s v="2024-01-02"/>
    <n v="2024"/>
    <n v="1"/>
    <x v="26"/>
    <s v="14:28"/>
    <s v="Pizza"/>
    <n v="210.4"/>
    <x v="3"/>
    <x v="0"/>
    <n v="89"/>
    <m/>
  </r>
  <r>
    <s v="ORD10394"/>
    <s v="CUST5232"/>
    <x v="1"/>
    <x v="8"/>
    <s v="2024-01-07"/>
    <n v="2024"/>
    <n v="1"/>
    <x v="18"/>
    <s v="16:17"/>
    <s v="Sushi"/>
    <n v="371.29"/>
    <x v="3"/>
    <x v="1"/>
    <n v="18"/>
    <n v="1"/>
  </r>
  <r>
    <s v="ORD10395"/>
    <s v="CUST7528"/>
    <x v="6"/>
    <x v="5"/>
    <s v="2024-01-22"/>
    <n v="2024"/>
    <n v="1"/>
    <x v="19"/>
    <s v="21:45"/>
    <s v="Healthy"/>
    <n v="442.09"/>
    <x v="2"/>
    <x v="1"/>
    <n v="32"/>
    <n v="2"/>
  </r>
  <r>
    <s v="ORD10396"/>
    <s v="CUST7213"/>
    <x v="1"/>
    <x v="5"/>
    <s v="2024-01-12"/>
    <n v="2024"/>
    <n v="1"/>
    <x v="29"/>
    <s v="18:20"/>
    <s v="Seafood"/>
    <n v="453.92"/>
    <x v="2"/>
    <x v="3"/>
    <n v="69"/>
    <n v="3"/>
  </r>
  <r>
    <s v="ORD10397"/>
    <s v="CUST6170"/>
    <x v="3"/>
    <x v="4"/>
    <s v="2024-01-06"/>
    <n v="2024"/>
    <n v="1"/>
    <x v="16"/>
    <s v="22:56"/>
    <s v="Fast Food"/>
    <n v="279.67"/>
    <x v="0"/>
    <x v="3"/>
    <n v="53"/>
    <n v="5"/>
  </r>
  <r>
    <s v="ORD10398"/>
    <s v="CUST4424"/>
    <x v="0"/>
    <x v="2"/>
    <s v="2024-01-24"/>
    <n v="2024"/>
    <n v="1"/>
    <x v="14"/>
    <s v="10:32"/>
    <s v="BBQ"/>
    <n v="175.33"/>
    <x v="1"/>
    <x v="2"/>
    <n v="20"/>
    <n v="4"/>
  </r>
  <r>
    <s v="ORD10399"/>
    <s v="CUST8564"/>
    <x v="5"/>
    <x v="0"/>
    <s v="2024-01-08"/>
    <n v="2024"/>
    <n v="1"/>
    <x v="5"/>
    <s v="12:14"/>
    <s v="Seafood"/>
    <n v="203.19"/>
    <x v="3"/>
    <x v="2"/>
    <n v="40"/>
    <n v="5"/>
  </r>
  <r>
    <s v="ORD10400"/>
    <s v="CUST7581"/>
    <x v="9"/>
    <x v="5"/>
    <s v="2024-01-20"/>
    <n v="2024"/>
    <n v="1"/>
    <x v="23"/>
    <s v="15:38"/>
    <s v="Desserts"/>
    <n v="283.70999999999998"/>
    <x v="0"/>
    <x v="3"/>
    <n v="59"/>
    <n v="4"/>
  </r>
  <r>
    <s v="ORD10401"/>
    <s v="CUST3639"/>
    <x v="5"/>
    <x v="6"/>
    <s v="2024-01-18"/>
    <n v="2024"/>
    <n v="1"/>
    <x v="9"/>
    <s v="23:24"/>
    <s v="Desserts"/>
    <n v="283.89"/>
    <x v="1"/>
    <x v="0"/>
    <n v="35"/>
    <n v="5"/>
  </r>
  <r>
    <s v="ORD10402"/>
    <s v="CUST1018"/>
    <x v="4"/>
    <x v="6"/>
    <s v="2024-01-04"/>
    <n v="2024"/>
    <n v="1"/>
    <x v="22"/>
    <s v="19:44"/>
    <s v="BBQ"/>
    <n v="438.91"/>
    <x v="1"/>
    <x v="2"/>
    <n v="35"/>
    <n v="2"/>
  </r>
  <r>
    <s v="ORD10403"/>
    <s v="CUST5702"/>
    <x v="4"/>
    <x v="2"/>
    <s v="2024-01-19"/>
    <n v="2024"/>
    <n v="1"/>
    <x v="15"/>
    <s v="14:56"/>
    <s v="Sushi"/>
    <n v="436.49"/>
    <x v="3"/>
    <x v="3"/>
    <n v="80"/>
    <n v="1"/>
  </r>
  <r>
    <s v="ORD10404"/>
    <s v="CUST6790"/>
    <x v="2"/>
    <x v="8"/>
    <s v="2024-01-26"/>
    <n v="2024"/>
    <n v="1"/>
    <x v="12"/>
    <s v="23:29"/>
    <s v="Desserts"/>
    <n v="77.3"/>
    <x v="3"/>
    <x v="1"/>
    <n v="54"/>
    <n v="1"/>
  </r>
  <r>
    <s v="ORD10405"/>
    <s v="CUST7447"/>
    <x v="4"/>
    <x v="2"/>
    <s v="2024-01-12"/>
    <n v="2024"/>
    <n v="1"/>
    <x v="29"/>
    <s v="23:13"/>
    <s v="Beverages"/>
    <n v="125.59"/>
    <x v="0"/>
    <x v="3"/>
    <n v="29"/>
    <m/>
  </r>
  <r>
    <s v="ORD10406"/>
    <s v="CUST3162"/>
    <x v="7"/>
    <x v="9"/>
    <s v="2024-01-10"/>
    <n v="2024"/>
    <n v="1"/>
    <x v="24"/>
    <s v="23:40"/>
    <s v="Beverages"/>
    <n v="370.63"/>
    <x v="2"/>
    <x v="3"/>
    <n v="17"/>
    <n v="5"/>
  </r>
  <r>
    <s v="ORD10407"/>
    <s v="CUST7631"/>
    <x v="2"/>
    <x v="6"/>
    <s v="2024-01-02"/>
    <n v="2024"/>
    <n v="1"/>
    <x v="26"/>
    <s v="10:22"/>
    <s v="Pizza"/>
    <n v="152.44"/>
    <x v="0"/>
    <x v="1"/>
    <n v="36"/>
    <m/>
  </r>
  <r>
    <s v="ORD10408"/>
    <s v="CUST7482"/>
    <x v="1"/>
    <x v="5"/>
    <s v="2024-01-06"/>
    <n v="2024"/>
    <n v="1"/>
    <x v="16"/>
    <s v="19:16"/>
    <s v="Healthy"/>
    <n v="180.8"/>
    <x v="0"/>
    <x v="2"/>
    <n v="80"/>
    <n v="1"/>
  </r>
  <r>
    <s v="ORD10409"/>
    <s v="CUST2747"/>
    <x v="5"/>
    <x v="5"/>
    <s v="2024-01-14"/>
    <n v="2024"/>
    <n v="1"/>
    <x v="2"/>
    <s v="23:35"/>
    <s v="Desserts"/>
    <n v="232.69"/>
    <x v="1"/>
    <x v="2"/>
    <n v="88"/>
    <n v="2"/>
  </r>
  <r>
    <s v="ORD10410"/>
    <s v="CUST3358"/>
    <x v="0"/>
    <x v="6"/>
    <s v="2024-01-20"/>
    <n v="2024"/>
    <n v="1"/>
    <x v="23"/>
    <s v="23:23"/>
    <s v="Sushi"/>
    <n v="375.92"/>
    <x v="3"/>
    <x v="1"/>
    <n v="21"/>
    <n v="4"/>
  </r>
  <r>
    <s v="ORD10411"/>
    <s v="CUST6678"/>
    <x v="8"/>
    <x v="9"/>
    <s v="2024-01-09"/>
    <n v="2024"/>
    <n v="1"/>
    <x v="0"/>
    <s v="18:35"/>
    <s v="Desserts"/>
    <n v="142.38"/>
    <x v="3"/>
    <x v="0"/>
    <n v="79"/>
    <n v="3"/>
  </r>
  <r>
    <s v="ORD10412"/>
    <s v="CUST7340"/>
    <x v="4"/>
    <x v="3"/>
    <s v="2024-01-08"/>
    <n v="2024"/>
    <n v="1"/>
    <x v="5"/>
    <s v="12:46"/>
    <s v="Sushi"/>
    <n v="145.87"/>
    <x v="3"/>
    <x v="3"/>
    <n v="74"/>
    <m/>
  </r>
  <r>
    <s v="ORD10413"/>
    <s v="CUST5993"/>
    <x v="2"/>
    <x v="7"/>
    <s v="2024-01-12"/>
    <n v="2024"/>
    <n v="1"/>
    <x v="29"/>
    <s v="22:50"/>
    <s v="Beverages"/>
    <n v="243.05"/>
    <x v="0"/>
    <x v="0"/>
    <n v="40"/>
    <n v="2"/>
  </r>
  <r>
    <s v="ORD10414"/>
    <s v="CUST2529"/>
    <x v="4"/>
    <x v="2"/>
    <s v="2024-01-20"/>
    <n v="2024"/>
    <n v="1"/>
    <x v="23"/>
    <s v="10:24"/>
    <s v="BBQ"/>
    <n v="74.37"/>
    <x v="0"/>
    <x v="1"/>
    <n v="82"/>
    <n v="3"/>
  </r>
  <r>
    <s v="ORD10415"/>
    <s v="CUST5927"/>
    <x v="7"/>
    <x v="3"/>
    <s v="2024-01-03"/>
    <n v="2024"/>
    <n v="1"/>
    <x v="27"/>
    <s v="13:50"/>
    <s v="Fast Food"/>
    <n v="422.43"/>
    <x v="2"/>
    <x v="1"/>
    <n v="21"/>
    <n v="3"/>
  </r>
  <r>
    <s v="ORD10416"/>
    <s v="CUST7273"/>
    <x v="6"/>
    <x v="8"/>
    <s v="2024-01-02"/>
    <n v="2024"/>
    <n v="1"/>
    <x v="26"/>
    <s v="15:13"/>
    <s v="Desserts"/>
    <n v="461.29"/>
    <x v="0"/>
    <x v="1"/>
    <n v="64"/>
    <n v="5"/>
  </r>
  <r>
    <s v="ORD10417"/>
    <s v="CUST2022"/>
    <x v="2"/>
    <x v="9"/>
    <s v="2024-01-19"/>
    <n v="2024"/>
    <n v="1"/>
    <x v="15"/>
    <s v="21:11"/>
    <s v="Seafood"/>
    <n v="89.51"/>
    <x v="1"/>
    <x v="0"/>
    <n v="38"/>
    <n v="2"/>
  </r>
  <r>
    <s v="ORD10418"/>
    <s v="CUST7191"/>
    <x v="2"/>
    <x v="2"/>
    <s v="2024-01-13"/>
    <n v="2024"/>
    <n v="1"/>
    <x v="28"/>
    <s v="19:44"/>
    <s v="Healthy"/>
    <n v="293.86"/>
    <x v="2"/>
    <x v="2"/>
    <n v="30"/>
    <m/>
  </r>
  <r>
    <s v="ORD10419"/>
    <s v="CUST3101"/>
    <x v="6"/>
    <x v="1"/>
    <s v="2024-01-17"/>
    <n v="2024"/>
    <n v="1"/>
    <x v="4"/>
    <s v="15:54"/>
    <s v="Pizza"/>
    <n v="365.05"/>
    <x v="0"/>
    <x v="0"/>
    <n v="32"/>
    <n v="3"/>
  </r>
  <r>
    <s v="ORD10420"/>
    <s v="CUST6660"/>
    <x v="7"/>
    <x v="0"/>
    <s v="2024-01-27"/>
    <n v="2024"/>
    <n v="1"/>
    <x v="7"/>
    <s v="20:32"/>
    <s v="Desserts"/>
    <n v="227.29"/>
    <x v="3"/>
    <x v="1"/>
    <n v="74"/>
    <n v="2"/>
  </r>
  <r>
    <s v="ORD10421"/>
    <s v="CUST3110"/>
    <x v="6"/>
    <x v="8"/>
    <s v="2024-01-22"/>
    <n v="2024"/>
    <n v="1"/>
    <x v="19"/>
    <s v="19:52"/>
    <s v="BBQ"/>
    <n v="234.6"/>
    <x v="2"/>
    <x v="3"/>
    <n v="70"/>
    <n v="4"/>
  </r>
  <r>
    <s v="ORD10422"/>
    <s v="CUST3199"/>
    <x v="7"/>
    <x v="4"/>
    <s v="2024-01-10"/>
    <n v="2024"/>
    <n v="1"/>
    <x v="24"/>
    <s v="16:54"/>
    <s v="Pizza"/>
    <n v="307.74"/>
    <x v="0"/>
    <x v="0"/>
    <n v="71"/>
    <n v="4"/>
  </r>
  <r>
    <s v="ORD10423"/>
    <s v="CUST6214"/>
    <x v="4"/>
    <x v="2"/>
    <s v="2024-01-15"/>
    <n v="2024"/>
    <n v="1"/>
    <x v="13"/>
    <s v="18:34"/>
    <s v="Pizza"/>
    <n v="328.93"/>
    <x v="1"/>
    <x v="0"/>
    <n v="21"/>
    <n v="5"/>
  </r>
  <r>
    <s v="ORD10424"/>
    <s v="CUST4174"/>
    <x v="8"/>
    <x v="8"/>
    <s v="2024-01-05"/>
    <n v="2024"/>
    <n v="1"/>
    <x v="20"/>
    <s v="14:44"/>
    <s v="Beverages"/>
    <n v="150.06"/>
    <x v="1"/>
    <x v="0"/>
    <n v="77"/>
    <n v="2"/>
  </r>
  <r>
    <s v="ORD10425"/>
    <s v="CUST8729"/>
    <x v="0"/>
    <x v="7"/>
    <s v="2024-01-11"/>
    <n v="2024"/>
    <n v="1"/>
    <x v="3"/>
    <s v="18:27"/>
    <s v="BBQ"/>
    <n v="485.24"/>
    <x v="1"/>
    <x v="3"/>
    <n v="23"/>
    <n v="1"/>
  </r>
  <r>
    <s v="ORD10426"/>
    <s v="CUST6450"/>
    <x v="8"/>
    <x v="7"/>
    <s v="2024-01-06"/>
    <n v="2024"/>
    <n v="1"/>
    <x v="16"/>
    <s v="23:10"/>
    <s v="BBQ"/>
    <n v="469.12"/>
    <x v="2"/>
    <x v="0"/>
    <n v="87"/>
    <n v="5"/>
  </r>
  <r>
    <s v="ORD10427"/>
    <s v="CUST6147"/>
    <x v="4"/>
    <x v="5"/>
    <s v="2024-01-13"/>
    <n v="2024"/>
    <n v="1"/>
    <x v="28"/>
    <s v="15:34"/>
    <s v="Beverages"/>
    <n v="283.56"/>
    <x v="2"/>
    <x v="3"/>
    <n v="67"/>
    <n v="5"/>
  </r>
  <r>
    <s v="ORD10428"/>
    <s v="CUST2499"/>
    <x v="3"/>
    <x v="0"/>
    <s v="2024-01-12"/>
    <n v="2024"/>
    <n v="1"/>
    <x v="29"/>
    <s v="20:16"/>
    <s v="Desserts"/>
    <n v="177.76"/>
    <x v="1"/>
    <x v="2"/>
    <n v="88"/>
    <n v="5"/>
  </r>
  <r>
    <s v="ORD10429"/>
    <s v="CUST3925"/>
    <x v="3"/>
    <x v="2"/>
    <s v="2024-01-23"/>
    <n v="2024"/>
    <n v="1"/>
    <x v="11"/>
    <s v="22:45"/>
    <s v="Pizza"/>
    <n v="95.9"/>
    <x v="1"/>
    <x v="2"/>
    <n v="62"/>
    <m/>
  </r>
  <r>
    <s v="ORD10430"/>
    <s v="CUST2796"/>
    <x v="3"/>
    <x v="7"/>
    <s v="2024-01-22"/>
    <n v="2024"/>
    <n v="1"/>
    <x v="19"/>
    <s v="16:11"/>
    <s v="Sushi"/>
    <n v="318.14"/>
    <x v="3"/>
    <x v="3"/>
    <n v="18"/>
    <n v="3"/>
  </r>
  <r>
    <s v="ORD10431"/>
    <s v="CUST5285"/>
    <x v="4"/>
    <x v="4"/>
    <s v="2024-01-19"/>
    <n v="2024"/>
    <n v="1"/>
    <x v="15"/>
    <s v="12:32"/>
    <s v="Pizza"/>
    <n v="226.71"/>
    <x v="1"/>
    <x v="0"/>
    <n v="52"/>
    <m/>
  </r>
  <r>
    <s v="ORD10432"/>
    <s v="CUST1530"/>
    <x v="7"/>
    <x v="3"/>
    <s v="2024-01-16"/>
    <n v="2024"/>
    <n v="1"/>
    <x v="10"/>
    <s v="14:18"/>
    <s v="Sushi"/>
    <n v="483.18"/>
    <x v="1"/>
    <x v="2"/>
    <n v="55"/>
    <n v="2"/>
  </r>
  <r>
    <s v="ORD10433"/>
    <s v="CUST7375"/>
    <x v="0"/>
    <x v="2"/>
    <s v="2024-01-20"/>
    <n v="2024"/>
    <n v="1"/>
    <x v="23"/>
    <s v="14:46"/>
    <s v="Seafood"/>
    <n v="376.44"/>
    <x v="1"/>
    <x v="1"/>
    <n v="39"/>
    <n v="5"/>
  </r>
  <r>
    <s v="ORD10434"/>
    <s v="CUST1299"/>
    <x v="8"/>
    <x v="7"/>
    <s v="2024-01-17"/>
    <n v="2024"/>
    <n v="1"/>
    <x v="4"/>
    <s v="23:22"/>
    <s v="Fast Food"/>
    <n v="69.150000000000006"/>
    <x v="2"/>
    <x v="3"/>
    <n v="25"/>
    <m/>
  </r>
  <r>
    <s v="ORD10435"/>
    <s v="CUST5653"/>
    <x v="2"/>
    <x v="3"/>
    <s v="2024-01-30"/>
    <n v="2024"/>
    <n v="1"/>
    <x v="30"/>
    <s v="19:12"/>
    <s v="Seafood"/>
    <n v="238.19"/>
    <x v="1"/>
    <x v="2"/>
    <n v="33"/>
    <n v="3"/>
  </r>
  <r>
    <s v="ORD10436"/>
    <s v="CUST5601"/>
    <x v="7"/>
    <x v="6"/>
    <s v="2024-01-24"/>
    <n v="2024"/>
    <n v="1"/>
    <x v="14"/>
    <s v="16:54"/>
    <s v="Desserts"/>
    <n v="345.75"/>
    <x v="3"/>
    <x v="1"/>
    <n v="22"/>
    <n v="5"/>
  </r>
  <r>
    <s v="ORD10437"/>
    <s v="CUST5607"/>
    <x v="5"/>
    <x v="6"/>
    <s v="2024-01-14"/>
    <n v="2024"/>
    <n v="1"/>
    <x v="2"/>
    <s v="13:46"/>
    <s v="Seafood"/>
    <n v="178.52"/>
    <x v="2"/>
    <x v="2"/>
    <n v="17"/>
    <n v="1"/>
  </r>
  <r>
    <s v="ORD10438"/>
    <s v="CUST8314"/>
    <x v="7"/>
    <x v="7"/>
    <s v="2024-01-05"/>
    <n v="2024"/>
    <n v="1"/>
    <x v="20"/>
    <s v="10:16"/>
    <s v="Fast Food"/>
    <n v="287.72000000000003"/>
    <x v="1"/>
    <x v="0"/>
    <n v="47"/>
    <n v="5"/>
  </r>
  <r>
    <s v="ORD10439"/>
    <s v="CUST6875"/>
    <x v="4"/>
    <x v="3"/>
    <s v="2024-01-29"/>
    <n v="2024"/>
    <n v="1"/>
    <x v="17"/>
    <s v="20:17"/>
    <s v="Desserts"/>
    <n v="119.54"/>
    <x v="1"/>
    <x v="2"/>
    <n v="60"/>
    <n v="5"/>
  </r>
  <r>
    <s v="ORD10440"/>
    <s v="CUST2275"/>
    <x v="4"/>
    <x v="5"/>
    <s v="2024-01-24"/>
    <n v="2024"/>
    <n v="1"/>
    <x v="14"/>
    <s v="10:28"/>
    <s v="Pizza"/>
    <n v="128.05000000000001"/>
    <x v="1"/>
    <x v="1"/>
    <n v="29"/>
    <n v="1"/>
  </r>
  <r>
    <s v="ORD10441"/>
    <s v="CUST9047"/>
    <x v="8"/>
    <x v="2"/>
    <s v="2024-01-26"/>
    <n v="2024"/>
    <n v="1"/>
    <x v="12"/>
    <s v="16:58"/>
    <s v="Fast Food"/>
    <n v="96.07"/>
    <x v="1"/>
    <x v="1"/>
    <n v="82"/>
    <m/>
  </r>
  <r>
    <s v="ORD10442"/>
    <s v="CUST6383"/>
    <x v="4"/>
    <x v="8"/>
    <s v="2024-01-23"/>
    <n v="2024"/>
    <n v="1"/>
    <x v="11"/>
    <s v="14:54"/>
    <s v="Beverages"/>
    <n v="70.06"/>
    <x v="2"/>
    <x v="0"/>
    <n v="68"/>
    <n v="2"/>
  </r>
  <r>
    <s v="ORD10443"/>
    <s v="CUST5822"/>
    <x v="1"/>
    <x v="3"/>
    <s v="2024-01-28"/>
    <n v="2024"/>
    <n v="1"/>
    <x v="21"/>
    <s v="17:32"/>
    <s v="Sushi"/>
    <n v="240.39"/>
    <x v="0"/>
    <x v="3"/>
    <n v="88"/>
    <m/>
  </r>
  <r>
    <s v="ORD10444"/>
    <s v="CUST9652"/>
    <x v="8"/>
    <x v="0"/>
    <s v="2024-01-19"/>
    <n v="2024"/>
    <n v="1"/>
    <x v="15"/>
    <s v="20:16"/>
    <s v="Sushi"/>
    <n v="173.6"/>
    <x v="2"/>
    <x v="1"/>
    <n v="42"/>
    <n v="3"/>
  </r>
  <r>
    <s v="ORD10445"/>
    <s v="CUST3746"/>
    <x v="4"/>
    <x v="2"/>
    <s v="2024-01-26"/>
    <n v="2024"/>
    <n v="1"/>
    <x v="12"/>
    <s v="21:12"/>
    <s v="Beverages"/>
    <n v="382.59"/>
    <x v="1"/>
    <x v="1"/>
    <n v="87"/>
    <n v="4"/>
  </r>
  <r>
    <s v="ORD10446"/>
    <s v="CUST6499"/>
    <x v="2"/>
    <x v="4"/>
    <s v="2024-01-11"/>
    <n v="2024"/>
    <n v="1"/>
    <x v="3"/>
    <s v="17:30"/>
    <s v="Desserts"/>
    <n v="201.36"/>
    <x v="0"/>
    <x v="1"/>
    <n v="65"/>
    <n v="1"/>
  </r>
  <r>
    <s v="ORD10447"/>
    <s v="CUST7007"/>
    <x v="3"/>
    <x v="4"/>
    <s v="2024-01-21"/>
    <n v="2024"/>
    <n v="1"/>
    <x v="1"/>
    <s v="17:56"/>
    <s v="Desserts"/>
    <n v="158.46"/>
    <x v="0"/>
    <x v="3"/>
    <n v="85"/>
    <n v="5"/>
  </r>
  <r>
    <s v="ORD10448"/>
    <s v="CUST7778"/>
    <x v="4"/>
    <x v="8"/>
    <s v="2024-01-11"/>
    <n v="2024"/>
    <n v="1"/>
    <x v="3"/>
    <s v="20:40"/>
    <s v="Desserts"/>
    <n v="224.58"/>
    <x v="1"/>
    <x v="1"/>
    <n v="18"/>
    <n v="1"/>
  </r>
  <r>
    <s v="ORD10449"/>
    <s v="CUST3514"/>
    <x v="3"/>
    <x v="2"/>
    <s v="2024-01-23"/>
    <n v="2024"/>
    <n v="1"/>
    <x v="11"/>
    <s v="11:52"/>
    <s v="Fast Food"/>
    <n v="382.64"/>
    <x v="2"/>
    <x v="1"/>
    <n v="63"/>
    <m/>
  </r>
  <r>
    <s v="ORD10450"/>
    <s v="CUST9808"/>
    <x v="9"/>
    <x v="4"/>
    <s v="2024-01-14"/>
    <n v="2024"/>
    <n v="1"/>
    <x v="2"/>
    <s v="18:32"/>
    <s v="Beverages"/>
    <n v="78"/>
    <x v="2"/>
    <x v="3"/>
    <n v="36"/>
    <n v="5"/>
  </r>
  <r>
    <s v="ORD10451"/>
    <s v="CUST8796"/>
    <x v="5"/>
    <x v="1"/>
    <s v="2024-01-04"/>
    <n v="2024"/>
    <n v="1"/>
    <x v="22"/>
    <s v="19:32"/>
    <s v="Fast Food"/>
    <n v="362.74"/>
    <x v="1"/>
    <x v="1"/>
    <n v="19"/>
    <n v="2"/>
  </r>
  <r>
    <s v="ORD10452"/>
    <s v="CUST2059"/>
    <x v="2"/>
    <x v="1"/>
    <s v="2024-01-28"/>
    <n v="2024"/>
    <n v="1"/>
    <x v="21"/>
    <s v="16:36"/>
    <s v="Beverages"/>
    <n v="381"/>
    <x v="1"/>
    <x v="2"/>
    <n v="19"/>
    <n v="1"/>
  </r>
  <r>
    <s v="ORD10453"/>
    <s v="CUST5957"/>
    <x v="6"/>
    <x v="4"/>
    <s v="2024-01-01"/>
    <n v="2024"/>
    <n v="1"/>
    <x v="25"/>
    <s v="19:24"/>
    <s v="Seafood"/>
    <n v="117.49"/>
    <x v="3"/>
    <x v="3"/>
    <n v="45"/>
    <n v="3"/>
  </r>
  <r>
    <s v="ORD10454"/>
    <s v="CUST8586"/>
    <x v="7"/>
    <x v="0"/>
    <s v="2024-01-08"/>
    <n v="2024"/>
    <n v="1"/>
    <x v="5"/>
    <s v="11:56"/>
    <s v="BBQ"/>
    <n v="182.52"/>
    <x v="1"/>
    <x v="2"/>
    <n v="82"/>
    <n v="5"/>
  </r>
  <r>
    <s v="ORD10455"/>
    <s v="CUST8617"/>
    <x v="7"/>
    <x v="7"/>
    <s v="2024-01-20"/>
    <n v="2024"/>
    <n v="1"/>
    <x v="23"/>
    <s v="15:43"/>
    <s v="Seafood"/>
    <n v="171.54"/>
    <x v="3"/>
    <x v="1"/>
    <n v="57"/>
    <n v="2"/>
  </r>
  <r>
    <s v="ORD10456"/>
    <s v="CUST8449"/>
    <x v="0"/>
    <x v="9"/>
    <s v="2024-01-01"/>
    <n v="2024"/>
    <n v="1"/>
    <x v="25"/>
    <s v="12:28"/>
    <s v="Seafood"/>
    <n v="256.49"/>
    <x v="3"/>
    <x v="2"/>
    <n v="50"/>
    <n v="1"/>
  </r>
  <r>
    <s v="ORD10457"/>
    <s v="CUST5572"/>
    <x v="2"/>
    <x v="1"/>
    <s v="2024-01-08"/>
    <n v="2024"/>
    <n v="1"/>
    <x v="5"/>
    <s v="19:47"/>
    <s v="Sushi"/>
    <n v="302.36"/>
    <x v="0"/>
    <x v="0"/>
    <n v="35"/>
    <n v="5"/>
  </r>
  <r>
    <s v="ORD10458"/>
    <s v="CUST1342"/>
    <x v="9"/>
    <x v="1"/>
    <s v="2024-01-21"/>
    <n v="2024"/>
    <n v="1"/>
    <x v="1"/>
    <s v="19:25"/>
    <s v="BBQ"/>
    <n v="169.21"/>
    <x v="3"/>
    <x v="0"/>
    <n v="40"/>
    <m/>
  </r>
  <r>
    <s v="ORD10459"/>
    <s v="CUST8387"/>
    <x v="3"/>
    <x v="0"/>
    <s v="2024-01-22"/>
    <n v="2024"/>
    <n v="1"/>
    <x v="19"/>
    <s v="17:37"/>
    <s v="Seafood"/>
    <n v="154.28"/>
    <x v="0"/>
    <x v="1"/>
    <n v="80"/>
    <n v="3"/>
  </r>
  <r>
    <s v="ORD10460"/>
    <s v="CUST2668"/>
    <x v="7"/>
    <x v="9"/>
    <s v="2024-01-19"/>
    <n v="2024"/>
    <n v="1"/>
    <x v="15"/>
    <s v="10:25"/>
    <s v="Sushi"/>
    <n v="414.75"/>
    <x v="1"/>
    <x v="2"/>
    <n v="21"/>
    <n v="4"/>
  </r>
  <r>
    <s v="ORD10461"/>
    <s v="CUST7010"/>
    <x v="5"/>
    <x v="6"/>
    <s v="2024-01-08"/>
    <n v="2024"/>
    <n v="1"/>
    <x v="5"/>
    <s v="19:59"/>
    <s v="Beverages"/>
    <n v="233.41"/>
    <x v="2"/>
    <x v="3"/>
    <n v="16"/>
    <n v="1"/>
  </r>
  <r>
    <s v="ORD10462"/>
    <s v="CUST9470"/>
    <x v="1"/>
    <x v="4"/>
    <s v="2024-01-26"/>
    <n v="2024"/>
    <n v="1"/>
    <x v="12"/>
    <s v="19:24"/>
    <s v="Fast Food"/>
    <n v="170.13"/>
    <x v="2"/>
    <x v="1"/>
    <n v="77"/>
    <n v="4"/>
  </r>
  <r>
    <s v="ORD10463"/>
    <s v="CUST3892"/>
    <x v="6"/>
    <x v="0"/>
    <s v="2024-01-21"/>
    <n v="2024"/>
    <n v="1"/>
    <x v="1"/>
    <s v="13:34"/>
    <s v="Pizza"/>
    <n v="279.73"/>
    <x v="2"/>
    <x v="1"/>
    <n v="49"/>
    <n v="3"/>
  </r>
  <r>
    <s v="ORD10464"/>
    <s v="CUST2303"/>
    <x v="8"/>
    <x v="1"/>
    <s v="2024-01-13"/>
    <n v="2024"/>
    <n v="1"/>
    <x v="28"/>
    <s v="19:49"/>
    <s v="Desserts"/>
    <n v="426.83"/>
    <x v="2"/>
    <x v="1"/>
    <n v="64"/>
    <n v="5"/>
  </r>
  <r>
    <s v="ORD10465"/>
    <s v="CUST2026"/>
    <x v="6"/>
    <x v="0"/>
    <s v="2024-01-08"/>
    <n v="2024"/>
    <n v="1"/>
    <x v="5"/>
    <s v="10:47"/>
    <s v="Beverages"/>
    <n v="445.93"/>
    <x v="2"/>
    <x v="3"/>
    <n v="22"/>
    <n v="4"/>
  </r>
  <r>
    <s v="ORD10466"/>
    <s v="CUST7391"/>
    <x v="0"/>
    <x v="5"/>
    <s v="2024-01-08"/>
    <n v="2024"/>
    <n v="1"/>
    <x v="5"/>
    <s v="16:44"/>
    <s v="Seafood"/>
    <n v="191.28"/>
    <x v="2"/>
    <x v="0"/>
    <n v="75"/>
    <m/>
  </r>
  <r>
    <s v="ORD10467"/>
    <s v="CUST7155"/>
    <x v="2"/>
    <x v="2"/>
    <s v="2024-01-17"/>
    <n v="2024"/>
    <n v="1"/>
    <x v="4"/>
    <s v="12:10"/>
    <s v="Desserts"/>
    <n v="203.4"/>
    <x v="1"/>
    <x v="3"/>
    <n v="26"/>
    <n v="3"/>
  </r>
  <r>
    <s v="ORD10468"/>
    <s v="CUST6771"/>
    <x v="6"/>
    <x v="7"/>
    <s v="2024-01-22"/>
    <n v="2024"/>
    <n v="1"/>
    <x v="19"/>
    <s v="18:49"/>
    <s v="Sushi"/>
    <n v="336.03"/>
    <x v="1"/>
    <x v="1"/>
    <n v="29"/>
    <m/>
  </r>
  <r>
    <s v="ORD10469"/>
    <s v="CUST6156"/>
    <x v="8"/>
    <x v="1"/>
    <s v="2024-01-18"/>
    <n v="2024"/>
    <n v="1"/>
    <x v="9"/>
    <s v="16:20"/>
    <s v="Pizza"/>
    <n v="425.02"/>
    <x v="2"/>
    <x v="0"/>
    <n v="65"/>
    <n v="2"/>
  </r>
  <r>
    <s v="ORD10470"/>
    <s v="CUST9803"/>
    <x v="8"/>
    <x v="3"/>
    <s v="2024-01-31"/>
    <n v="2024"/>
    <n v="1"/>
    <x v="6"/>
    <s v="19:26"/>
    <s v="Sushi"/>
    <n v="277.11"/>
    <x v="1"/>
    <x v="2"/>
    <n v="24"/>
    <n v="3"/>
  </r>
  <r>
    <s v="ORD10471"/>
    <s v="CUST1062"/>
    <x v="7"/>
    <x v="7"/>
    <s v="2024-01-10"/>
    <n v="2024"/>
    <n v="1"/>
    <x v="24"/>
    <s v="12:21"/>
    <s v="Desserts"/>
    <n v="482.28"/>
    <x v="3"/>
    <x v="3"/>
    <n v="43"/>
    <n v="4"/>
  </r>
  <r>
    <s v="ORD10472"/>
    <s v="CUST3419"/>
    <x v="4"/>
    <x v="3"/>
    <s v="2024-01-19"/>
    <n v="2024"/>
    <n v="1"/>
    <x v="15"/>
    <s v="17:58"/>
    <s v="Seafood"/>
    <n v="86.33"/>
    <x v="2"/>
    <x v="1"/>
    <n v="36"/>
    <m/>
  </r>
  <r>
    <s v="ORD10473"/>
    <s v="CUST5975"/>
    <x v="0"/>
    <x v="6"/>
    <s v="2024-01-02"/>
    <n v="2024"/>
    <n v="1"/>
    <x v="26"/>
    <s v="10:52"/>
    <s v="Seafood"/>
    <n v="242.32"/>
    <x v="2"/>
    <x v="2"/>
    <n v="89"/>
    <n v="4"/>
  </r>
  <r>
    <s v="ORD10474"/>
    <s v="CUST5115"/>
    <x v="3"/>
    <x v="3"/>
    <s v="2024-01-07"/>
    <n v="2024"/>
    <n v="1"/>
    <x v="18"/>
    <s v="18:30"/>
    <s v="Seafood"/>
    <n v="271.33"/>
    <x v="2"/>
    <x v="3"/>
    <n v="64"/>
    <n v="2"/>
  </r>
  <r>
    <s v="ORD10475"/>
    <s v="CUST3252"/>
    <x v="4"/>
    <x v="9"/>
    <s v="2024-01-28"/>
    <n v="2024"/>
    <n v="1"/>
    <x v="21"/>
    <s v="21:59"/>
    <s v="Desserts"/>
    <n v="350.67"/>
    <x v="0"/>
    <x v="1"/>
    <n v="83"/>
    <n v="5"/>
  </r>
  <r>
    <s v="ORD10476"/>
    <s v="CUST1400"/>
    <x v="0"/>
    <x v="9"/>
    <s v="2024-01-05"/>
    <n v="2024"/>
    <n v="1"/>
    <x v="20"/>
    <s v="15:32"/>
    <s v="Beverages"/>
    <n v="215.3"/>
    <x v="1"/>
    <x v="2"/>
    <n v="16"/>
    <n v="2"/>
  </r>
  <r>
    <s v="ORD10477"/>
    <s v="CUST2963"/>
    <x v="3"/>
    <x v="4"/>
    <s v="2024-01-23"/>
    <n v="2024"/>
    <n v="1"/>
    <x v="11"/>
    <s v="13:57"/>
    <s v="Desserts"/>
    <n v="259.64"/>
    <x v="0"/>
    <x v="2"/>
    <n v="64"/>
    <n v="3"/>
  </r>
  <r>
    <s v="ORD10478"/>
    <s v="CUST3214"/>
    <x v="4"/>
    <x v="5"/>
    <s v="2024-01-13"/>
    <n v="2024"/>
    <n v="1"/>
    <x v="28"/>
    <s v="22:19"/>
    <s v="Pizza"/>
    <n v="147.88999999999999"/>
    <x v="0"/>
    <x v="3"/>
    <n v="39"/>
    <n v="3"/>
  </r>
  <r>
    <s v="ORD10479"/>
    <s v="CUST8224"/>
    <x v="7"/>
    <x v="9"/>
    <s v="2024-01-04"/>
    <n v="2024"/>
    <n v="1"/>
    <x v="22"/>
    <s v="10:50"/>
    <s v="Sushi"/>
    <n v="462.89"/>
    <x v="2"/>
    <x v="0"/>
    <n v="32"/>
    <n v="1"/>
  </r>
  <r>
    <s v="ORD10480"/>
    <s v="CUST7900"/>
    <x v="5"/>
    <x v="0"/>
    <s v="2024-01-13"/>
    <n v="2024"/>
    <n v="1"/>
    <x v="28"/>
    <s v="14:34"/>
    <s v="BBQ"/>
    <n v="209.37"/>
    <x v="3"/>
    <x v="3"/>
    <n v="64"/>
    <n v="5"/>
  </r>
  <r>
    <s v="ORD10481"/>
    <s v="CUST3528"/>
    <x v="3"/>
    <x v="7"/>
    <s v="2024-01-07"/>
    <n v="2024"/>
    <n v="1"/>
    <x v="18"/>
    <s v="16:54"/>
    <s v="BBQ"/>
    <n v="279.27"/>
    <x v="2"/>
    <x v="0"/>
    <n v="22"/>
    <n v="4"/>
  </r>
  <r>
    <s v="ORD10482"/>
    <s v="CUST1734"/>
    <x v="8"/>
    <x v="1"/>
    <s v="2024-01-13"/>
    <n v="2024"/>
    <n v="1"/>
    <x v="28"/>
    <s v="14:33"/>
    <s v="Seafood"/>
    <n v="85.52"/>
    <x v="0"/>
    <x v="3"/>
    <n v="80"/>
    <n v="5"/>
  </r>
  <r>
    <s v="ORD10483"/>
    <s v="CUST1354"/>
    <x v="7"/>
    <x v="2"/>
    <s v="2024-01-19"/>
    <n v="2024"/>
    <n v="1"/>
    <x v="15"/>
    <s v="17:44"/>
    <s v="Healthy"/>
    <n v="335.47"/>
    <x v="0"/>
    <x v="0"/>
    <n v="63"/>
    <n v="2"/>
  </r>
  <r>
    <s v="ORD10484"/>
    <s v="CUST4467"/>
    <x v="0"/>
    <x v="3"/>
    <s v="2024-01-21"/>
    <n v="2024"/>
    <n v="1"/>
    <x v="1"/>
    <s v="13:31"/>
    <s v="Fast Food"/>
    <n v="184.79"/>
    <x v="3"/>
    <x v="0"/>
    <n v="87"/>
    <n v="3"/>
  </r>
  <r>
    <s v="ORD10485"/>
    <s v="CUST9542"/>
    <x v="0"/>
    <x v="4"/>
    <s v="2024-01-04"/>
    <n v="2024"/>
    <n v="1"/>
    <x v="22"/>
    <s v="18:16"/>
    <s v="Desserts"/>
    <n v="431.9"/>
    <x v="1"/>
    <x v="2"/>
    <n v="35"/>
    <n v="1"/>
  </r>
  <r>
    <s v="ORD10486"/>
    <s v="CUST7355"/>
    <x v="8"/>
    <x v="5"/>
    <s v="2024-01-12"/>
    <n v="2024"/>
    <n v="1"/>
    <x v="29"/>
    <s v="17:34"/>
    <s v="BBQ"/>
    <n v="404.89"/>
    <x v="2"/>
    <x v="0"/>
    <n v="32"/>
    <n v="1"/>
  </r>
  <r>
    <s v="ORD10487"/>
    <s v="CUST7994"/>
    <x v="3"/>
    <x v="5"/>
    <s v="2024-01-29"/>
    <n v="2024"/>
    <n v="1"/>
    <x v="17"/>
    <s v="19:18"/>
    <s v="Pizza"/>
    <n v="93.69"/>
    <x v="3"/>
    <x v="0"/>
    <n v="31"/>
    <n v="3"/>
  </r>
  <r>
    <s v="ORD10488"/>
    <s v="CUST2662"/>
    <x v="0"/>
    <x v="7"/>
    <s v="2024-01-11"/>
    <n v="2024"/>
    <n v="1"/>
    <x v="3"/>
    <s v="21:18"/>
    <s v="BBQ"/>
    <n v="409.19"/>
    <x v="2"/>
    <x v="2"/>
    <n v="19"/>
    <n v="2"/>
  </r>
  <r>
    <s v="ORD10489"/>
    <s v="CUST4240"/>
    <x v="1"/>
    <x v="1"/>
    <s v="2024-01-07"/>
    <n v="2024"/>
    <n v="1"/>
    <x v="18"/>
    <s v="16:56"/>
    <s v="Seafood"/>
    <n v="281.18"/>
    <x v="1"/>
    <x v="0"/>
    <n v="36"/>
    <n v="1"/>
  </r>
  <r>
    <s v="ORD10490"/>
    <s v="CUST6590"/>
    <x v="8"/>
    <x v="8"/>
    <s v="2024-01-04"/>
    <n v="2024"/>
    <n v="1"/>
    <x v="22"/>
    <s v="14:42"/>
    <s v="BBQ"/>
    <n v="363.53"/>
    <x v="2"/>
    <x v="0"/>
    <n v="85"/>
    <n v="3"/>
  </r>
  <r>
    <s v="ORD10491"/>
    <s v="CUST8029"/>
    <x v="3"/>
    <x v="6"/>
    <s v="2024-01-04"/>
    <n v="2024"/>
    <n v="1"/>
    <x v="22"/>
    <s v="17:16"/>
    <s v="Healthy"/>
    <n v="330.34"/>
    <x v="0"/>
    <x v="3"/>
    <n v="38"/>
    <m/>
  </r>
  <r>
    <s v="ORD10492"/>
    <s v="CUST6904"/>
    <x v="9"/>
    <x v="3"/>
    <s v="2024-01-05"/>
    <n v="2024"/>
    <n v="1"/>
    <x v="20"/>
    <s v="14:46"/>
    <s v="Seafood"/>
    <n v="310.22000000000003"/>
    <x v="2"/>
    <x v="2"/>
    <n v="26"/>
    <n v="3"/>
  </r>
  <r>
    <s v="ORD10493"/>
    <s v="CUST7255"/>
    <x v="8"/>
    <x v="4"/>
    <s v="2024-01-01"/>
    <n v="2024"/>
    <n v="1"/>
    <x v="25"/>
    <s v="12:11"/>
    <s v="Desserts"/>
    <n v="162.09"/>
    <x v="0"/>
    <x v="2"/>
    <n v="58"/>
    <n v="1"/>
  </r>
  <r>
    <s v="ORD10494"/>
    <s v="CUST7256"/>
    <x v="3"/>
    <x v="6"/>
    <s v="2024-01-10"/>
    <n v="2024"/>
    <n v="1"/>
    <x v="24"/>
    <s v="16:37"/>
    <s v="Desserts"/>
    <n v="169.91"/>
    <x v="0"/>
    <x v="2"/>
    <n v="27"/>
    <n v="2"/>
  </r>
  <r>
    <s v="ORD10495"/>
    <s v="CUST4643"/>
    <x v="4"/>
    <x v="5"/>
    <s v="2024-01-24"/>
    <n v="2024"/>
    <n v="1"/>
    <x v="14"/>
    <s v="17:46"/>
    <s v="Beverages"/>
    <n v="499.67"/>
    <x v="2"/>
    <x v="1"/>
    <n v="87"/>
    <n v="2"/>
  </r>
  <r>
    <s v="ORD10496"/>
    <s v="CUST7372"/>
    <x v="0"/>
    <x v="9"/>
    <s v="2024-01-21"/>
    <n v="2024"/>
    <n v="1"/>
    <x v="1"/>
    <s v="10:40"/>
    <s v="BBQ"/>
    <n v="345.03"/>
    <x v="3"/>
    <x v="0"/>
    <n v="72"/>
    <n v="5"/>
  </r>
  <r>
    <s v="ORD10497"/>
    <s v="CUST4112"/>
    <x v="7"/>
    <x v="2"/>
    <s v="2024-01-11"/>
    <n v="2024"/>
    <n v="1"/>
    <x v="3"/>
    <s v="23:27"/>
    <s v="BBQ"/>
    <n v="370.06"/>
    <x v="2"/>
    <x v="1"/>
    <n v="23"/>
    <n v="2"/>
  </r>
  <r>
    <s v="ORD10498"/>
    <s v="CUST4712"/>
    <x v="5"/>
    <x v="1"/>
    <s v="2024-01-18"/>
    <n v="2024"/>
    <n v="1"/>
    <x v="9"/>
    <s v="12:15"/>
    <s v="Beverages"/>
    <n v="296.83"/>
    <x v="3"/>
    <x v="0"/>
    <n v="18"/>
    <n v="2"/>
  </r>
  <r>
    <s v="ORD10499"/>
    <s v="CUST2507"/>
    <x v="4"/>
    <x v="8"/>
    <s v="2024-01-29"/>
    <n v="2024"/>
    <n v="1"/>
    <x v="17"/>
    <s v="12:43"/>
    <s v="Fast Food"/>
    <n v="262.25"/>
    <x v="2"/>
    <x v="2"/>
    <n v="57"/>
    <n v="1"/>
  </r>
  <r>
    <s v="ORD10500"/>
    <s v="CUST6870"/>
    <x v="3"/>
    <x v="4"/>
    <s v="2024-01-29"/>
    <n v="2024"/>
    <n v="1"/>
    <x v="17"/>
    <s v="13:54"/>
    <s v="Healthy"/>
    <n v="72.989999999999995"/>
    <x v="3"/>
    <x v="0"/>
    <n v="44"/>
    <n v="5"/>
  </r>
  <r>
    <s v="ORD10501"/>
    <s v="CUST2228"/>
    <x v="3"/>
    <x v="6"/>
    <s v="2024-01-15"/>
    <n v="2024"/>
    <n v="1"/>
    <x v="13"/>
    <s v="18:35"/>
    <s v="Desserts"/>
    <n v="286.07"/>
    <x v="3"/>
    <x v="3"/>
    <n v="53"/>
    <n v="4"/>
  </r>
  <r>
    <s v="ORD10502"/>
    <s v="CUST2534"/>
    <x v="2"/>
    <x v="2"/>
    <s v="2024-01-03"/>
    <n v="2024"/>
    <n v="1"/>
    <x v="27"/>
    <s v="20:45"/>
    <s v="Desserts"/>
    <n v="130.09"/>
    <x v="0"/>
    <x v="1"/>
    <n v="22"/>
    <n v="1"/>
  </r>
  <r>
    <s v="ORD10503"/>
    <s v="CUST6919"/>
    <x v="1"/>
    <x v="4"/>
    <s v="2024-01-14"/>
    <n v="2024"/>
    <n v="1"/>
    <x v="2"/>
    <s v="18:26"/>
    <s v="Sushi"/>
    <n v="450.92"/>
    <x v="2"/>
    <x v="3"/>
    <n v="65"/>
    <n v="5"/>
  </r>
  <r>
    <s v="ORD10504"/>
    <s v="CUST9274"/>
    <x v="7"/>
    <x v="3"/>
    <s v="2024-01-06"/>
    <n v="2024"/>
    <n v="1"/>
    <x v="16"/>
    <s v="20:47"/>
    <s v="Desserts"/>
    <n v="330.28"/>
    <x v="3"/>
    <x v="0"/>
    <n v="64"/>
    <n v="3"/>
  </r>
  <r>
    <s v="ORD10505"/>
    <s v="CUST2833"/>
    <x v="4"/>
    <x v="9"/>
    <s v="2024-01-19"/>
    <n v="2024"/>
    <n v="1"/>
    <x v="15"/>
    <s v="23:54"/>
    <s v="Healthy"/>
    <n v="324.26"/>
    <x v="1"/>
    <x v="0"/>
    <n v="65"/>
    <n v="5"/>
  </r>
  <r>
    <s v="ORD10506"/>
    <s v="CUST6252"/>
    <x v="7"/>
    <x v="8"/>
    <s v="2024-01-23"/>
    <n v="2024"/>
    <n v="1"/>
    <x v="11"/>
    <s v="23:11"/>
    <s v="Desserts"/>
    <n v="366.04"/>
    <x v="3"/>
    <x v="2"/>
    <n v="18"/>
    <n v="5"/>
  </r>
  <r>
    <s v="ORD10507"/>
    <s v="CUST8282"/>
    <x v="9"/>
    <x v="6"/>
    <s v="2024-01-15"/>
    <n v="2024"/>
    <n v="1"/>
    <x v="13"/>
    <s v="18:17"/>
    <s v="Desserts"/>
    <n v="132.44999999999999"/>
    <x v="0"/>
    <x v="2"/>
    <n v="43"/>
    <n v="2"/>
  </r>
  <r>
    <s v="ORD10508"/>
    <s v="CUST1708"/>
    <x v="7"/>
    <x v="2"/>
    <s v="2024-01-09"/>
    <n v="2024"/>
    <n v="1"/>
    <x v="0"/>
    <s v="16:39"/>
    <s v="Seafood"/>
    <n v="115.96"/>
    <x v="0"/>
    <x v="1"/>
    <n v="88"/>
    <n v="3"/>
  </r>
  <r>
    <s v="ORD10509"/>
    <s v="CUST6978"/>
    <x v="1"/>
    <x v="8"/>
    <s v="2024-01-16"/>
    <n v="2024"/>
    <n v="1"/>
    <x v="10"/>
    <s v="10:11"/>
    <s v="Desserts"/>
    <n v="97.18"/>
    <x v="0"/>
    <x v="1"/>
    <n v="59"/>
    <n v="2"/>
  </r>
  <r>
    <s v="ORD10510"/>
    <s v="CUST5795"/>
    <x v="2"/>
    <x v="0"/>
    <s v="2024-01-09"/>
    <n v="2024"/>
    <n v="1"/>
    <x v="0"/>
    <s v="16:49"/>
    <s v="Healthy"/>
    <n v="455.53"/>
    <x v="2"/>
    <x v="0"/>
    <n v="45"/>
    <n v="2"/>
  </r>
  <r>
    <s v="ORD10511"/>
    <s v="CUST5496"/>
    <x v="5"/>
    <x v="3"/>
    <s v="2024-01-12"/>
    <n v="2024"/>
    <n v="1"/>
    <x v="29"/>
    <s v="21:44"/>
    <s v="Beverages"/>
    <n v="327.05"/>
    <x v="2"/>
    <x v="3"/>
    <n v="83"/>
    <n v="3"/>
  </r>
  <r>
    <s v="ORD10512"/>
    <s v="CUST2436"/>
    <x v="6"/>
    <x v="8"/>
    <s v="2024-01-21"/>
    <n v="2024"/>
    <n v="1"/>
    <x v="1"/>
    <s v="11:31"/>
    <s v="Fast Food"/>
    <n v="175.22"/>
    <x v="3"/>
    <x v="2"/>
    <n v="57"/>
    <n v="1"/>
  </r>
  <r>
    <s v="ORD10513"/>
    <s v="CUST4131"/>
    <x v="2"/>
    <x v="9"/>
    <s v="2024-01-31"/>
    <n v="2024"/>
    <n v="1"/>
    <x v="6"/>
    <s v="21:46"/>
    <s v="Fast Food"/>
    <n v="92.01"/>
    <x v="2"/>
    <x v="2"/>
    <n v="65"/>
    <n v="3"/>
  </r>
  <r>
    <s v="ORD10514"/>
    <s v="CUST5774"/>
    <x v="7"/>
    <x v="7"/>
    <s v="2024-01-07"/>
    <n v="2024"/>
    <n v="1"/>
    <x v="18"/>
    <s v="19:56"/>
    <s v="Sushi"/>
    <n v="147.24"/>
    <x v="1"/>
    <x v="3"/>
    <n v="75"/>
    <n v="1"/>
  </r>
  <r>
    <s v="ORD10515"/>
    <s v="CUST2743"/>
    <x v="0"/>
    <x v="4"/>
    <s v="2024-01-17"/>
    <n v="2024"/>
    <n v="1"/>
    <x v="4"/>
    <s v="19:30"/>
    <s v="Fast Food"/>
    <n v="341.57"/>
    <x v="1"/>
    <x v="0"/>
    <n v="46"/>
    <n v="1"/>
  </r>
  <r>
    <s v="ORD10516"/>
    <s v="CUST5289"/>
    <x v="2"/>
    <x v="3"/>
    <s v="2024-01-11"/>
    <n v="2024"/>
    <n v="1"/>
    <x v="3"/>
    <s v="20:51"/>
    <s v="Healthy"/>
    <n v="376.26"/>
    <x v="0"/>
    <x v="2"/>
    <n v="28"/>
    <n v="2"/>
  </r>
  <r>
    <s v="ORD10517"/>
    <s v="CUST1771"/>
    <x v="6"/>
    <x v="0"/>
    <s v="2024-01-08"/>
    <n v="2024"/>
    <n v="1"/>
    <x v="5"/>
    <s v="18:33"/>
    <s v="BBQ"/>
    <n v="98.44"/>
    <x v="2"/>
    <x v="0"/>
    <n v="60"/>
    <n v="3"/>
  </r>
  <r>
    <s v="ORD10518"/>
    <s v="CUST9670"/>
    <x v="9"/>
    <x v="9"/>
    <s v="2024-01-06"/>
    <n v="2024"/>
    <n v="1"/>
    <x v="16"/>
    <s v="14:28"/>
    <s v="Fast Food"/>
    <n v="192.99"/>
    <x v="1"/>
    <x v="1"/>
    <n v="61"/>
    <n v="1"/>
  </r>
  <r>
    <s v="ORD10519"/>
    <s v="CUST7133"/>
    <x v="0"/>
    <x v="5"/>
    <s v="2024-01-19"/>
    <n v="2024"/>
    <n v="1"/>
    <x v="15"/>
    <s v="20:37"/>
    <s v="Seafood"/>
    <n v="323.70999999999998"/>
    <x v="0"/>
    <x v="3"/>
    <n v="34"/>
    <n v="3"/>
  </r>
  <r>
    <s v="ORD10520"/>
    <s v="CUST7526"/>
    <x v="7"/>
    <x v="6"/>
    <s v="2024-01-22"/>
    <n v="2024"/>
    <n v="1"/>
    <x v="19"/>
    <s v="21:19"/>
    <s v="Beverages"/>
    <n v="183.35"/>
    <x v="0"/>
    <x v="1"/>
    <n v="45"/>
    <n v="5"/>
  </r>
  <r>
    <s v="ORD10521"/>
    <s v="CUST5584"/>
    <x v="4"/>
    <x v="7"/>
    <s v="2024-01-03"/>
    <n v="2024"/>
    <n v="1"/>
    <x v="27"/>
    <s v="13:23"/>
    <s v="Healthy"/>
    <n v="121.12"/>
    <x v="2"/>
    <x v="2"/>
    <n v="32"/>
    <n v="4"/>
  </r>
  <r>
    <s v="ORD10522"/>
    <s v="CUST8645"/>
    <x v="7"/>
    <x v="7"/>
    <s v="2024-01-02"/>
    <n v="2024"/>
    <n v="1"/>
    <x v="26"/>
    <s v="18:53"/>
    <s v="Desserts"/>
    <n v="263.42"/>
    <x v="3"/>
    <x v="2"/>
    <n v="21"/>
    <n v="4"/>
  </r>
  <r>
    <s v="ORD10523"/>
    <s v="CUST9095"/>
    <x v="9"/>
    <x v="2"/>
    <s v="2024-01-20"/>
    <n v="2024"/>
    <n v="1"/>
    <x v="23"/>
    <s v="23:57"/>
    <s v="Beverages"/>
    <n v="411.68"/>
    <x v="1"/>
    <x v="2"/>
    <n v="25"/>
    <n v="2"/>
  </r>
  <r>
    <s v="ORD10524"/>
    <s v="CUST3487"/>
    <x v="4"/>
    <x v="3"/>
    <s v="2024-01-18"/>
    <n v="2024"/>
    <n v="1"/>
    <x v="9"/>
    <s v="23:43"/>
    <s v="Sushi"/>
    <n v="414.22"/>
    <x v="0"/>
    <x v="2"/>
    <n v="18"/>
    <n v="4"/>
  </r>
  <r>
    <s v="ORD10525"/>
    <s v="CUST9184"/>
    <x v="2"/>
    <x v="7"/>
    <s v="2024-01-04"/>
    <n v="2024"/>
    <n v="1"/>
    <x v="22"/>
    <s v="21:13"/>
    <s v="Seafood"/>
    <n v="150.29"/>
    <x v="1"/>
    <x v="0"/>
    <n v="41"/>
    <n v="4"/>
  </r>
  <r>
    <s v="ORD10526"/>
    <s v="CUST2192"/>
    <x v="3"/>
    <x v="8"/>
    <s v="2024-01-25"/>
    <n v="2024"/>
    <n v="1"/>
    <x v="8"/>
    <s v="14:30"/>
    <s v="Desserts"/>
    <n v="64.489999999999995"/>
    <x v="1"/>
    <x v="3"/>
    <n v="46"/>
    <m/>
  </r>
  <r>
    <s v="ORD10527"/>
    <s v="CUST4362"/>
    <x v="0"/>
    <x v="6"/>
    <s v="2024-01-07"/>
    <n v="2024"/>
    <n v="1"/>
    <x v="18"/>
    <s v="16:51"/>
    <s v="Sushi"/>
    <n v="479.64"/>
    <x v="1"/>
    <x v="0"/>
    <n v="44"/>
    <n v="2"/>
  </r>
  <r>
    <s v="ORD10528"/>
    <s v="CUST3332"/>
    <x v="5"/>
    <x v="3"/>
    <s v="2024-01-17"/>
    <n v="2024"/>
    <n v="1"/>
    <x v="4"/>
    <s v="19:50"/>
    <s v="Beverages"/>
    <n v="246.49"/>
    <x v="2"/>
    <x v="2"/>
    <n v="67"/>
    <n v="3"/>
  </r>
  <r>
    <s v="ORD10529"/>
    <s v="CUST4081"/>
    <x v="1"/>
    <x v="2"/>
    <s v="2024-01-30"/>
    <n v="2024"/>
    <n v="1"/>
    <x v="30"/>
    <s v="21:27"/>
    <s v="Healthy"/>
    <n v="286.85000000000002"/>
    <x v="3"/>
    <x v="0"/>
    <n v="46"/>
    <n v="1"/>
  </r>
  <r>
    <s v="ORD10530"/>
    <s v="CUST1394"/>
    <x v="8"/>
    <x v="4"/>
    <s v="2024-01-13"/>
    <n v="2024"/>
    <n v="1"/>
    <x v="28"/>
    <s v="11:38"/>
    <s v="Desserts"/>
    <n v="237.97"/>
    <x v="0"/>
    <x v="0"/>
    <n v="45"/>
    <n v="5"/>
  </r>
  <r>
    <s v="ORD10531"/>
    <s v="CUST4618"/>
    <x v="2"/>
    <x v="6"/>
    <s v="2024-01-01"/>
    <n v="2024"/>
    <n v="1"/>
    <x v="25"/>
    <s v="22:11"/>
    <s v="BBQ"/>
    <n v="344.82"/>
    <x v="3"/>
    <x v="0"/>
    <n v="79"/>
    <n v="3"/>
  </r>
  <r>
    <s v="ORD10532"/>
    <s v="CUST4748"/>
    <x v="6"/>
    <x v="0"/>
    <s v="2024-01-10"/>
    <n v="2024"/>
    <n v="1"/>
    <x v="24"/>
    <s v="23:12"/>
    <s v="Healthy"/>
    <n v="337.35"/>
    <x v="0"/>
    <x v="2"/>
    <n v="42"/>
    <m/>
  </r>
  <r>
    <s v="ORD10533"/>
    <s v="CUST3703"/>
    <x v="4"/>
    <x v="6"/>
    <s v="2024-01-22"/>
    <n v="2024"/>
    <n v="1"/>
    <x v="19"/>
    <s v="17:36"/>
    <s v="Desserts"/>
    <n v="396.62"/>
    <x v="1"/>
    <x v="0"/>
    <n v="83"/>
    <n v="1"/>
  </r>
  <r>
    <s v="ORD10534"/>
    <s v="CUST2884"/>
    <x v="7"/>
    <x v="2"/>
    <s v="2024-01-14"/>
    <n v="2024"/>
    <n v="1"/>
    <x v="2"/>
    <s v="15:16"/>
    <s v="Fast Food"/>
    <n v="377.11"/>
    <x v="3"/>
    <x v="1"/>
    <n v="71"/>
    <n v="3"/>
  </r>
  <r>
    <s v="ORD10535"/>
    <s v="CUST8811"/>
    <x v="9"/>
    <x v="5"/>
    <s v="2024-01-25"/>
    <n v="2024"/>
    <n v="1"/>
    <x v="8"/>
    <s v="11:19"/>
    <s v="Fast Food"/>
    <n v="454.26"/>
    <x v="0"/>
    <x v="1"/>
    <n v="35"/>
    <n v="3"/>
  </r>
  <r>
    <s v="ORD10536"/>
    <s v="CUST7578"/>
    <x v="0"/>
    <x v="0"/>
    <s v="2024-01-30"/>
    <n v="2024"/>
    <n v="1"/>
    <x v="30"/>
    <s v="23:52"/>
    <s v="Seafood"/>
    <n v="232.98"/>
    <x v="0"/>
    <x v="3"/>
    <n v="63"/>
    <n v="3"/>
  </r>
  <r>
    <s v="ORD10537"/>
    <s v="CUST7657"/>
    <x v="4"/>
    <x v="9"/>
    <s v="2024-01-13"/>
    <n v="2024"/>
    <n v="1"/>
    <x v="28"/>
    <s v="10:18"/>
    <s v="Sushi"/>
    <n v="396.19"/>
    <x v="3"/>
    <x v="2"/>
    <n v="44"/>
    <n v="3"/>
  </r>
  <r>
    <s v="ORD10538"/>
    <s v="CUST1546"/>
    <x v="8"/>
    <x v="1"/>
    <s v="2024-01-17"/>
    <n v="2024"/>
    <n v="1"/>
    <x v="4"/>
    <s v="12:17"/>
    <s v="Sushi"/>
    <n v="334.8"/>
    <x v="2"/>
    <x v="3"/>
    <n v="23"/>
    <m/>
  </r>
  <r>
    <s v="ORD10539"/>
    <s v="CUST2663"/>
    <x v="9"/>
    <x v="9"/>
    <s v="2024-01-17"/>
    <n v="2024"/>
    <n v="1"/>
    <x v="4"/>
    <s v="20:12"/>
    <s v="Beverages"/>
    <n v="443.62"/>
    <x v="0"/>
    <x v="2"/>
    <n v="76"/>
    <m/>
  </r>
  <r>
    <s v="ORD10540"/>
    <s v="CUST7404"/>
    <x v="0"/>
    <x v="9"/>
    <s v="2024-01-29"/>
    <n v="2024"/>
    <n v="1"/>
    <x v="17"/>
    <s v="12:25"/>
    <s v="Seafood"/>
    <n v="415.35"/>
    <x v="2"/>
    <x v="1"/>
    <n v="55"/>
    <n v="5"/>
  </r>
  <r>
    <s v="ORD10541"/>
    <s v="CUST1067"/>
    <x v="0"/>
    <x v="5"/>
    <s v="2024-01-20"/>
    <n v="2024"/>
    <n v="1"/>
    <x v="23"/>
    <s v="17:17"/>
    <s v="Healthy"/>
    <n v="329.73"/>
    <x v="1"/>
    <x v="0"/>
    <n v="39"/>
    <m/>
  </r>
  <r>
    <s v="ORD10542"/>
    <s v="CUST4667"/>
    <x v="7"/>
    <x v="4"/>
    <s v="2024-01-22"/>
    <n v="2024"/>
    <n v="1"/>
    <x v="19"/>
    <s v="17:55"/>
    <s v="Seafood"/>
    <n v="318.45"/>
    <x v="3"/>
    <x v="3"/>
    <n v="38"/>
    <n v="3"/>
  </r>
  <r>
    <s v="ORD10543"/>
    <s v="CUST4327"/>
    <x v="5"/>
    <x v="6"/>
    <s v="2024-01-10"/>
    <n v="2024"/>
    <n v="1"/>
    <x v="24"/>
    <s v="17:16"/>
    <s v="Pizza"/>
    <n v="165"/>
    <x v="0"/>
    <x v="3"/>
    <n v="70"/>
    <n v="4"/>
  </r>
  <r>
    <s v="ORD10544"/>
    <s v="CUST1827"/>
    <x v="0"/>
    <x v="4"/>
    <s v="2024-01-27"/>
    <n v="2024"/>
    <n v="1"/>
    <x v="7"/>
    <s v="20:11"/>
    <s v="Seafood"/>
    <n v="77.98"/>
    <x v="0"/>
    <x v="2"/>
    <n v="86"/>
    <n v="1"/>
  </r>
  <r>
    <s v="ORD10545"/>
    <s v="CUST6989"/>
    <x v="5"/>
    <x v="2"/>
    <s v="2024-01-26"/>
    <n v="2024"/>
    <n v="1"/>
    <x v="12"/>
    <s v="16:11"/>
    <s v="Desserts"/>
    <n v="169.29"/>
    <x v="1"/>
    <x v="2"/>
    <n v="90"/>
    <n v="1"/>
  </r>
  <r>
    <s v="ORD10546"/>
    <s v="CUST7337"/>
    <x v="6"/>
    <x v="8"/>
    <s v="2024-01-29"/>
    <n v="2024"/>
    <n v="1"/>
    <x v="17"/>
    <s v="19:14"/>
    <s v="Sushi"/>
    <n v="275.39999999999998"/>
    <x v="2"/>
    <x v="3"/>
    <n v="47"/>
    <n v="4"/>
  </r>
  <r>
    <s v="ORD10547"/>
    <s v="CUST3755"/>
    <x v="6"/>
    <x v="2"/>
    <s v="2024-01-22"/>
    <n v="2024"/>
    <n v="1"/>
    <x v="19"/>
    <s v="12:13"/>
    <s v="Desserts"/>
    <n v="243.69"/>
    <x v="3"/>
    <x v="3"/>
    <n v="16"/>
    <n v="3"/>
  </r>
  <r>
    <s v="ORD10548"/>
    <s v="CUST9191"/>
    <x v="0"/>
    <x v="7"/>
    <s v="2024-01-23"/>
    <n v="2024"/>
    <n v="1"/>
    <x v="11"/>
    <s v="23:48"/>
    <s v="Healthy"/>
    <n v="383.29"/>
    <x v="2"/>
    <x v="0"/>
    <n v="69"/>
    <n v="5"/>
  </r>
  <r>
    <s v="ORD10549"/>
    <s v="CUST9256"/>
    <x v="9"/>
    <x v="4"/>
    <s v="2024-01-07"/>
    <n v="2024"/>
    <n v="1"/>
    <x v="18"/>
    <s v="13:13"/>
    <s v="Fast Food"/>
    <n v="300.95999999999998"/>
    <x v="0"/>
    <x v="2"/>
    <n v="75"/>
    <n v="2"/>
  </r>
  <r>
    <s v="ORD10550"/>
    <s v="CUST3867"/>
    <x v="8"/>
    <x v="1"/>
    <s v="2024-01-20"/>
    <n v="2024"/>
    <n v="1"/>
    <x v="23"/>
    <s v="16:44"/>
    <s v="Fast Food"/>
    <n v="382.17"/>
    <x v="0"/>
    <x v="1"/>
    <n v="50"/>
    <n v="1"/>
  </r>
  <r>
    <s v="ORD10551"/>
    <s v="CUST3117"/>
    <x v="9"/>
    <x v="3"/>
    <s v="2024-01-02"/>
    <n v="2024"/>
    <n v="1"/>
    <x v="26"/>
    <s v="23:57"/>
    <s v="BBQ"/>
    <n v="155.96"/>
    <x v="2"/>
    <x v="0"/>
    <n v="52"/>
    <n v="1"/>
  </r>
  <r>
    <s v="ORD10552"/>
    <s v="CUST1667"/>
    <x v="5"/>
    <x v="1"/>
    <s v="2024-01-24"/>
    <n v="2024"/>
    <n v="1"/>
    <x v="14"/>
    <s v="16:55"/>
    <s v="Fast Food"/>
    <n v="70.45"/>
    <x v="2"/>
    <x v="1"/>
    <n v="58"/>
    <n v="1"/>
  </r>
  <r>
    <s v="ORD10553"/>
    <s v="CUST5443"/>
    <x v="4"/>
    <x v="3"/>
    <s v="2024-01-26"/>
    <n v="2024"/>
    <n v="1"/>
    <x v="12"/>
    <s v="21:35"/>
    <s v="BBQ"/>
    <n v="207.03"/>
    <x v="1"/>
    <x v="3"/>
    <n v="44"/>
    <n v="1"/>
  </r>
  <r>
    <s v="ORD10554"/>
    <s v="CUST3891"/>
    <x v="1"/>
    <x v="8"/>
    <s v="2024-01-17"/>
    <n v="2024"/>
    <n v="1"/>
    <x v="4"/>
    <s v="12:10"/>
    <s v="Sushi"/>
    <n v="194.98"/>
    <x v="0"/>
    <x v="1"/>
    <n v="90"/>
    <n v="4"/>
  </r>
  <r>
    <s v="ORD10555"/>
    <s v="CUST1135"/>
    <x v="1"/>
    <x v="3"/>
    <s v="2024-01-13"/>
    <n v="2024"/>
    <n v="1"/>
    <x v="28"/>
    <s v="22:38"/>
    <s v="Fast Food"/>
    <n v="250.21"/>
    <x v="1"/>
    <x v="2"/>
    <n v="22"/>
    <n v="4"/>
  </r>
  <r>
    <s v="ORD10556"/>
    <s v="CUST2227"/>
    <x v="0"/>
    <x v="2"/>
    <s v="2024-01-16"/>
    <n v="2024"/>
    <n v="1"/>
    <x v="10"/>
    <s v="14:53"/>
    <s v="Healthy"/>
    <n v="434.61"/>
    <x v="3"/>
    <x v="1"/>
    <n v="24"/>
    <n v="1"/>
  </r>
  <r>
    <s v="ORD10557"/>
    <s v="CUST2002"/>
    <x v="9"/>
    <x v="6"/>
    <s v="2024-01-30"/>
    <n v="2024"/>
    <n v="1"/>
    <x v="30"/>
    <s v="10:45"/>
    <s v="Sushi"/>
    <n v="188.35"/>
    <x v="2"/>
    <x v="1"/>
    <n v="52"/>
    <n v="1"/>
  </r>
  <r>
    <s v="ORD10558"/>
    <s v="CUST6365"/>
    <x v="2"/>
    <x v="5"/>
    <s v="2024-01-04"/>
    <n v="2024"/>
    <n v="1"/>
    <x v="22"/>
    <s v="19:28"/>
    <s v="BBQ"/>
    <n v="68.239999999999995"/>
    <x v="3"/>
    <x v="2"/>
    <n v="23"/>
    <n v="5"/>
  </r>
  <r>
    <s v="ORD10559"/>
    <s v="CUST6734"/>
    <x v="7"/>
    <x v="3"/>
    <s v="2024-01-29"/>
    <n v="2024"/>
    <n v="1"/>
    <x v="17"/>
    <s v="15:22"/>
    <s v="Seafood"/>
    <n v="353.24"/>
    <x v="0"/>
    <x v="0"/>
    <n v="45"/>
    <n v="4"/>
  </r>
  <r>
    <s v="ORD10560"/>
    <s v="CUST4185"/>
    <x v="8"/>
    <x v="5"/>
    <s v="2024-01-12"/>
    <n v="2024"/>
    <n v="1"/>
    <x v="29"/>
    <s v="17:48"/>
    <s v="BBQ"/>
    <n v="351.4"/>
    <x v="2"/>
    <x v="1"/>
    <n v="64"/>
    <n v="4"/>
  </r>
  <r>
    <s v="ORD10561"/>
    <s v="CUST9800"/>
    <x v="3"/>
    <x v="8"/>
    <s v="2024-01-29"/>
    <n v="2024"/>
    <n v="1"/>
    <x v="17"/>
    <s v="18:24"/>
    <s v="Seafood"/>
    <n v="383.74"/>
    <x v="0"/>
    <x v="3"/>
    <n v="52"/>
    <n v="4"/>
  </r>
  <r>
    <s v="ORD10562"/>
    <s v="CUST4588"/>
    <x v="5"/>
    <x v="9"/>
    <s v="2024-01-14"/>
    <n v="2024"/>
    <n v="1"/>
    <x v="2"/>
    <s v="15:29"/>
    <s v="BBQ"/>
    <n v="184.89"/>
    <x v="2"/>
    <x v="0"/>
    <n v="71"/>
    <n v="1"/>
  </r>
  <r>
    <s v="ORD10563"/>
    <s v="CUST6758"/>
    <x v="3"/>
    <x v="7"/>
    <s v="2024-01-25"/>
    <n v="2024"/>
    <n v="1"/>
    <x v="8"/>
    <s v="18:36"/>
    <s v="Sushi"/>
    <n v="131.05000000000001"/>
    <x v="0"/>
    <x v="0"/>
    <n v="56"/>
    <n v="3"/>
  </r>
  <r>
    <s v="ORD10564"/>
    <s v="CUST4230"/>
    <x v="7"/>
    <x v="7"/>
    <s v="2024-01-15"/>
    <n v="2024"/>
    <n v="1"/>
    <x v="13"/>
    <s v="23:37"/>
    <s v="Healthy"/>
    <n v="56.73"/>
    <x v="2"/>
    <x v="0"/>
    <n v="69"/>
    <n v="2"/>
  </r>
  <r>
    <s v="ORD10565"/>
    <s v="CUST6910"/>
    <x v="6"/>
    <x v="0"/>
    <s v="2024-01-15"/>
    <n v="2024"/>
    <n v="1"/>
    <x v="13"/>
    <s v="18:22"/>
    <s v="Beverages"/>
    <n v="495.43"/>
    <x v="2"/>
    <x v="1"/>
    <n v="89"/>
    <m/>
  </r>
  <r>
    <s v="ORD10566"/>
    <s v="CUST8434"/>
    <x v="1"/>
    <x v="0"/>
    <s v="2024-01-19"/>
    <n v="2024"/>
    <n v="1"/>
    <x v="15"/>
    <s v="12:12"/>
    <s v="Healthy"/>
    <n v="242.52"/>
    <x v="1"/>
    <x v="1"/>
    <n v="50"/>
    <n v="3"/>
  </r>
  <r>
    <s v="ORD10567"/>
    <s v="CUST5823"/>
    <x v="2"/>
    <x v="7"/>
    <s v="2024-01-28"/>
    <n v="2024"/>
    <n v="1"/>
    <x v="21"/>
    <s v="23:29"/>
    <s v="Beverages"/>
    <n v="284.67"/>
    <x v="1"/>
    <x v="0"/>
    <n v="23"/>
    <n v="1"/>
  </r>
  <r>
    <s v="ORD10568"/>
    <s v="CUST7562"/>
    <x v="9"/>
    <x v="3"/>
    <s v="2024-01-20"/>
    <n v="2024"/>
    <n v="1"/>
    <x v="23"/>
    <s v="17:23"/>
    <s v="Seafood"/>
    <n v="109.98"/>
    <x v="3"/>
    <x v="1"/>
    <n v="39"/>
    <n v="5"/>
  </r>
  <r>
    <s v="ORD10569"/>
    <s v="CUST6303"/>
    <x v="3"/>
    <x v="2"/>
    <s v="2024-01-28"/>
    <n v="2024"/>
    <n v="1"/>
    <x v="21"/>
    <s v="16:32"/>
    <s v="Desserts"/>
    <n v="256.58"/>
    <x v="0"/>
    <x v="1"/>
    <n v="46"/>
    <m/>
  </r>
  <r>
    <s v="ORD10570"/>
    <s v="CUST4996"/>
    <x v="0"/>
    <x v="1"/>
    <s v="2024-01-22"/>
    <n v="2024"/>
    <n v="1"/>
    <x v="19"/>
    <s v="16:13"/>
    <s v="Sushi"/>
    <n v="427.94"/>
    <x v="3"/>
    <x v="3"/>
    <n v="20"/>
    <m/>
  </r>
  <r>
    <s v="ORD10571"/>
    <s v="CUST2565"/>
    <x v="6"/>
    <x v="4"/>
    <s v="2024-01-17"/>
    <n v="2024"/>
    <n v="1"/>
    <x v="4"/>
    <s v="17:18"/>
    <s v="Sushi"/>
    <n v="201.87"/>
    <x v="0"/>
    <x v="1"/>
    <n v="46"/>
    <n v="3"/>
  </r>
  <r>
    <s v="ORD10572"/>
    <s v="CUST4426"/>
    <x v="8"/>
    <x v="9"/>
    <s v="2024-01-04"/>
    <n v="2024"/>
    <n v="1"/>
    <x v="22"/>
    <s v="20:51"/>
    <s v="Desserts"/>
    <n v="192.48"/>
    <x v="1"/>
    <x v="2"/>
    <n v="88"/>
    <m/>
  </r>
  <r>
    <s v="ORD10573"/>
    <s v="CUST5160"/>
    <x v="3"/>
    <x v="2"/>
    <s v="2024-01-11"/>
    <n v="2024"/>
    <n v="1"/>
    <x v="3"/>
    <s v="19:14"/>
    <s v="Fast Food"/>
    <n v="81.760000000000005"/>
    <x v="0"/>
    <x v="3"/>
    <n v="79"/>
    <n v="2"/>
  </r>
  <r>
    <s v="ORD10574"/>
    <s v="CUST7145"/>
    <x v="2"/>
    <x v="5"/>
    <s v="2024-01-11"/>
    <n v="2024"/>
    <n v="1"/>
    <x v="3"/>
    <s v="13:21"/>
    <s v="Seafood"/>
    <n v="478.76"/>
    <x v="2"/>
    <x v="0"/>
    <n v="86"/>
    <n v="3"/>
  </r>
  <r>
    <s v="ORD10575"/>
    <s v="CUST2574"/>
    <x v="2"/>
    <x v="2"/>
    <s v="2024-01-13"/>
    <n v="2024"/>
    <n v="1"/>
    <x v="28"/>
    <s v="23:53"/>
    <s v="Beverages"/>
    <n v="100.21"/>
    <x v="1"/>
    <x v="2"/>
    <n v="38"/>
    <n v="5"/>
  </r>
  <r>
    <s v="ORD10576"/>
    <s v="CUST5780"/>
    <x v="9"/>
    <x v="0"/>
    <s v="2024-01-23"/>
    <n v="2024"/>
    <n v="1"/>
    <x v="11"/>
    <s v="15:33"/>
    <s v="Pizza"/>
    <n v="382.89"/>
    <x v="3"/>
    <x v="1"/>
    <n v="82"/>
    <n v="2"/>
  </r>
  <r>
    <s v="ORD10577"/>
    <s v="CUST6944"/>
    <x v="7"/>
    <x v="1"/>
    <s v="2024-01-30"/>
    <n v="2024"/>
    <n v="1"/>
    <x v="30"/>
    <s v="12:13"/>
    <s v="Beverages"/>
    <n v="76.760000000000005"/>
    <x v="1"/>
    <x v="0"/>
    <n v="52"/>
    <n v="1"/>
  </r>
  <r>
    <s v="ORD10578"/>
    <s v="CUST4910"/>
    <x v="8"/>
    <x v="7"/>
    <s v="2024-01-17"/>
    <n v="2024"/>
    <n v="1"/>
    <x v="4"/>
    <s v="19:46"/>
    <s v="BBQ"/>
    <n v="497.02"/>
    <x v="3"/>
    <x v="0"/>
    <n v="19"/>
    <n v="2"/>
  </r>
  <r>
    <s v="ORD10579"/>
    <s v="CUST3660"/>
    <x v="3"/>
    <x v="5"/>
    <s v="2024-01-07"/>
    <n v="2024"/>
    <n v="1"/>
    <x v="18"/>
    <s v="11:38"/>
    <s v="Sushi"/>
    <n v="393.7"/>
    <x v="1"/>
    <x v="2"/>
    <n v="72"/>
    <n v="1"/>
  </r>
  <r>
    <s v="ORD10580"/>
    <s v="CUST3793"/>
    <x v="4"/>
    <x v="4"/>
    <s v="2024-01-01"/>
    <n v="2024"/>
    <n v="1"/>
    <x v="25"/>
    <s v="23:25"/>
    <s v="BBQ"/>
    <n v="258.95999999999998"/>
    <x v="0"/>
    <x v="3"/>
    <n v="75"/>
    <n v="4"/>
  </r>
  <r>
    <s v="ORD10581"/>
    <s v="CUST4823"/>
    <x v="3"/>
    <x v="1"/>
    <s v="2024-01-05"/>
    <n v="2024"/>
    <n v="1"/>
    <x v="20"/>
    <s v="11:55"/>
    <s v="Sushi"/>
    <n v="328.02"/>
    <x v="1"/>
    <x v="0"/>
    <n v="27"/>
    <n v="4"/>
  </r>
  <r>
    <s v="ORD10582"/>
    <s v="CUST3357"/>
    <x v="5"/>
    <x v="0"/>
    <s v="2024-01-23"/>
    <n v="2024"/>
    <n v="1"/>
    <x v="11"/>
    <s v="23:16"/>
    <s v="Fast Food"/>
    <n v="353.78"/>
    <x v="3"/>
    <x v="3"/>
    <n v="29"/>
    <n v="2"/>
  </r>
  <r>
    <s v="ORD10583"/>
    <s v="CUST7128"/>
    <x v="5"/>
    <x v="2"/>
    <s v="2024-01-25"/>
    <n v="2024"/>
    <n v="1"/>
    <x v="8"/>
    <s v="18:28"/>
    <s v="Seafood"/>
    <n v="484.25"/>
    <x v="3"/>
    <x v="2"/>
    <n v="19"/>
    <n v="1"/>
  </r>
  <r>
    <s v="ORD10584"/>
    <s v="CUST1922"/>
    <x v="2"/>
    <x v="7"/>
    <s v="2024-01-13"/>
    <n v="2024"/>
    <n v="1"/>
    <x v="28"/>
    <s v="10:17"/>
    <s v="Beverages"/>
    <n v="378.36"/>
    <x v="3"/>
    <x v="1"/>
    <n v="38"/>
    <m/>
  </r>
  <r>
    <s v="ORD10585"/>
    <s v="CUST1150"/>
    <x v="3"/>
    <x v="8"/>
    <s v="2024-01-05"/>
    <n v="2024"/>
    <n v="1"/>
    <x v="20"/>
    <s v="20:38"/>
    <s v="Seafood"/>
    <n v="244.96"/>
    <x v="3"/>
    <x v="3"/>
    <n v="54"/>
    <m/>
  </r>
  <r>
    <s v="ORD10586"/>
    <s v="CUST9652"/>
    <x v="9"/>
    <x v="9"/>
    <s v="2024-01-07"/>
    <n v="2024"/>
    <n v="1"/>
    <x v="18"/>
    <s v="16:23"/>
    <s v="Sushi"/>
    <n v="204.03"/>
    <x v="1"/>
    <x v="0"/>
    <n v="55"/>
    <n v="4"/>
  </r>
  <r>
    <s v="ORD10587"/>
    <s v="CUST7670"/>
    <x v="5"/>
    <x v="3"/>
    <s v="2024-01-23"/>
    <n v="2024"/>
    <n v="1"/>
    <x v="11"/>
    <s v="13:24"/>
    <s v="Sushi"/>
    <n v="126.64"/>
    <x v="1"/>
    <x v="3"/>
    <n v="56"/>
    <n v="2"/>
  </r>
  <r>
    <s v="ORD10588"/>
    <s v="CUST5834"/>
    <x v="0"/>
    <x v="3"/>
    <s v="2024-01-27"/>
    <n v="2024"/>
    <n v="1"/>
    <x v="7"/>
    <s v="10:17"/>
    <s v="Fast Food"/>
    <n v="146.1"/>
    <x v="1"/>
    <x v="2"/>
    <n v="62"/>
    <n v="4"/>
  </r>
  <r>
    <s v="ORD10589"/>
    <s v="CUST6155"/>
    <x v="8"/>
    <x v="1"/>
    <s v="2024-01-30"/>
    <n v="2024"/>
    <n v="1"/>
    <x v="30"/>
    <s v="21:11"/>
    <s v="BBQ"/>
    <n v="413.22"/>
    <x v="2"/>
    <x v="3"/>
    <n v="53"/>
    <m/>
  </r>
  <r>
    <s v="ORD10590"/>
    <s v="CUST1609"/>
    <x v="2"/>
    <x v="5"/>
    <s v="2024-01-27"/>
    <n v="2024"/>
    <n v="1"/>
    <x v="7"/>
    <s v="18:11"/>
    <s v="Desserts"/>
    <n v="493.22"/>
    <x v="2"/>
    <x v="3"/>
    <n v="78"/>
    <n v="5"/>
  </r>
  <r>
    <s v="ORD10591"/>
    <s v="CUST4113"/>
    <x v="4"/>
    <x v="8"/>
    <s v="2024-01-01"/>
    <n v="2024"/>
    <n v="1"/>
    <x v="25"/>
    <s v="22:21"/>
    <s v="Fast Food"/>
    <n v="451.1"/>
    <x v="2"/>
    <x v="2"/>
    <n v="82"/>
    <n v="2"/>
  </r>
  <r>
    <s v="ORD10592"/>
    <s v="CUST8698"/>
    <x v="3"/>
    <x v="5"/>
    <s v="2024-01-17"/>
    <n v="2024"/>
    <n v="1"/>
    <x v="4"/>
    <s v="22:41"/>
    <s v="Fast Food"/>
    <n v="282.43"/>
    <x v="0"/>
    <x v="0"/>
    <n v="52"/>
    <n v="4"/>
  </r>
  <r>
    <s v="ORD10593"/>
    <s v="CUST1330"/>
    <x v="9"/>
    <x v="3"/>
    <s v="2024-01-25"/>
    <n v="2024"/>
    <n v="1"/>
    <x v="8"/>
    <s v="17:51"/>
    <s v="Beverages"/>
    <n v="396.98"/>
    <x v="0"/>
    <x v="1"/>
    <n v="21"/>
    <n v="3"/>
  </r>
  <r>
    <s v="ORD10594"/>
    <s v="CUST4106"/>
    <x v="9"/>
    <x v="7"/>
    <s v="2024-01-06"/>
    <n v="2024"/>
    <n v="1"/>
    <x v="16"/>
    <s v="13:50"/>
    <s v="Seafood"/>
    <n v="103.88"/>
    <x v="3"/>
    <x v="0"/>
    <n v="20"/>
    <n v="1"/>
  </r>
  <r>
    <s v="ORD10595"/>
    <s v="CUST9447"/>
    <x v="3"/>
    <x v="6"/>
    <s v="2024-01-05"/>
    <n v="2024"/>
    <n v="1"/>
    <x v="20"/>
    <s v="21:39"/>
    <s v="Desserts"/>
    <n v="425.22"/>
    <x v="3"/>
    <x v="0"/>
    <n v="66"/>
    <n v="3"/>
  </r>
  <r>
    <s v="ORD10596"/>
    <s v="CUST7524"/>
    <x v="2"/>
    <x v="9"/>
    <s v="2024-01-04"/>
    <n v="2024"/>
    <n v="1"/>
    <x v="22"/>
    <s v="20:35"/>
    <s v="Sushi"/>
    <n v="156.21"/>
    <x v="1"/>
    <x v="1"/>
    <n v="71"/>
    <m/>
  </r>
  <r>
    <s v="ORD10597"/>
    <s v="CUST3918"/>
    <x v="8"/>
    <x v="4"/>
    <s v="2024-01-03"/>
    <n v="2024"/>
    <n v="1"/>
    <x v="27"/>
    <s v="21:18"/>
    <s v="Pizza"/>
    <n v="338.63"/>
    <x v="1"/>
    <x v="3"/>
    <n v="62"/>
    <n v="1"/>
  </r>
  <r>
    <s v="ORD10598"/>
    <s v="CUST8290"/>
    <x v="3"/>
    <x v="6"/>
    <s v="2024-01-09"/>
    <n v="2024"/>
    <n v="1"/>
    <x v="0"/>
    <s v="10:49"/>
    <s v="Beverages"/>
    <n v="426.35"/>
    <x v="0"/>
    <x v="2"/>
    <n v="89"/>
    <n v="3"/>
  </r>
  <r>
    <s v="ORD10599"/>
    <s v="CUST2578"/>
    <x v="0"/>
    <x v="5"/>
    <s v="2024-01-09"/>
    <n v="2024"/>
    <n v="1"/>
    <x v="0"/>
    <s v="12:39"/>
    <s v="Fast Food"/>
    <n v="459.95"/>
    <x v="3"/>
    <x v="2"/>
    <n v="62"/>
    <n v="5"/>
  </r>
  <r>
    <s v="ORD10600"/>
    <s v="CUST5163"/>
    <x v="2"/>
    <x v="0"/>
    <s v="2024-01-27"/>
    <n v="2024"/>
    <n v="1"/>
    <x v="7"/>
    <s v="17:37"/>
    <s v="Seafood"/>
    <n v="287.17"/>
    <x v="0"/>
    <x v="1"/>
    <n v="89"/>
    <n v="1"/>
  </r>
  <r>
    <s v="ORD10601"/>
    <s v="CUST2540"/>
    <x v="5"/>
    <x v="1"/>
    <s v="2024-01-21"/>
    <n v="2024"/>
    <n v="1"/>
    <x v="1"/>
    <s v="23:10"/>
    <s v="Desserts"/>
    <n v="459.47"/>
    <x v="2"/>
    <x v="3"/>
    <n v="78"/>
    <m/>
  </r>
  <r>
    <s v="ORD10602"/>
    <s v="CUST4939"/>
    <x v="0"/>
    <x v="2"/>
    <s v="2024-01-27"/>
    <n v="2024"/>
    <n v="1"/>
    <x v="7"/>
    <s v="12:26"/>
    <s v="Sushi"/>
    <n v="334.22"/>
    <x v="3"/>
    <x v="1"/>
    <n v="80"/>
    <n v="3"/>
  </r>
  <r>
    <s v="ORD10603"/>
    <s v="CUST3762"/>
    <x v="0"/>
    <x v="9"/>
    <s v="2024-01-31"/>
    <n v="2024"/>
    <n v="1"/>
    <x v="6"/>
    <s v="19:24"/>
    <s v="Pizza"/>
    <n v="332.86"/>
    <x v="3"/>
    <x v="1"/>
    <n v="45"/>
    <n v="5"/>
  </r>
  <r>
    <s v="ORD10604"/>
    <s v="CUST6701"/>
    <x v="0"/>
    <x v="2"/>
    <s v="2024-01-30"/>
    <n v="2024"/>
    <n v="1"/>
    <x v="30"/>
    <s v="13:20"/>
    <s v="Sushi"/>
    <n v="307.57"/>
    <x v="0"/>
    <x v="3"/>
    <n v="47"/>
    <n v="2"/>
  </r>
  <r>
    <s v="ORD10605"/>
    <s v="CUST6909"/>
    <x v="5"/>
    <x v="0"/>
    <s v="2024-01-11"/>
    <n v="2024"/>
    <n v="1"/>
    <x v="3"/>
    <s v="19:10"/>
    <s v="Sushi"/>
    <n v="481.23"/>
    <x v="2"/>
    <x v="2"/>
    <n v="27"/>
    <n v="5"/>
  </r>
  <r>
    <s v="ORD10606"/>
    <s v="CUST5983"/>
    <x v="2"/>
    <x v="0"/>
    <s v="2024-01-13"/>
    <n v="2024"/>
    <n v="1"/>
    <x v="28"/>
    <s v="20:16"/>
    <s v="BBQ"/>
    <n v="198.85"/>
    <x v="2"/>
    <x v="2"/>
    <n v="62"/>
    <n v="3"/>
  </r>
  <r>
    <s v="ORD10607"/>
    <s v="CUST5997"/>
    <x v="2"/>
    <x v="2"/>
    <s v="2024-01-10"/>
    <n v="2024"/>
    <n v="1"/>
    <x v="24"/>
    <s v="20:21"/>
    <s v="Beverages"/>
    <n v="498.17"/>
    <x v="3"/>
    <x v="1"/>
    <n v="41"/>
    <n v="5"/>
  </r>
  <r>
    <s v="ORD10608"/>
    <s v="CUST1745"/>
    <x v="6"/>
    <x v="3"/>
    <s v="2024-01-01"/>
    <n v="2024"/>
    <n v="1"/>
    <x v="25"/>
    <s v="23:16"/>
    <s v="Seafood"/>
    <n v="178.34"/>
    <x v="1"/>
    <x v="2"/>
    <n v="39"/>
    <m/>
  </r>
  <r>
    <s v="ORD10609"/>
    <s v="CUST8703"/>
    <x v="5"/>
    <x v="0"/>
    <s v="2024-01-17"/>
    <n v="2024"/>
    <n v="1"/>
    <x v="4"/>
    <s v="14:20"/>
    <s v="Fast Food"/>
    <n v="302.2"/>
    <x v="0"/>
    <x v="1"/>
    <n v="61"/>
    <n v="3"/>
  </r>
  <r>
    <s v="ORD10610"/>
    <s v="CUST6769"/>
    <x v="7"/>
    <x v="0"/>
    <s v="2024-01-19"/>
    <n v="2024"/>
    <n v="1"/>
    <x v="15"/>
    <s v="23:18"/>
    <s v="Seafood"/>
    <n v="170.67"/>
    <x v="0"/>
    <x v="2"/>
    <n v="35"/>
    <n v="4"/>
  </r>
  <r>
    <s v="ORD10611"/>
    <s v="CUST4470"/>
    <x v="8"/>
    <x v="7"/>
    <s v="2024-01-17"/>
    <n v="2024"/>
    <n v="1"/>
    <x v="4"/>
    <s v="23:47"/>
    <s v="Sushi"/>
    <n v="235.78"/>
    <x v="2"/>
    <x v="2"/>
    <n v="69"/>
    <n v="5"/>
  </r>
  <r>
    <s v="ORD10612"/>
    <s v="CUST5864"/>
    <x v="7"/>
    <x v="5"/>
    <s v="2024-01-13"/>
    <n v="2024"/>
    <n v="1"/>
    <x v="28"/>
    <s v="20:27"/>
    <s v="Sushi"/>
    <n v="134.56"/>
    <x v="1"/>
    <x v="0"/>
    <n v="77"/>
    <n v="3"/>
  </r>
  <r>
    <s v="ORD10613"/>
    <s v="CUST9463"/>
    <x v="7"/>
    <x v="5"/>
    <s v="2024-01-04"/>
    <n v="2024"/>
    <n v="1"/>
    <x v="22"/>
    <s v="21:19"/>
    <s v="Healthy"/>
    <n v="334.7"/>
    <x v="1"/>
    <x v="1"/>
    <n v="46"/>
    <n v="2"/>
  </r>
  <r>
    <s v="ORD10614"/>
    <s v="CUST2383"/>
    <x v="0"/>
    <x v="8"/>
    <s v="2024-01-04"/>
    <n v="2024"/>
    <n v="1"/>
    <x v="22"/>
    <s v="15:38"/>
    <s v="Fast Food"/>
    <n v="184.73"/>
    <x v="0"/>
    <x v="3"/>
    <n v="61"/>
    <n v="1"/>
  </r>
  <r>
    <s v="ORD10615"/>
    <s v="CUST8060"/>
    <x v="5"/>
    <x v="1"/>
    <s v="2024-01-12"/>
    <n v="2024"/>
    <n v="1"/>
    <x v="29"/>
    <s v="18:11"/>
    <s v="BBQ"/>
    <n v="124.27"/>
    <x v="0"/>
    <x v="0"/>
    <n v="23"/>
    <n v="1"/>
  </r>
  <r>
    <s v="ORD10616"/>
    <s v="CUST7731"/>
    <x v="3"/>
    <x v="1"/>
    <s v="2024-01-03"/>
    <n v="2024"/>
    <n v="1"/>
    <x v="27"/>
    <s v="18:24"/>
    <s v="Desserts"/>
    <n v="401.39"/>
    <x v="3"/>
    <x v="3"/>
    <n v="74"/>
    <n v="4"/>
  </r>
  <r>
    <s v="ORD10617"/>
    <s v="CUST9487"/>
    <x v="7"/>
    <x v="9"/>
    <s v="2024-01-11"/>
    <n v="2024"/>
    <n v="1"/>
    <x v="3"/>
    <s v="23:16"/>
    <s v="Beverages"/>
    <n v="498.76"/>
    <x v="0"/>
    <x v="1"/>
    <n v="53"/>
    <n v="1"/>
  </r>
  <r>
    <s v="ORD10618"/>
    <s v="CUST2204"/>
    <x v="6"/>
    <x v="3"/>
    <s v="2024-01-22"/>
    <n v="2024"/>
    <n v="1"/>
    <x v="19"/>
    <s v="18:40"/>
    <s v="Desserts"/>
    <n v="255.95"/>
    <x v="3"/>
    <x v="2"/>
    <n v="64"/>
    <m/>
  </r>
  <r>
    <s v="ORD10619"/>
    <s v="CUST1011"/>
    <x v="4"/>
    <x v="4"/>
    <s v="2024-01-05"/>
    <n v="2024"/>
    <n v="1"/>
    <x v="20"/>
    <s v="15:16"/>
    <s v="Fast Food"/>
    <n v="258.24"/>
    <x v="3"/>
    <x v="2"/>
    <n v="80"/>
    <n v="2"/>
  </r>
  <r>
    <s v="ORD10620"/>
    <s v="CUST3983"/>
    <x v="4"/>
    <x v="2"/>
    <s v="2024-01-06"/>
    <n v="2024"/>
    <n v="1"/>
    <x v="16"/>
    <s v="15:54"/>
    <s v="BBQ"/>
    <n v="148.85"/>
    <x v="3"/>
    <x v="2"/>
    <n v="62"/>
    <m/>
  </r>
  <r>
    <s v="ORD10621"/>
    <s v="CUST1119"/>
    <x v="1"/>
    <x v="3"/>
    <s v="2024-01-12"/>
    <n v="2024"/>
    <n v="1"/>
    <x v="29"/>
    <s v="16:22"/>
    <s v="Desserts"/>
    <n v="107.01"/>
    <x v="0"/>
    <x v="3"/>
    <n v="41"/>
    <n v="5"/>
  </r>
  <r>
    <s v="ORD10622"/>
    <s v="CUST8400"/>
    <x v="4"/>
    <x v="7"/>
    <s v="2024-01-20"/>
    <n v="2024"/>
    <n v="1"/>
    <x v="23"/>
    <s v="22:58"/>
    <s v="Beverages"/>
    <n v="372.39"/>
    <x v="0"/>
    <x v="0"/>
    <n v="35"/>
    <n v="5"/>
  </r>
  <r>
    <s v="ORD10623"/>
    <s v="CUST1741"/>
    <x v="9"/>
    <x v="4"/>
    <s v="2024-01-24"/>
    <n v="2024"/>
    <n v="1"/>
    <x v="14"/>
    <s v="22:58"/>
    <s v="Seafood"/>
    <n v="139.08000000000001"/>
    <x v="1"/>
    <x v="0"/>
    <n v="87"/>
    <n v="4"/>
  </r>
  <r>
    <s v="ORD10624"/>
    <s v="CUST5491"/>
    <x v="0"/>
    <x v="9"/>
    <s v="2024-01-16"/>
    <n v="2024"/>
    <n v="1"/>
    <x v="10"/>
    <s v="22:11"/>
    <s v="Healthy"/>
    <n v="325.14"/>
    <x v="2"/>
    <x v="2"/>
    <n v="82"/>
    <n v="2"/>
  </r>
  <r>
    <s v="ORD10625"/>
    <s v="CUST8456"/>
    <x v="1"/>
    <x v="1"/>
    <s v="2024-01-10"/>
    <n v="2024"/>
    <n v="1"/>
    <x v="24"/>
    <s v="19:11"/>
    <s v="Healthy"/>
    <n v="291.24"/>
    <x v="0"/>
    <x v="2"/>
    <n v="47"/>
    <n v="1"/>
  </r>
  <r>
    <s v="ORD10626"/>
    <s v="CUST8787"/>
    <x v="1"/>
    <x v="9"/>
    <s v="2024-01-31"/>
    <n v="2024"/>
    <n v="1"/>
    <x v="6"/>
    <s v="20:15"/>
    <s v="Pizza"/>
    <n v="208.92"/>
    <x v="0"/>
    <x v="1"/>
    <n v="77"/>
    <n v="2"/>
  </r>
  <r>
    <s v="ORD10627"/>
    <s v="CUST6235"/>
    <x v="5"/>
    <x v="6"/>
    <s v="2024-01-10"/>
    <n v="2024"/>
    <n v="1"/>
    <x v="24"/>
    <s v="15:45"/>
    <s v="Healthy"/>
    <n v="244.78"/>
    <x v="1"/>
    <x v="3"/>
    <n v="90"/>
    <n v="5"/>
  </r>
  <r>
    <s v="ORD10628"/>
    <s v="CUST4647"/>
    <x v="7"/>
    <x v="2"/>
    <s v="2024-01-07"/>
    <n v="2024"/>
    <n v="1"/>
    <x v="18"/>
    <s v="11:11"/>
    <s v="Desserts"/>
    <n v="469.29"/>
    <x v="1"/>
    <x v="2"/>
    <n v="40"/>
    <n v="3"/>
  </r>
  <r>
    <s v="ORD10629"/>
    <s v="CUST5099"/>
    <x v="7"/>
    <x v="5"/>
    <s v="2024-01-06"/>
    <n v="2024"/>
    <n v="1"/>
    <x v="16"/>
    <s v="15:47"/>
    <s v="Beverages"/>
    <n v="391.9"/>
    <x v="0"/>
    <x v="1"/>
    <n v="89"/>
    <n v="4"/>
  </r>
  <r>
    <s v="ORD10630"/>
    <s v="CUST6179"/>
    <x v="7"/>
    <x v="6"/>
    <s v="2024-01-16"/>
    <n v="2024"/>
    <n v="1"/>
    <x v="10"/>
    <s v="11:59"/>
    <s v="Seafood"/>
    <n v="98.97"/>
    <x v="0"/>
    <x v="0"/>
    <n v="85"/>
    <n v="4"/>
  </r>
  <r>
    <s v="ORD10631"/>
    <s v="CUST8603"/>
    <x v="3"/>
    <x v="6"/>
    <s v="2024-01-05"/>
    <n v="2024"/>
    <n v="1"/>
    <x v="20"/>
    <s v="16:35"/>
    <s v="Pizza"/>
    <n v="374.04"/>
    <x v="1"/>
    <x v="2"/>
    <n v="89"/>
    <m/>
  </r>
  <r>
    <s v="ORD10632"/>
    <s v="CUST7985"/>
    <x v="1"/>
    <x v="1"/>
    <s v="2024-01-28"/>
    <n v="2024"/>
    <n v="1"/>
    <x v="21"/>
    <s v="10:25"/>
    <s v="Seafood"/>
    <n v="238.8"/>
    <x v="2"/>
    <x v="1"/>
    <n v="79"/>
    <n v="4"/>
  </r>
  <r>
    <s v="ORD10633"/>
    <s v="CUST2360"/>
    <x v="7"/>
    <x v="6"/>
    <s v="2024-01-01"/>
    <n v="2024"/>
    <n v="1"/>
    <x v="25"/>
    <s v="16:28"/>
    <s v="Fast Food"/>
    <n v="81.14"/>
    <x v="2"/>
    <x v="1"/>
    <n v="65"/>
    <n v="5"/>
  </r>
  <r>
    <s v="ORD10634"/>
    <s v="CUST2451"/>
    <x v="1"/>
    <x v="1"/>
    <s v="2024-01-04"/>
    <n v="2024"/>
    <n v="1"/>
    <x v="22"/>
    <s v="15:20"/>
    <s v="Seafood"/>
    <n v="447.01"/>
    <x v="1"/>
    <x v="0"/>
    <n v="38"/>
    <n v="4"/>
  </r>
  <r>
    <s v="ORD10635"/>
    <s v="CUST3948"/>
    <x v="0"/>
    <x v="5"/>
    <s v="2024-01-30"/>
    <n v="2024"/>
    <n v="1"/>
    <x v="30"/>
    <s v="16:21"/>
    <s v="Seafood"/>
    <n v="160.87"/>
    <x v="3"/>
    <x v="3"/>
    <n v="88"/>
    <n v="1"/>
  </r>
  <r>
    <s v="ORD10636"/>
    <s v="CUST4241"/>
    <x v="2"/>
    <x v="9"/>
    <s v="2024-01-11"/>
    <n v="2024"/>
    <n v="1"/>
    <x v="3"/>
    <s v="23:16"/>
    <s v="BBQ"/>
    <n v="286.77999999999997"/>
    <x v="1"/>
    <x v="3"/>
    <n v="16"/>
    <n v="3"/>
  </r>
  <r>
    <s v="ORD10637"/>
    <s v="CUST5614"/>
    <x v="2"/>
    <x v="1"/>
    <s v="2024-01-25"/>
    <n v="2024"/>
    <n v="1"/>
    <x v="8"/>
    <s v="20:21"/>
    <s v="Seafood"/>
    <n v="323.83"/>
    <x v="2"/>
    <x v="2"/>
    <n v="56"/>
    <n v="2"/>
  </r>
  <r>
    <s v="ORD10638"/>
    <s v="CUST4178"/>
    <x v="7"/>
    <x v="2"/>
    <s v="2024-01-26"/>
    <n v="2024"/>
    <n v="1"/>
    <x v="12"/>
    <s v="12:16"/>
    <s v="BBQ"/>
    <n v="361.76"/>
    <x v="1"/>
    <x v="1"/>
    <n v="25"/>
    <n v="5"/>
  </r>
  <r>
    <s v="ORD10639"/>
    <s v="CUST9722"/>
    <x v="4"/>
    <x v="1"/>
    <s v="2024-01-08"/>
    <n v="2024"/>
    <n v="1"/>
    <x v="5"/>
    <s v="12:35"/>
    <s v="Seafood"/>
    <n v="354.95"/>
    <x v="0"/>
    <x v="2"/>
    <n v="76"/>
    <m/>
  </r>
  <r>
    <s v="ORD10640"/>
    <s v="CUST1103"/>
    <x v="4"/>
    <x v="4"/>
    <s v="2024-01-04"/>
    <n v="2024"/>
    <n v="1"/>
    <x v="22"/>
    <s v="22:28"/>
    <s v="Pizza"/>
    <n v="51.6"/>
    <x v="2"/>
    <x v="1"/>
    <n v="44"/>
    <n v="2"/>
  </r>
  <r>
    <s v="ORD10641"/>
    <s v="CUST5685"/>
    <x v="4"/>
    <x v="2"/>
    <s v="2024-01-01"/>
    <n v="2024"/>
    <n v="1"/>
    <x v="25"/>
    <s v="13:37"/>
    <s v="Beverages"/>
    <n v="52.19"/>
    <x v="1"/>
    <x v="3"/>
    <n v="69"/>
    <n v="3"/>
  </r>
  <r>
    <s v="ORD10642"/>
    <s v="CUST9126"/>
    <x v="6"/>
    <x v="6"/>
    <s v="2024-01-10"/>
    <n v="2024"/>
    <n v="1"/>
    <x v="24"/>
    <s v="16:52"/>
    <s v="Beverages"/>
    <n v="393.9"/>
    <x v="2"/>
    <x v="2"/>
    <n v="17"/>
    <n v="3"/>
  </r>
  <r>
    <s v="ORD10643"/>
    <s v="CUST5737"/>
    <x v="6"/>
    <x v="0"/>
    <s v="2024-01-05"/>
    <n v="2024"/>
    <n v="1"/>
    <x v="20"/>
    <s v="22:55"/>
    <s v="Fast Food"/>
    <n v="268.75"/>
    <x v="2"/>
    <x v="3"/>
    <n v="39"/>
    <n v="4"/>
  </r>
  <r>
    <s v="ORD10644"/>
    <s v="CUST1541"/>
    <x v="6"/>
    <x v="6"/>
    <s v="2024-01-08"/>
    <n v="2024"/>
    <n v="1"/>
    <x v="5"/>
    <s v="14:10"/>
    <s v="Pizza"/>
    <n v="100.25"/>
    <x v="3"/>
    <x v="3"/>
    <n v="49"/>
    <n v="5"/>
  </r>
  <r>
    <s v="ORD10645"/>
    <s v="CUST9403"/>
    <x v="6"/>
    <x v="1"/>
    <s v="2024-01-24"/>
    <n v="2024"/>
    <n v="1"/>
    <x v="14"/>
    <s v="20:41"/>
    <s v="Desserts"/>
    <n v="470.15"/>
    <x v="3"/>
    <x v="2"/>
    <n v="25"/>
    <n v="5"/>
  </r>
  <r>
    <s v="ORD10646"/>
    <s v="CUST6212"/>
    <x v="1"/>
    <x v="1"/>
    <s v="2024-01-26"/>
    <n v="2024"/>
    <n v="1"/>
    <x v="12"/>
    <s v="19:32"/>
    <s v="Desserts"/>
    <n v="468.63"/>
    <x v="2"/>
    <x v="2"/>
    <n v="27"/>
    <m/>
  </r>
  <r>
    <s v="ORD10647"/>
    <s v="CUST6957"/>
    <x v="3"/>
    <x v="8"/>
    <s v="2024-01-27"/>
    <n v="2024"/>
    <n v="1"/>
    <x v="7"/>
    <s v="20:23"/>
    <s v="Fast Food"/>
    <n v="291.2"/>
    <x v="3"/>
    <x v="3"/>
    <n v="76"/>
    <n v="1"/>
  </r>
  <r>
    <s v="ORD10648"/>
    <s v="CUST8649"/>
    <x v="6"/>
    <x v="4"/>
    <s v="2024-01-19"/>
    <n v="2024"/>
    <n v="1"/>
    <x v="15"/>
    <s v="17:42"/>
    <s v="Fast Food"/>
    <n v="231.32"/>
    <x v="1"/>
    <x v="2"/>
    <n v="35"/>
    <n v="1"/>
  </r>
  <r>
    <s v="ORD10649"/>
    <s v="CUST1486"/>
    <x v="9"/>
    <x v="7"/>
    <s v="2024-01-03"/>
    <n v="2024"/>
    <n v="1"/>
    <x v="27"/>
    <s v="16:30"/>
    <s v="BBQ"/>
    <n v="364"/>
    <x v="1"/>
    <x v="1"/>
    <n v="57"/>
    <n v="3"/>
  </r>
  <r>
    <s v="ORD10650"/>
    <s v="CUST2646"/>
    <x v="5"/>
    <x v="9"/>
    <s v="2024-01-13"/>
    <n v="2024"/>
    <n v="1"/>
    <x v="28"/>
    <s v="23:48"/>
    <s v="Fast Food"/>
    <n v="293.64"/>
    <x v="2"/>
    <x v="2"/>
    <n v="23"/>
    <n v="3"/>
  </r>
  <r>
    <s v="ORD10651"/>
    <s v="CUST8877"/>
    <x v="2"/>
    <x v="8"/>
    <s v="2024-01-31"/>
    <n v="2024"/>
    <n v="1"/>
    <x v="6"/>
    <s v="16:20"/>
    <s v="Fast Food"/>
    <n v="445"/>
    <x v="3"/>
    <x v="3"/>
    <n v="32"/>
    <n v="1"/>
  </r>
  <r>
    <s v="ORD10652"/>
    <s v="CUST4610"/>
    <x v="5"/>
    <x v="4"/>
    <s v="2024-01-20"/>
    <n v="2024"/>
    <n v="1"/>
    <x v="23"/>
    <s v="11:59"/>
    <s v="Beverages"/>
    <n v="358.64"/>
    <x v="2"/>
    <x v="2"/>
    <n v="62"/>
    <n v="1"/>
  </r>
  <r>
    <s v="ORD10653"/>
    <s v="CUST7241"/>
    <x v="3"/>
    <x v="3"/>
    <s v="2024-01-10"/>
    <n v="2024"/>
    <n v="1"/>
    <x v="24"/>
    <s v="22:51"/>
    <s v="Seafood"/>
    <n v="418.93"/>
    <x v="2"/>
    <x v="3"/>
    <n v="22"/>
    <n v="4"/>
  </r>
  <r>
    <s v="ORD10654"/>
    <s v="CUST8565"/>
    <x v="3"/>
    <x v="3"/>
    <s v="2024-01-22"/>
    <n v="2024"/>
    <n v="1"/>
    <x v="19"/>
    <s v="13:46"/>
    <s v="Fast Food"/>
    <n v="376.06"/>
    <x v="3"/>
    <x v="3"/>
    <n v="22"/>
    <m/>
  </r>
  <r>
    <s v="ORD10655"/>
    <s v="CUST5289"/>
    <x v="1"/>
    <x v="5"/>
    <s v="2024-01-10"/>
    <n v="2024"/>
    <n v="1"/>
    <x v="24"/>
    <s v="15:12"/>
    <s v="Healthy"/>
    <n v="95.26"/>
    <x v="3"/>
    <x v="1"/>
    <n v="16"/>
    <n v="1"/>
  </r>
  <r>
    <s v="ORD10656"/>
    <s v="CUST7140"/>
    <x v="4"/>
    <x v="1"/>
    <s v="2024-01-14"/>
    <n v="2024"/>
    <n v="1"/>
    <x v="2"/>
    <s v="12:35"/>
    <s v="Fast Food"/>
    <n v="53.71"/>
    <x v="1"/>
    <x v="3"/>
    <n v="60"/>
    <n v="3"/>
  </r>
  <r>
    <s v="ORD10657"/>
    <s v="CUST6967"/>
    <x v="7"/>
    <x v="5"/>
    <s v="2024-01-01"/>
    <n v="2024"/>
    <n v="1"/>
    <x v="25"/>
    <s v="11:41"/>
    <s v="Healthy"/>
    <n v="482.8"/>
    <x v="0"/>
    <x v="0"/>
    <n v="77"/>
    <n v="1"/>
  </r>
  <r>
    <s v="ORD10658"/>
    <s v="CUST9263"/>
    <x v="7"/>
    <x v="1"/>
    <s v="2024-01-03"/>
    <n v="2024"/>
    <n v="1"/>
    <x v="27"/>
    <s v="16:58"/>
    <s v="Sushi"/>
    <n v="294.68"/>
    <x v="2"/>
    <x v="3"/>
    <n v="52"/>
    <n v="2"/>
  </r>
  <r>
    <s v="ORD10659"/>
    <s v="CUST1658"/>
    <x v="3"/>
    <x v="3"/>
    <s v="2024-01-01"/>
    <n v="2024"/>
    <n v="1"/>
    <x v="25"/>
    <s v="14:16"/>
    <s v="Pizza"/>
    <n v="356.85"/>
    <x v="0"/>
    <x v="0"/>
    <n v="18"/>
    <n v="3"/>
  </r>
  <r>
    <s v="ORD10660"/>
    <s v="CUST6031"/>
    <x v="1"/>
    <x v="3"/>
    <s v="2024-01-16"/>
    <n v="2024"/>
    <n v="1"/>
    <x v="10"/>
    <s v="22:10"/>
    <s v="Pizza"/>
    <n v="220.87"/>
    <x v="2"/>
    <x v="1"/>
    <n v="87"/>
    <n v="2"/>
  </r>
  <r>
    <s v="ORD10661"/>
    <s v="CUST5810"/>
    <x v="2"/>
    <x v="2"/>
    <s v="2024-01-04"/>
    <n v="2024"/>
    <n v="1"/>
    <x v="22"/>
    <s v="17:12"/>
    <s v="Pizza"/>
    <n v="186.27"/>
    <x v="1"/>
    <x v="0"/>
    <n v="56"/>
    <m/>
  </r>
  <r>
    <s v="ORD10662"/>
    <s v="CUST9901"/>
    <x v="6"/>
    <x v="4"/>
    <s v="2024-01-20"/>
    <n v="2024"/>
    <n v="1"/>
    <x v="23"/>
    <s v="15:41"/>
    <s v="Sushi"/>
    <n v="247.35"/>
    <x v="1"/>
    <x v="3"/>
    <n v="64"/>
    <n v="2"/>
  </r>
  <r>
    <s v="ORD10663"/>
    <s v="CUST1879"/>
    <x v="1"/>
    <x v="9"/>
    <s v="2024-01-03"/>
    <n v="2024"/>
    <n v="1"/>
    <x v="27"/>
    <s v="22:58"/>
    <s v="BBQ"/>
    <n v="238.86"/>
    <x v="0"/>
    <x v="3"/>
    <n v="72"/>
    <n v="5"/>
  </r>
  <r>
    <s v="ORD10664"/>
    <s v="CUST3385"/>
    <x v="9"/>
    <x v="2"/>
    <s v="2024-01-28"/>
    <n v="2024"/>
    <n v="1"/>
    <x v="21"/>
    <s v="14:42"/>
    <s v="Sushi"/>
    <n v="307.52"/>
    <x v="2"/>
    <x v="0"/>
    <n v="32"/>
    <n v="4"/>
  </r>
  <r>
    <s v="ORD10665"/>
    <s v="CUST7264"/>
    <x v="3"/>
    <x v="7"/>
    <s v="2024-01-21"/>
    <n v="2024"/>
    <n v="1"/>
    <x v="1"/>
    <s v="16:12"/>
    <s v="BBQ"/>
    <n v="53.92"/>
    <x v="0"/>
    <x v="0"/>
    <n v="78"/>
    <n v="4"/>
  </r>
  <r>
    <s v="ORD10666"/>
    <s v="CUST8451"/>
    <x v="2"/>
    <x v="1"/>
    <s v="2024-01-05"/>
    <n v="2024"/>
    <n v="1"/>
    <x v="20"/>
    <s v="20:23"/>
    <s v="Fast Food"/>
    <n v="449.33"/>
    <x v="3"/>
    <x v="0"/>
    <n v="59"/>
    <m/>
  </r>
  <r>
    <s v="ORD10667"/>
    <s v="CUST1913"/>
    <x v="3"/>
    <x v="3"/>
    <s v="2024-01-09"/>
    <n v="2024"/>
    <n v="1"/>
    <x v="0"/>
    <s v="14:23"/>
    <s v="Healthy"/>
    <n v="257.87"/>
    <x v="0"/>
    <x v="1"/>
    <n v="79"/>
    <n v="2"/>
  </r>
  <r>
    <s v="ORD10668"/>
    <s v="CUST6712"/>
    <x v="0"/>
    <x v="6"/>
    <s v="2024-01-07"/>
    <n v="2024"/>
    <n v="1"/>
    <x v="18"/>
    <s v="22:29"/>
    <s v="Fast Food"/>
    <n v="82.67"/>
    <x v="0"/>
    <x v="2"/>
    <n v="18"/>
    <n v="4"/>
  </r>
  <r>
    <s v="ORD10669"/>
    <s v="CUST6835"/>
    <x v="7"/>
    <x v="3"/>
    <s v="2024-01-30"/>
    <n v="2024"/>
    <n v="1"/>
    <x v="30"/>
    <s v="14:21"/>
    <s v="Healthy"/>
    <n v="286.85000000000002"/>
    <x v="0"/>
    <x v="1"/>
    <n v="87"/>
    <n v="4"/>
  </r>
  <r>
    <s v="ORD10670"/>
    <s v="CUST9096"/>
    <x v="9"/>
    <x v="0"/>
    <s v="2024-01-26"/>
    <n v="2024"/>
    <n v="1"/>
    <x v="12"/>
    <s v="20:53"/>
    <s v="BBQ"/>
    <n v="236.75"/>
    <x v="2"/>
    <x v="3"/>
    <n v="20"/>
    <m/>
  </r>
  <r>
    <s v="ORD10671"/>
    <s v="CUST1648"/>
    <x v="8"/>
    <x v="5"/>
    <s v="2024-01-20"/>
    <n v="2024"/>
    <n v="1"/>
    <x v="23"/>
    <s v="23:56"/>
    <s v="Seafood"/>
    <n v="152.12"/>
    <x v="3"/>
    <x v="0"/>
    <n v="90"/>
    <n v="5"/>
  </r>
  <r>
    <s v="ORD10672"/>
    <s v="CUST5113"/>
    <x v="7"/>
    <x v="5"/>
    <s v="2024-01-07"/>
    <n v="2024"/>
    <n v="1"/>
    <x v="18"/>
    <s v="13:33"/>
    <s v="Healthy"/>
    <n v="326.77999999999997"/>
    <x v="3"/>
    <x v="0"/>
    <n v="75"/>
    <m/>
  </r>
  <r>
    <s v="ORD10673"/>
    <s v="CUST4703"/>
    <x v="9"/>
    <x v="2"/>
    <s v="2024-01-05"/>
    <n v="2024"/>
    <n v="1"/>
    <x v="20"/>
    <s v="14:46"/>
    <s v="Healthy"/>
    <n v="187.2"/>
    <x v="3"/>
    <x v="2"/>
    <n v="74"/>
    <n v="5"/>
  </r>
  <r>
    <s v="ORD10674"/>
    <s v="CUST6125"/>
    <x v="6"/>
    <x v="3"/>
    <s v="2024-01-07"/>
    <n v="2024"/>
    <n v="1"/>
    <x v="18"/>
    <s v="22:48"/>
    <s v="Pizza"/>
    <n v="254.1"/>
    <x v="2"/>
    <x v="2"/>
    <n v="79"/>
    <n v="3"/>
  </r>
  <r>
    <s v="ORD10675"/>
    <s v="CUST4632"/>
    <x v="1"/>
    <x v="3"/>
    <s v="2024-01-19"/>
    <n v="2024"/>
    <n v="1"/>
    <x v="15"/>
    <s v="11:10"/>
    <s v="Sushi"/>
    <n v="138.78"/>
    <x v="3"/>
    <x v="3"/>
    <n v="34"/>
    <m/>
  </r>
  <r>
    <s v="ORD10676"/>
    <s v="CUST1067"/>
    <x v="9"/>
    <x v="0"/>
    <s v="2024-01-05"/>
    <n v="2024"/>
    <n v="1"/>
    <x v="20"/>
    <s v="13:12"/>
    <s v="BBQ"/>
    <n v="182.02"/>
    <x v="2"/>
    <x v="2"/>
    <n v="50"/>
    <n v="2"/>
  </r>
  <r>
    <s v="ORD10677"/>
    <s v="CUST9814"/>
    <x v="9"/>
    <x v="6"/>
    <s v="2024-01-06"/>
    <n v="2024"/>
    <n v="1"/>
    <x v="16"/>
    <s v="23:23"/>
    <s v="Beverages"/>
    <n v="196.46"/>
    <x v="2"/>
    <x v="3"/>
    <n v="15"/>
    <m/>
  </r>
  <r>
    <s v="ORD10678"/>
    <s v="CUST4291"/>
    <x v="2"/>
    <x v="1"/>
    <s v="2024-01-10"/>
    <n v="2024"/>
    <n v="1"/>
    <x v="24"/>
    <s v="15:45"/>
    <s v="Beverages"/>
    <n v="471.04"/>
    <x v="1"/>
    <x v="3"/>
    <n v="65"/>
    <n v="5"/>
  </r>
  <r>
    <s v="ORD10679"/>
    <s v="CUST3060"/>
    <x v="6"/>
    <x v="2"/>
    <s v="2024-01-15"/>
    <n v="2024"/>
    <n v="1"/>
    <x v="13"/>
    <s v="18:41"/>
    <s v="BBQ"/>
    <n v="444.85"/>
    <x v="3"/>
    <x v="3"/>
    <n v="21"/>
    <n v="4"/>
  </r>
  <r>
    <s v="ORD10680"/>
    <s v="CUST5284"/>
    <x v="1"/>
    <x v="2"/>
    <s v="2024-01-31"/>
    <n v="2024"/>
    <n v="1"/>
    <x v="6"/>
    <s v="11:19"/>
    <s v="Seafood"/>
    <n v="90.82"/>
    <x v="3"/>
    <x v="3"/>
    <n v="40"/>
    <n v="3"/>
  </r>
  <r>
    <s v="ORD10681"/>
    <s v="CUST4158"/>
    <x v="8"/>
    <x v="4"/>
    <s v="2024-01-04"/>
    <n v="2024"/>
    <n v="1"/>
    <x v="22"/>
    <s v="10:15"/>
    <s v="BBQ"/>
    <n v="86.96"/>
    <x v="3"/>
    <x v="1"/>
    <n v="20"/>
    <n v="4"/>
  </r>
  <r>
    <s v="ORD10682"/>
    <s v="CUST9312"/>
    <x v="9"/>
    <x v="5"/>
    <s v="2024-01-06"/>
    <n v="2024"/>
    <n v="1"/>
    <x v="16"/>
    <s v="17:23"/>
    <s v="Sushi"/>
    <n v="131.86000000000001"/>
    <x v="0"/>
    <x v="0"/>
    <n v="20"/>
    <n v="3"/>
  </r>
  <r>
    <s v="ORD10683"/>
    <s v="CUST9966"/>
    <x v="0"/>
    <x v="6"/>
    <s v="2024-01-16"/>
    <n v="2024"/>
    <n v="1"/>
    <x v="10"/>
    <s v="17:28"/>
    <s v="Desserts"/>
    <n v="80.7"/>
    <x v="2"/>
    <x v="1"/>
    <n v="87"/>
    <n v="1"/>
  </r>
  <r>
    <s v="ORD10684"/>
    <s v="CUST5598"/>
    <x v="1"/>
    <x v="8"/>
    <s v="2024-01-11"/>
    <n v="2024"/>
    <n v="1"/>
    <x v="3"/>
    <s v="22:21"/>
    <s v="Fast Food"/>
    <n v="108.59"/>
    <x v="2"/>
    <x v="0"/>
    <n v="71"/>
    <m/>
  </r>
  <r>
    <s v="ORD10685"/>
    <s v="CUST2803"/>
    <x v="7"/>
    <x v="4"/>
    <s v="2024-01-17"/>
    <n v="2024"/>
    <n v="1"/>
    <x v="4"/>
    <s v="21:20"/>
    <s v="Seafood"/>
    <n v="467.96"/>
    <x v="2"/>
    <x v="0"/>
    <n v="65"/>
    <n v="4"/>
  </r>
  <r>
    <s v="ORD10686"/>
    <s v="CUST9030"/>
    <x v="0"/>
    <x v="6"/>
    <s v="2024-01-16"/>
    <n v="2024"/>
    <n v="1"/>
    <x v="10"/>
    <s v="17:56"/>
    <s v="Seafood"/>
    <n v="404.95"/>
    <x v="3"/>
    <x v="1"/>
    <n v="73"/>
    <n v="5"/>
  </r>
  <r>
    <s v="ORD10687"/>
    <s v="CUST4045"/>
    <x v="6"/>
    <x v="1"/>
    <s v="2024-01-04"/>
    <n v="2024"/>
    <n v="1"/>
    <x v="22"/>
    <s v="22:45"/>
    <s v="Healthy"/>
    <n v="340.96"/>
    <x v="2"/>
    <x v="3"/>
    <n v="87"/>
    <n v="4"/>
  </r>
  <r>
    <s v="ORD10688"/>
    <s v="CUST6199"/>
    <x v="5"/>
    <x v="6"/>
    <s v="2024-01-07"/>
    <n v="2024"/>
    <n v="1"/>
    <x v="18"/>
    <s v="18:54"/>
    <s v="Seafood"/>
    <n v="478.11"/>
    <x v="3"/>
    <x v="3"/>
    <n v="31"/>
    <n v="5"/>
  </r>
  <r>
    <s v="ORD10689"/>
    <s v="CUST5602"/>
    <x v="2"/>
    <x v="1"/>
    <s v="2024-01-21"/>
    <n v="2024"/>
    <n v="1"/>
    <x v="1"/>
    <s v="17:43"/>
    <s v="Seafood"/>
    <n v="498.65"/>
    <x v="1"/>
    <x v="3"/>
    <n v="28"/>
    <n v="5"/>
  </r>
  <r>
    <s v="ORD10690"/>
    <s v="CUST1210"/>
    <x v="9"/>
    <x v="8"/>
    <s v="2024-01-01"/>
    <n v="2024"/>
    <n v="1"/>
    <x v="25"/>
    <s v="13:32"/>
    <s v="Seafood"/>
    <n v="150.19"/>
    <x v="1"/>
    <x v="0"/>
    <n v="87"/>
    <n v="1"/>
  </r>
  <r>
    <s v="ORD10691"/>
    <s v="CUST2087"/>
    <x v="9"/>
    <x v="4"/>
    <s v="2024-01-10"/>
    <n v="2024"/>
    <n v="1"/>
    <x v="24"/>
    <s v="11:40"/>
    <s v="Seafood"/>
    <n v="76.790000000000006"/>
    <x v="1"/>
    <x v="2"/>
    <n v="83"/>
    <n v="2"/>
  </r>
  <r>
    <s v="ORD10692"/>
    <s v="CUST9960"/>
    <x v="1"/>
    <x v="4"/>
    <s v="2024-01-26"/>
    <n v="2024"/>
    <n v="1"/>
    <x v="12"/>
    <s v="10:56"/>
    <s v="Seafood"/>
    <n v="113.78"/>
    <x v="3"/>
    <x v="2"/>
    <n v="74"/>
    <n v="2"/>
  </r>
  <r>
    <s v="ORD10693"/>
    <s v="CUST1926"/>
    <x v="9"/>
    <x v="2"/>
    <s v="2024-01-27"/>
    <n v="2024"/>
    <n v="1"/>
    <x v="7"/>
    <s v="18:46"/>
    <s v="Fast Food"/>
    <n v="498.8"/>
    <x v="0"/>
    <x v="1"/>
    <n v="65"/>
    <m/>
  </r>
  <r>
    <s v="ORD10694"/>
    <s v="CUST2075"/>
    <x v="4"/>
    <x v="2"/>
    <s v="2024-01-12"/>
    <n v="2024"/>
    <n v="1"/>
    <x v="29"/>
    <s v="23:10"/>
    <s v="Healthy"/>
    <n v="212.45"/>
    <x v="0"/>
    <x v="0"/>
    <n v="17"/>
    <n v="4"/>
  </r>
  <r>
    <s v="ORD10695"/>
    <s v="CUST2145"/>
    <x v="3"/>
    <x v="3"/>
    <s v="2024-01-25"/>
    <n v="2024"/>
    <n v="1"/>
    <x v="8"/>
    <s v="19:50"/>
    <s v="BBQ"/>
    <n v="167.44"/>
    <x v="2"/>
    <x v="0"/>
    <n v="63"/>
    <n v="2"/>
  </r>
  <r>
    <s v="ORD10696"/>
    <s v="CUST2929"/>
    <x v="8"/>
    <x v="2"/>
    <s v="2024-01-22"/>
    <n v="2024"/>
    <n v="1"/>
    <x v="19"/>
    <s v="10:51"/>
    <s v="Fast Food"/>
    <n v="298.97000000000003"/>
    <x v="3"/>
    <x v="3"/>
    <n v="28"/>
    <m/>
  </r>
  <r>
    <s v="ORD10697"/>
    <s v="CUST5853"/>
    <x v="1"/>
    <x v="7"/>
    <s v="2024-01-23"/>
    <n v="2024"/>
    <n v="1"/>
    <x v="11"/>
    <s v="18:23"/>
    <s v="Desserts"/>
    <n v="405.67"/>
    <x v="2"/>
    <x v="1"/>
    <n v="59"/>
    <n v="5"/>
  </r>
  <r>
    <s v="ORD10698"/>
    <s v="CUST3163"/>
    <x v="3"/>
    <x v="8"/>
    <s v="2024-01-21"/>
    <n v="2024"/>
    <n v="1"/>
    <x v="1"/>
    <s v="11:23"/>
    <s v="Beverages"/>
    <n v="474.47"/>
    <x v="3"/>
    <x v="1"/>
    <n v="38"/>
    <n v="2"/>
  </r>
  <r>
    <s v="ORD10699"/>
    <s v="CUST8161"/>
    <x v="6"/>
    <x v="0"/>
    <s v="2024-01-10"/>
    <n v="2024"/>
    <n v="1"/>
    <x v="24"/>
    <s v="15:27"/>
    <s v="Pizza"/>
    <n v="320.47000000000003"/>
    <x v="2"/>
    <x v="1"/>
    <n v="73"/>
    <m/>
  </r>
  <r>
    <s v="ORD10700"/>
    <s v="CUST1940"/>
    <x v="5"/>
    <x v="2"/>
    <s v="2024-01-27"/>
    <n v="2024"/>
    <n v="1"/>
    <x v="7"/>
    <s v="23:28"/>
    <s v="Desserts"/>
    <n v="389.26"/>
    <x v="3"/>
    <x v="1"/>
    <n v="22"/>
    <n v="3"/>
  </r>
  <r>
    <s v="ORD10701"/>
    <s v="CUST9207"/>
    <x v="8"/>
    <x v="7"/>
    <s v="2024-01-27"/>
    <n v="2024"/>
    <n v="1"/>
    <x v="7"/>
    <s v="22:19"/>
    <s v="Seafood"/>
    <n v="108.26"/>
    <x v="2"/>
    <x v="0"/>
    <n v="64"/>
    <m/>
  </r>
  <r>
    <s v="ORD10702"/>
    <s v="CUST5300"/>
    <x v="6"/>
    <x v="8"/>
    <s v="2024-01-07"/>
    <n v="2024"/>
    <n v="1"/>
    <x v="18"/>
    <s v="18:16"/>
    <s v="Sushi"/>
    <n v="219.51"/>
    <x v="3"/>
    <x v="0"/>
    <n v="40"/>
    <n v="3"/>
  </r>
  <r>
    <s v="ORD10703"/>
    <s v="CUST2852"/>
    <x v="6"/>
    <x v="6"/>
    <s v="2024-01-09"/>
    <n v="2024"/>
    <n v="1"/>
    <x v="0"/>
    <s v="22:57"/>
    <s v="Pizza"/>
    <n v="118.3"/>
    <x v="0"/>
    <x v="1"/>
    <n v="55"/>
    <n v="1"/>
  </r>
  <r>
    <s v="ORD10704"/>
    <s v="CUST4613"/>
    <x v="6"/>
    <x v="9"/>
    <s v="2024-01-06"/>
    <n v="2024"/>
    <n v="1"/>
    <x v="16"/>
    <s v="19:13"/>
    <s v="Fast Food"/>
    <n v="84.44"/>
    <x v="3"/>
    <x v="1"/>
    <n v="27"/>
    <n v="1"/>
  </r>
  <r>
    <s v="ORD10705"/>
    <s v="CUST1535"/>
    <x v="2"/>
    <x v="5"/>
    <s v="2024-01-04"/>
    <n v="2024"/>
    <n v="1"/>
    <x v="22"/>
    <s v="16:50"/>
    <s v="BBQ"/>
    <n v="388.54"/>
    <x v="3"/>
    <x v="3"/>
    <n v="88"/>
    <n v="1"/>
  </r>
  <r>
    <s v="ORD10706"/>
    <s v="CUST4760"/>
    <x v="6"/>
    <x v="3"/>
    <s v="2024-01-15"/>
    <n v="2024"/>
    <n v="1"/>
    <x v="13"/>
    <s v="13:10"/>
    <s v="BBQ"/>
    <n v="296.22000000000003"/>
    <x v="3"/>
    <x v="1"/>
    <n v="30"/>
    <n v="4"/>
  </r>
  <r>
    <s v="ORD10707"/>
    <s v="CUST5301"/>
    <x v="8"/>
    <x v="4"/>
    <s v="2024-01-11"/>
    <n v="2024"/>
    <n v="1"/>
    <x v="3"/>
    <s v="12:26"/>
    <s v="Beverages"/>
    <n v="57.67"/>
    <x v="3"/>
    <x v="1"/>
    <n v="31"/>
    <n v="5"/>
  </r>
  <r>
    <s v="ORD10708"/>
    <s v="CUST8389"/>
    <x v="1"/>
    <x v="7"/>
    <s v="2024-01-15"/>
    <n v="2024"/>
    <n v="1"/>
    <x v="13"/>
    <s v="17:11"/>
    <s v="BBQ"/>
    <n v="289.58999999999997"/>
    <x v="0"/>
    <x v="2"/>
    <n v="22"/>
    <n v="2"/>
  </r>
  <r>
    <s v="ORD10709"/>
    <s v="CUST3302"/>
    <x v="8"/>
    <x v="0"/>
    <s v="2024-01-06"/>
    <n v="2024"/>
    <n v="1"/>
    <x v="16"/>
    <s v="19:25"/>
    <s v="Healthy"/>
    <n v="455.06"/>
    <x v="2"/>
    <x v="0"/>
    <n v="84"/>
    <n v="4"/>
  </r>
  <r>
    <s v="ORD10710"/>
    <s v="CUST9862"/>
    <x v="5"/>
    <x v="9"/>
    <s v="2024-01-06"/>
    <n v="2024"/>
    <n v="1"/>
    <x v="16"/>
    <s v="16:58"/>
    <s v="BBQ"/>
    <n v="176.71"/>
    <x v="3"/>
    <x v="2"/>
    <n v="82"/>
    <n v="3"/>
  </r>
  <r>
    <s v="ORD10711"/>
    <s v="CUST1734"/>
    <x v="4"/>
    <x v="7"/>
    <s v="2024-01-09"/>
    <n v="2024"/>
    <n v="1"/>
    <x v="0"/>
    <s v="13:32"/>
    <s v="Pizza"/>
    <n v="403.16"/>
    <x v="2"/>
    <x v="1"/>
    <n v="43"/>
    <n v="5"/>
  </r>
  <r>
    <s v="ORD10712"/>
    <s v="CUST1236"/>
    <x v="8"/>
    <x v="8"/>
    <s v="2024-01-08"/>
    <n v="2024"/>
    <n v="1"/>
    <x v="5"/>
    <s v="12:20"/>
    <s v="Sushi"/>
    <n v="324.79000000000002"/>
    <x v="3"/>
    <x v="3"/>
    <n v="74"/>
    <m/>
  </r>
  <r>
    <s v="ORD10713"/>
    <s v="CUST6880"/>
    <x v="3"/>
    <x v="3"/>
    <s v="2024-01-05"/>
    <n v="2024"/>
    <n v="1"/>
    <x v="20"/>
    <s v="12:50"/>
    <s v="Fast Food"/>
    <n v="432.51"/>
    <x v="0"/>
    <x v="3"/>
    <n v="82"/>
    <n v="4"/>
  </r>
  <r>
    <s v="ORD10714"/>
    <s v="CUST6980"/>
    <x v="9"/>
    <x v="7"/>
    <s v="2024-01-10"/>
    <n v="2024"/>
    <n v="1"/>
    <x v="24"/>
    <s v="11:43"/>
    <s v="Healthy"/>
    <n v="227.22"/>
    <x v="0"/>
    <x v="2"/>
    <n v="19"/>
    <n v="4"/>
  </r>
  <r>
    <s v="ORD10715"/>
    <s v="CUST6650"/>
    <x v="4"/>
    <x v="3"/>
    <s v="2024-01-27"/>
    <n v="2024"/>
    <n v="1"/>
    <x v="7"/>
    <s v="19:50"/>
    <s v="Healthy"/>
    <n v="215.19"/>
    <x v="0"/>
    <x v="1"/>
    <n v="38"/>
    <n v="2"/>
  </r>
  <r>
    <s v="ORD10716"/>
    <s v="CUST1206"/>
    <x v="1"/>
    <x v="7"/>
    <s v="2024-01-30"/>
    <n v="2024"/>
    <n v="1"/>
    <x v="30"/>
    <s v="15:34"/>
    <s v="Pizza"/>
    <n v="201.22"/>
    <x v="2"/>
    <x v="1"/>
    <n v="54"/>
    <n v="1"/>
  </r>
  <r>
    <s v="ORD10717"/>
    <s v="CUST8514"/>
    <x v="1"/>
    <x v="6"/>
    <s v="2024-01-08"/>
    <n v="2024"/>
    <n v="1"/>
    <x v="5"/>
    <s v="14:53"/>
    <s v="Desserts"/>
    <n v="130.43"/>
    <x v="2"/>
    <x v="3"/>
    <n v="35"/>
    <n v="3"/>
  </r>
  <r>
    <s v="ORD10718"/>
    <s v="CUST3246"/>
    <x v="7"/>
    <x v="1"/>
    <s v="2024-01-25"/>
    <n v="2024"/>
    <n v="1"/>
    <x v="8"/>
    <s v="12:45"/>
    <s v="Seafood"/>
    <n v="395.59"/>
    <x v="2"/>
    <x v="1"/>
    <n v="48"/>
    <n v="1"/>
  </r>
  <r>
    <s v="ORD10719"/>
    <s v="CUST2326"/>
    <x v="0"/>
    <x v="6"/>
    <s v="2024-01-14"/>
    <n v="2024"/>
    <n v="1"/>
    <x v="2"/>
    <s v="22:25"/>
    <s v="Seafood"/>
    <n v="175.99"/>
    <x v="2"/>
    <x v="3"/>
    <n v="80"/>
    <n v="3"/>
  </r>
  <r>
    <s v="ORD10720"/>
    <s v="CUST7320"/>
    <x v="1"/>
    <x v="0"/>
    <s v="2024-01-25"/>
    <n v="2024"/>
    <n v="1"/>
    <x v="8"/>
    <s v="22:39"/>
    <s v="Sushi"/>
    <n v="326.83999999999997"/>
    <x v="2"/>
    <x v="1"/>
    <n v="25"/>
    <n v="2"/>
  </r>
  <r>
    <s v="ORD10721"/>
    <s v="CUST3449"/>
    <x v="5"/>
    <x v="8"/>
    <s v="2024-01-09"/>
    <n v="2024"/>
    <n v="1"/>
    <x v="0"/>
    <s v="20:32"/>
    <s v="Seafood"/>
    <n v="209.29"/>
    <x v="1"/>
    <x v="0"/>
    <n v="32"/>
    <n v="4"/>
  </r>
  <r>
    <s v="ORD10722"/>
    <s v="CUST5052"/>
    <x v="7"/>
    <x v="3"/>
    <s v="2024-01-26"/>
    <n v="2024"/>
    <n v="1"/>
    <x v="12"/>
    <s v="17:13"/>
    <s v="Sushi"/>
    <n v="467.04"/>
    <x v="3"/>
    <x v="2"/>
    <n v="16"/>
    <n v="4"/>
  </r>
  <r>
    <s v="ORD10723"/>
    <s v="CUST7020"/>
    <x v="5"/>
    <x v="8"/>
    <s v="2024-01-11"/>
    <n v="2024"/>
    <n v="1"/>
    <x v="3"/>
    <s v="22:29"/>
    <s v="Pizza"/>
    <n v="145.66"/>
    <x v="2"/>
    <x v="3"/>
    <n v="42"/>
    <m/>
  </r>
  <r>
    <s v="ORD10724"/>
    <s v="CUST4303"/>
    <x v="9"/>
    <x v="0"/>
    <s v="2024-01-24"/>
    <n v="2024"/>
    <n v="1"/>
    <x v="14"/>
    <s v="19:47"/>
    <s v="Healthy"/>
    <n v="414.72"/>
    <x v="2"/>
    <x v="0"/>
    <n v="39"/>
    <n v="5"/>
  </r>
  <r>
    <s v="ORD10725"/>
    <s v="CUST6913"/>
    <x v="6"/>
    <x v="7"/>
    <s v="2024-01-13"/>
    <n v="2024"/>
    <n v="1"/>
    <x v="28"/>
    <s v="15:25"/>
    <s v="Beverages"/>
    <n v="160.63"/>
    <x v="1"/>
    <x v="2"/>
    <n v="35"/>
    <n v="4"/>
  </r>
  <r>
    <s v="ORD10726"/>
    <s v="CUST5871"/>
    <x v="5"/>
    <x v="7"/>
    <s v="2024-01-31"/>
    <n v="2024"/>
    <n v="1"/>
    <x v="6"/>
    <s v="11:16"/>
    <s v="Healthy"/>
    <n v="309.43"/>
    <x v="0"/>
    <x v="2"/>
    <n v="65"/>
    <n v="1"/>
  </r>
  <r>
    <s v="ORD10727"/>
    <s v="CUST4885"/>
    <x v="3"/>
    <x v="9"/>
    <s v="2024-01-18"/>
    <n v="2024"/>
    <n v="1"/>
    <x v="9"/>
    <s v="12:54"/>
    <s v="Healthy"/>
    <n v="242.41"/>
    <x v="0"/>
    <x v="1"/>
    <n v="88"/>
    <n v="3"/>
  </r>
  <r>
    <s v="ORD10728"/>
    <s v="CUST7983"/>
    <x v="2"/>
    <x v="1"/>
    <s v="2024-01-31"/>
    <n v="2024"/>
    <n v="1"/>
    <x v="6"/>
    <s v="16:32"/>
    <s v="Desserts"/>
    <n v="72.62"/>
    <x v="0"/>
    <x v="0"/>
    <n v="81"/>
    <m/>
  </r>
  <r>
    <s v="ORD10729"/>
    <s v="CUST7897"/>
    <x v="2"/>
    <x v="9"/>
    <s v="2024-01-02"/>
    <n v="2024"/>
    <n v="1"/>
    <x v="26"/>
    <s v="16:59"/>
    <s v="Healthy"/>
    <n v="223.1"/>
    <x v="3"/>
    <x v="3"/>
    <n v="51"/>
    <n v="2"/>
  </r>
  <r>
    <s v="ORD10730"/>
    <s v="CUST6442"/>
    <x v="5"/>
    <x v="7"/>
    <s v="2024-01-21"/>
    <n v="2024"/>
    <n v="1"/>
    <x v="1"/>
    <s v="21:17"/>
    <s v="Healthy"/>
    <n v="405.52"/>
    <x v="0"/>
    <x v="2"/>
    <n v="22"/>
    <n v="3"/>
  </r>
  <r>
    <s v="ORD10731"/>
    <s v="CUST3896"/>
    <x v="9"/>
    <x v="1"/>
    <s v="2024-01-05"/>
    <n v="2024"/>
    <n v="1"/>
    <x v="20"/>
    <s v="19:54"/>
    <s v="BBQ"/>
    <n v="236.15"/>
    <x v="3"/>
    <x v="3"/>
    <n v="34"/>
    <n v="4"/>
  </r>
  <r>
    <s v="ORD10732"/>
    <s v="CUST4344"/>
    <x v="6"/>
    <x v="3"/>
    <s v="2024-01-29"/>
    <n v="2024"/>
    <n v="1"/>
    <x v="17"/>
    <s v="14:36"/>
    <s v="Beverages"/>
    <n v="361.87"/>
    <x v="3"/>
    <x v="1"/>
    <n v="57"/>
    <n v="4"/>
  </r>
  <r>
    <s v="ORD10733"/>
    <s v="CUST6765"/>
    <x v="7"/>
    <x v="7"/>
    <s v="2024-01-25"/>
    <n v="2024"/>
    <n v="1"/>
    <x v="8"/>
    <s v="10:53"/>
    <s v="Healthy"/>
    <n v="109.22"/>
    <x v="0"/>
    <x v="0"/>
    <n v="22"/>
    <n v="1"/>
  </r>
  <r>
    <s v="ORD10734"/>
    <s v="CUST3697"/>
    <x v="1"/>
    <x v="3"/>
    <s v="2024-01-10"/>
    <n v="2024"/>
    <n v="1"/>
    <x v="24"/>
    <s v="20:35"/>
    <s v="Seafood"/>
    <n v="137.86000000000001"/>
    <x v="2"/>
    <x v="1"/>
    <n v="73"/>
    <n v="3"/>
  </r>
  <r>
    <s v="ORD10735"/>
    <s v="CUST8691"/>
    <x v="2"/>
    <x v="7"/>
    <s v="2024-01-05"/>
    <n v="2024"/>
    <n v="1"/>
    <x v="20"/>
    <s v="18:40"/>
    <s v="Beverages"/>
    <n v="458.07"/>
    <x v="2"/>
    <x v="1"/>
    <n v="83"/>
    <n v="5"/>
  </r>
  <r>
    <s v="ORD10736"/>
    <s v="CUST5004"/>
    <x v="1"/>
    <x v="4"/>
    <s v="2024-01-17"/>
    <n v="2024"/>
    <n v="1"/>
    <x v="4"/>
    <s v="12:15"/>
    <s v="Sushi"/>
    <n v="130.25"/>
    <x v="0"/>
    <x v="0"/>
    <n v="49"/>
    <n v="5"/>
  </r>
  <r>
    <s v="ORD10737"/>
    <s v="CUST2251"/>
    <x v="0"/>
    <x v="6"/>
    <s v="2024-01-27"/>
    <n v="2024"/>
    <n v="1"/>
    <x v="7"/>
    <s v="16:33"/>
    <s v="Beverages"/>
    <n v="107.24"/>
    <x v="3"/>
    <x v="1"/>
    <n v="45"/>
    <m/>
  </r>
  <r>
    <s v="ORD10738"/>
    <s v="CUST7395"/>
    <x v="3"/>
    <x v="8"/>
    <s v="2024-01-19"/>
    <n v="2024"/>
    <n v="1"/>
    <x v="15"/>
    <s v="14:28"/>
    <s v="Seafood"/>
    <n v="476.45"/>
    <x v="2"/>
    <x v="2"/>
    <n v="82"/>
    <m/>
  </r>
  <r>
    <s v="ORD10739"/>
    <s v="CUST2856"/>
    <x v="3"/>
    <x v="0"/>
    <s v="2024-01-23"/>
    <n v="2024"/>
    <n v="1"/>
    <x v="11"/>
    <s v="13:11"/>
    <s v="Pizza"/>
    <n v="265.74"/>
    <x v="1"/>
    <x v="2"/>
    <n v="64"/>
    <n v="3"/>
  </r>
  <r>
    <s v="ORD10740"/>
    <s v="CUST2803"/>
    <x v="3"/>
    <x v="1"/>
    <s v="2024-01-29"/>
    <n v="2024"/>
    <n v="1"/>
    <x v="17"/>
    <s v="13:42"/>
    <s v="Sushi"/>
    <n v="101.19"/>
    <x v="1"/>
    <x v="1"/>
    <n v="17"/>
    <m/>
  </r>
  <r>
    <s v="ORD10741"/>
    <s v="CUST8988"/>
    <x v="6"/>
    <x v="6"/>
    <s v="2024-01-26"/>
    <n v="2024"/>
    <n v="1"/>
    <x v="12"/>
    <s v="21:27"/>
    <s v="BBQ"/>
    <n v="321.57"/>
    <x v="0"/>
    <x v="3"/>
    <n v="20"/>
    <n v="4"/>
  </r>
  <r>
    <s v="ORD10742"/>
    <s v="CUST4246"/>
    <x v="0"/>
    <x v="2"/>
    <s v="2024-01-02"/>
    <n v="2024"/>
    <n v="1"/>
    <x v="26"/>
    <s v="10:17"/>
    <s v="Sushi"/>
    <n v="53.94"/>
    <x v="1"/>
    <x v="0"/>
    <n v="71"/>
    <m/>
  </r>
  <r>
    <s v="ORD10743"/>
    <s v="CUST7081"/>
    <x v="0"/>
    <x v="6"/>
    <s v="2024-01-07"/>
    <n v="2024"/>
    <n v="1"/>
    <x v="18"/>
    <s v="23:44"/>
    <s v="BBQ"/>
    <n v="119.94"/>
    <x v="3"/>
    <x v="2"/>
    <n v="23"/>
    <n v="4"/>
  </r>
  <r>
    <s v="ORD10744"/>
    <s v="CUST6612"/>
    <x v="6"/>
    <x v="1"/>
    <s v="2024-01-16"/>
    <n v="2024"/>
    <n v="1"/>
    <x v="10"/>
    <s v="15:29"/>
    <s v="Seafood"/>
    <n v="247.27"/>
    <x v="2"/>
    <x v="0"/>
    <n v="41"/>
    <n v="3"/>
  </r>
  <r>
    <s v="ORD10745"/>
    <s v="CUST2012"/>
    <x v="2"/>
    <x v="4"/>
    <s v="2024-01-10"/>
    <n v="2024"/>
    <n v="1"/>
    <x v="24"/>
    <s v="23:59"/>
    <s v="Beverages"/>
    <n v="104.97"/>
    <x v="3"/>
    <x v="0"/>
    <n v="44"/>
    <n v="1"/>
  </r>
  <r>
    <s v="ORD10746"/>
    <s v="CUST5710"/>
    <x v="8"/>
    <x v="5"/>
    <s v="2024-01-04"/>
    <n v="2024"/>
    <n v="1"/>
    <x v="22"/>
    <s v="19:20"/>
    <s v="Desserts"/>
    <n v="270.69"/>
    <x v="3"/>
    <x v="0"/>
    <n v="19"/>
    <n v="2"/>
  </r>
  <r>
    <s v="ORD10747"/>
    <s v="CUST1846"/>
    <x v="2"/>
    <x v="2"/>
    <s v="2024-01-20"/>
    <n v="2024"/>
    <n v="1"/>
    <x v="23"/>
    <s v="23:51"/>
    <s v="Healthy"/>
    <n v="298.29000000000002"/>
    <x v="2"/>
    <x v="2"/>
    <n v="28"/>
    <n v="1"/>
  </r>
  <r>
    <s v="ORD10748"/>
    <s v="CUST6495"/>
    <x v="4"/>
    <x v="4"/>
    <s v="2024-01-31"/>
    <n v="2024"/>
    <n v="1"/>
    <x v="6"/>
    <s v="16:51"/>
    <s v="BBQ"/>
    <n v="79.2"/>
    <x v="1"/>
    <x v="3"/>
    <n v="74"/>
    <n v="2"/>
  </r>
  <r>
    <s v="ORD10749"/>
    <s v="CUST8022"/>
    <x v="0"/>
    <x v="9"/>
    <s v="2024-01-28"/>
    <n v="2024"/>
    <n v="1"/>
    <x v="21"/>
    <s v="15:43"/>
    <s v="Beverages"/>
    <n v="230.41"/>
    <x v="3"/>
    <x v="0"/>
    <n v="80"/>
    <n v="3"/>
  </r>
  <r>
    <s v="ORD10750"/>
    <s v="CUST3165"/>
    <x v="3"/>
    <x v="7"/>
    <s v="2024-01-12"/>
    <n v="2024"/>
    <n v="1"/>
    <x v="29"/>
    <s v="14:41"/>
    <s v="Healthy"/>
    <n v="391.41"/>
    <x v="3"/>
    <x v="2"/>
    <n v="63"/>
    <n v="1"/>
  </r>
  <r>
    <s v="ORD10751"/>
    <s v="CUST6936"/>
    <x v="6"/>
    <x v="7"/>
    <s v="2024-01-26"/>
    <n v="2024"/>
    <n v="1"/>
    <x v="12"/>
    <s v="15:45"/>
    <s v="Healthy"/>
    <n v="273.33"/>
    <x v="0"/>
    <x v="2"/>
    <n v="47"/>
    <m/>
  </r>
  <r>
    <s v="ORD10752"/>
    <s v="CUST2913"/>
    <x v="2"/>
    <x v="7"/>
    <s v="2024-01-15"/>
    <n v="2024"/>
    <n v="1"/>
    <x v="13"/>
    <s v="16:27"/>
    <s v="Desserts"/>
    <n v="88.66"/>
    <x v="2"/>
    <x v="0"/>
    <n v="64"/>
    <n v="4"/>
  </r>
  <r>
    <s v="ORD10753"/>
    <s v="CUST6950"/>
    <x v="0"/>
    <x v="6"/>
    <s v="2024-01-15"/>
    <n v="2024"/>
    <n v="1"/>
    <x v="13"/>
    <s v="11:59"/>
    <s v="Beverages"/>
    <n v="346.54"/>
    <x v="1"/>
    <x v="0"/>
    <n v="57"/>
    <m/>
  </r>
  <r>
    <s v="ORD10754"/>
    <s v="CUST2789"/>
    <x v="4"/>
    <x v="3"/>
    <s v="2024-01-21"/>
    <n v="2024"/>
    <n v="1"/>
    <x v="1"/>
    <s v="20:39"/>
    <s v="Healthy"/>
    <n v="397.63"/>
    <x v="2"/>
    <x v="2"/>
    <n v="39"/>
    <n v="1"/>
  </r>
  <r>
    <s v="ORD10755"/>
    <s v="CUST9592"/>
    <x v="0"/>
    <x v="5"/>
    <s v="2024-01-12"/>
    <n v="2024"/>
    <n v="1"/>
    <x v="29"/>
    <s v="14:37"/>
    <s v="Healthy"/>
    <n v="126.9"/>
    <x v="0"/>
    <x v="1"/>
    <n v="38"/>
    <m/>
  </r>
  <r>
    <s v="ORD10756"/>
    <s v="CUST7376"/>
    <x v="7"/>
    <x v="4"/>
    <s v="2024-01-06"/>
    <n v="2024"/>
    <n v="1"/>
    <x v="16"/>
    <s v="14:27"/>
    <s v="Beverages"/>
    <n v="253.36"/>
    <x v="1"/>
    <x v="1"/>
    <n v="77"/>
    <n v="4"/>
  </r>
  <r>
    <s v="ORD10757"/>
    <s v="CUST7915"/>
    <x v="3"/>
    <x v="7"/>
    <s v="2024-01-01"/>
    <n v="2024"/>
    <n v="1"/>
    <x v="25"/>
    <s v="13:22"/>
    <s v="Beverages"/>
    <n v="195.33"/>
    <x v="3"/>
    <x v="3"/>
    <n v="25"/>
    <n v="5"/>
  </r>
  <r>
    <s v="ORD10758"/>
    <s v="CUST9460"/>
    <x v="5"/>
    <x v="8"/>
    <s v="2024-01-19"/>
    <n v="2024"/>
    <n v="1"/>
    <x v="15"/>
    <s v="12:34"/>
    <s v="Fast Food"/>
    <n v="326.27"/>
    <x v="1"/>
    <x v="3"/>
    <n v="62"/>
    <n v="2"/>
  </r>
  <r>
    <s v="ORD10759"/>
    <s v="CUST6246"/>
    <x v="2"/>
    <x v="3"/>
    <s v="2024-01-26"/>
    <n v="2024"/>
    <n v="1"/>
    <x v="12"/>
    <s v="10:15"/>
    <s v="BBQ"/>
    <n v="323.60000000000002"/>
    <x v="2"/>
    <x v="2"/>
    <n v="19"/>
    <n v="3"/>
  </r>
  <r>
    <s v="ORD10760"/>
    <s v="CUST7965"/>
    <x v="5"/>
    <x v="7"/>
    <s v="2024-01-19"/>
    <n v="2024"/>
    <n v="1"/>
    <x v="15"/>
    <s v="18:14"/>
    <s v="Fast Food"/>
    <n v="242.44"/>
    <x v="2"/>
    <x v="2"/>
    <n v="69"/>
    <n v="4"/>
  </r>
  <r>
    <s v="ORD10761"/>
    <s v="CUST1949"/>
    <x v="2"/>
    <x v="3"/>
    <s v="2024-01-14"/>
    <n v="2024"/>
    <n v="1"/>
    <x v="2"/>
    <s v="21:27"/>
    <s v="Desserts"/>
    <n v="477.44"/>
    <x v="0"/>
    <x v="2"/>
    <n v="50"/>
    <n v="3"/>
  </r>
  <r>
    <s v="ORD10762"/>
    <s v="CUST6303"/>
    <x v="3"/>
    <x v="4"/>
    <s v="2024-01-30"/>
    <n v="2024"/>
    <n v="1"/>
    <x v="30"/>
    <s v="13:52"/>
    <s v="Fast Food"/>
    <n v="330.77"/>
    <x v="1"/>
    <x v="1"/>
    <n v="29"/>
    <n v="2"/>
  </r>
  <r>
    <s v="ORD10763"/>
    <s v="CUST9558"/>
    <x v="5"/>
    <x v="0"/>
    <s v="2024-01-26"/>
    <n v="2024"/>
    <n v="1"/>
    <x v="12"/>
    <s v="11:26"/>
    <s v="Fast Food"/>
    <n v="180.87"/>
    <x v="1"/>
    <x v="1"/>
    <n v="68"/>
    <m/>
  </r>
  <r>
    <s v="ORD10764"/>
    <s v="CUST4231"/>
    <x v="7"/>
    <x v="7"/>
    <s v="2024-01-01"/>
    <n v="2024"/>
    <n v="1"/>
    <x v="25"/>
    <s v="22:32"/>
    <s v="Seafood"/>
    <n v="155.82"/>
    <x v="1"/>
    <x v="2"/>
    <n v="53"/>
    <n v="4"/>
  </r>
  <r>
    <s v="ORD10765"/>
    <s v="CUST1700"/>
    <x v="6"/>
    <x v="4"/>
    <s v="2024-01-03"/>
    <n v="2024"/>
    <n v="1"/>
    <x v="27"/>
    <s v="17:49"/>
    <s v="Sushi"/>
    <n v="120.48"/>
    <x v="0"/>
    <x v="2"/>
    <n v="57"/>
    <n v="4"/>
  </r>
  <r>
    <s v="ORD10766"/>
    <s v="CUST1189"/>
    <x v="8"/>
    <x v="6"/>
    <s v="2024-01-04"/>
    <n v="2024"/>
    <n v="1"/>
    <x v="22"/>
    <s v="21:30"/>
    <s v="BBQ"/>
    <n v="179.3"/>
    <x v="2"/>
    <x v="3"/>
    <n v="34"/>
    <n v="2"/>
  </r>
  <r>
    <s v="ORD10767"/>
    <s v="CUST5806"/>
    <x v="7"/>
    <x v="4"/>
    <s v="2024-01-06"/>
    <n v="2024"/>
    <n v="1"/>
    <x v="16"/>
    <s v="16:31"/>
    <s v="Beverages"/>
    <n v="182.08"/>
    <x v="2"/>
    <x v="1"/>
    <n v="29"/>
    <n v="1"/>
  </r>
  <r>
    <s v="ORD10768"/>
    <s v="CUST1919"/>
    <x v="5"/>
    <x v="3"/>
    <s v="2024-01-03"/>
    <n v="2024"/>
    <n v="1"/>
    <x v="27"/>
    <s v="19:43"/>
    <s v="Desserts"/>
    <n v="378.04"/>
    <x v="0"/>
    <x v="1"/>
    <n v="54"/>
    <n v="2"/>
  </r>
  <r>
    <s v="ORD10769"/>
    <s v="CUST9378"/>
    <x v="8"/>
    <x v="8"/>
    <s v="2024-01-13"/>
    <n v="2024"/>
    <n v="1"/>
    <x v="28"/>
    <s v="22:39"/>
    <s v="Seafood"/>
    <n v="333.52"/>
    <x v="2"/>
    <x v="3"/>
    <n v="39"/>
    <n v="2"/>
  </r>
  <r>
    <s v="ORD10770"/>
    <s v="CUST5276"/>
    <x v="7"/>
    <x v="9"/>
    <s v="2024-01-11"/>
    <n v="2024"/>
    <n v="1"/>
    <x v="3"/>
    <s v="20:25"/>
    <s v="Fast Food"/>
    <n v="224.07"/>
    <x v="2"/>
    <x v="0"/>
    <n v="45"/>
    <n v="4"/>
  </r>
  <r>
    <s v="ORD10771"/>
    <s v="CUST3628"/>
    <x v="6"/>
    <x v="1"/>
    <s v="2024-01-27"/>
    <n v="2024"/>
    <n v="1"/>
    <x v="7"/>
    <s v="20:36"/>
    <s v="Pizza"/>
    <n v="468.24"/>
    <x v="3"/>
    <x v="1"/>
    <n v="34"/>
    <n v="1"/>
  </r>
  <r>
    <s v="ORD10772"/>
    <s v="CUST2561"/>
    <x v="0"/>
    <x v="2"/>
    <s v="2024-01-10"/>
    <n v="2024"/>
    <n v="1"/>
    <x v="24"/>
    <s v="10:48"/>
    <s v="Sushi"/>
    <n v="483.4"/>
    <x v="2"/>
    <x v="2"/>
    <n v="44"/>
    <n v="3"/>
  </r>
  <r>
    <s v="ORD10773"/>
    <s v="CUST3813"/>
    <x v="4"/>
    <x v="4"/>
    <s v="2024-01-30"/>
    <n v="2024"/>
    <n v="1"/>
    <x v="30"/>
    <s v="19:59"/>
    <s v="Sushi"/>
    <n v="316.33"/>
    <x v="1"/>
    <x v="2"/>
    <n v="15"/>
    <m/>
  </r>
  <r>
    <s v="ORD10774"/>
    <s v="CUST2425"/>
    <x v="5"/>
    <x v="0"/>
    <s v="2024-01-21"/>
    <n v="2024"/>
    <n v="1"/>
    <x v="1"/>
    <s v="17:49"/>
    <s v="Sushi"/>
    <n v="73.790000000000006"/>
    <x v="3"/>
    <x v="1"/>
    <n v="44"/>
    <n v="4"/>
  </r>
  <r>
    <s v="ORD10775"/>
    <s v="CUST2747"/>
    <x v="1"/>
    <x v="4"/>
    <s v="2024-01-09"/>
    <n v="2024"/>
    <n v="1"/>
    <x v="0"/>
    <s v="16:25"/>
    <s v="Beverages"/>
    <n v="260.25"/>
    <x v="2"/>
    <x v="3"/>
    <n v="87"/>
    <n v="3"/>
  </r>
  <r>
    <s v="ORD10776"/>
    <s v="CUST9947"/>
    <x v="7"/>
    <x v="5"/>
    <s v="2024-01-14"/>
    <n v="2024"/>
    <n v="1"/>
    <x v="2"/>
    <s v="22:18"/>
    <s v="Seafood"/>
    <n v="496.28"/>
    <x v="3"/>
    <x v="0"/>
    <n v="90"/>
    <n v="2"/>
  </r>
  <r>
    <s v="ORD10777"/>
    <s v="CUST2902"/>
    <x v="3"/>
    <x v="3"/>
    <s v="2024-01-28"/>
    <n v="2024"/>
    <n v="1"/>
    <x v="21"/>
    <s v="23:36"/>
    <s v="Desserts"/>
    <n v="405.64"/>
    <x v="1"/>
    <x v="3"/>
    <n v="50"/>
    <n v="3"/>
  </r>
  <r>
    <s v="ORD10778"/>
    <s v="CUST6273"/>
    <x v="4"/>
    <x v="9"/>
    <s v="2024-01-03"/>
    <n v="2024"/>
    <n v="1"/>
    <x v="27"/>
    <s v="13:51"/>
    <s v="Sushi"/>
    <n v="496.69"/>
    <x v="2"/>
    <x v="3"/>
    <n v="38"/>
    <n v="4"/>
  </r>
  <r>
    <s v="ORD10779"/>
    <s v="CUST6944"/>
    <x v="6"/>
    <x v="1"/>
    <s v="2024-01-26"/>
    <n v="2024"/>
    <n v="1"/>
    <x v="12"/>
    <s v="10:40"/>
    <s v="Fast Food"/>
    <n v="221.23"/>
    <x v="2"/>
    <x v="2"/>
    <n v="88"/>
    <n v="1"/>
  </r>
  <r>
    <s v="ORD10780"/>
    <s v="CUST2823"/>
    <x v="1"/>
    <x v="7"/>
    <s v="2024-01-02"/>
    <n v="2024"/>
    <n v="1"/>
    <x v="26"/>
    <s v="11:17"/>
    <s v="Desserts"/>
    <n v="332.25"/>
    <x v="3"/>
    <x v="2"/>
    <n v="24"/>
    <m/>
  </r>
  <r>
    <s v="ORD10781"/>
    <s v="CUST7049"/>
    <x v="2"/>
    <x v="8"/>
    <s v="2024-01-24"/>
    <n v="2024"/>
    <n v="1"/>
    <x v="14"/>
    <s v="20:23"/>
    <s v="Desserts"/>
    <n v="203.66"/>
    <x v="1"/>
    <x v="0"/>
    <n v="85"/>
    <n v="5"/>
  </r>
  <r>
    <s v="ORD10782"/>
    <s v="CUST7002"/>
    <x v="7"/>
    <x v="8"/>
    <s v="2024-01-16"/>
    <n v="2024"/>
    <n v="1"/>
    <x v="10"/>
    <s v="21:27"/>
    <s v="Fast Food"/>
    <n v="228.65"/>
    <x v="3"/>
    <x v="3"/>
    <n v="21"/>
    <n v="3"/>
  </r>
  <r>
    <s v="ORD10783"/>
    <s v="CUST7452"/>
    <x v="4"/>
    <x v="5"/>
    <s v="2024-01-26"/>
    <n v="2024"/>
    <n v="1"/>
    <x v="12"/>
    <s v="10:19"/>
    <s v="BBQ"/>
    <n v="411.69"/>
    <x v="3"/>
    <x v="3"/>
    <n v="70"/>
    <n v="3"/>
  </r>
  <r>
    <s v="ORD10784"/>
    <s v="CUST1159"/>
    <x v="2"/>
    <x v="4"/>
    <s v="2024-01-07"/>
    <n v="2024"/>
    <n v="1"/>
    <x v="18"/>
    <s v="12:48"/>
    <s v="BBQ"/>
    <n v="245.55"/>
    <x v="1"/>
    <x v="1"/>
    <n v="19"/>
    <n v="4"/>
  </r>
  <r>
    <s v="ORD10785"/>
    <s v="CUST8547"/>
    <x v="6"/>
    <x v="2"/>
    <s v="2024-01-31"/>
    <n v="2024"/>
    <n v="1"/>
    <x v="6"/>
    <s v="16:28"/>
    <s v="Seafood"/>
    <n v="372.67"/>
    <x v="0"/>
    <x v="2"/>
    <n v="81"/>
    <n v="3"/>
  </r>
  <r>
    <s v="ORD10786"/>
    <s v="CUST7268"/>
    <x v="6"/>
    <x v="0"/>
    <s v="2024-01-28"/>
    <n v="2024"/>
    <n v="1"/>
    <x v="21"/>
    <s v="13:43"/>
    <s v="Pizza"/>
    <n v="446.33"/>
    <x v="0"/>
    <x v="2"/>
    <n v="31"/>
    <n v="5"/>
  </r>
  <r>
    <s v="ORD10787"/>
    <s v="CUST5628"/>
    <x v="2"/>
    <x v="0"/>
    <s v="2024-01-05"/>
    <n v="2024"/>
    <n v="1"/>
    <x v="20"/>
    <s v="18:41"/>
    <s v="Healthy"/>
    <n v="274.56"/>
    <x v="2"/>
    <x v="3"/>
    <n v="55"/>
    <n v="3"/>
  </r>
  <r>
    <s v="ORD10788"/>
    <s v="CUST8309"/>
    <x v="8"/>
    <x v="6"/>
    <s v="2024-01-01"/>
    <n v="2024"/>
    <n v="1"/>
    <x v="25"/>
    <s v="18:17"/>
    <s v="Sushi"/>
    <n v="178.83"/>
    <x v="3"/>
    <x v="1"/>
    <n v="67"/>
    <n v="3"/>
  </r>
  <r>
    <s v="ORD10789"/>
    <s v="CUST6496"/>
    <x v="9"/>
    <x v="8"/>
    <s v="2024-01-15"/>
    <n v="2024"/>
    <n v="1"/>
    <x v="13"/>
    <s v="12:10"/>
    <s v="Desserts"/>
    <n v="257.85000000000002"/>
    <x v="2"/>
    <x v="3"/>
    <n v="86"/>
    <n v="3"/>
  </r>
  <r>
    <s v="ORD10790"/>
    <s v="CUST4695"/>
    <x v="1"/>
    <x v="8"/>
    <s v="2024-01-05"/>
    <n v="2024"/>
    <n v="1"/>
    <x v="20"/>
    <s v="23:53"/>
    <s v="Sushi"/>
    <n v="498.04"/>
    <x v="1"/>
    <x v="1"/>
    <n v="76"/>
    <n v="2"/>
  </r>
  <r>
    <s v="ORD10791"/>
    <s v="CUST6500"/>
    <x v="0"/>
    <x v="1"/>
    <s v="2024-01-02"/>
    <n v="2024"/>
    <n v="1"/>
    <x v="26"/>
    <s v="17:15"/>
    <s v="Healthy"/>
    <n v="320.52999999999997"/>
    <x v="1"/>
    <x v="0"/>
    <n v="81"/>
    <m/>
  </r>
  <r>
    <s v="ORD10792"/>
    <s v="CUST1057"/>
    <x v="8"/>
    <x v="8"/>
    <s v="2024-01-17"/>
    <n v="2024"/>
    <n v="1"/>
    <x v="4"/>
    <s v="19:33"/>
    <s v="Healthy"/>
    <n v="186.85"/>
    <x v="3"/>
    <x v="1"/>
    <n v="56"/>
    <n v="5"/>
  </r>
  <r>
    <s v="ORD10793"/>
    <s v="CUST3121"/>
    <x v="6"/>
    <x v="4"/>
    <s v="2024-01-11"/>
    <n v="2024"/>
    <n v="1"/>
    <x v="3"/>
    <s v="21:42"/>
    <s v="Seafood"/>
    <n v="460.78"/>
    <x v="3"/>
    <x v="0"/>
    <n v="24"/>
    <n v="4"/>
  </r>
  <r>
    <s v="ORD10794"/>
    <s v="CUST5774"/>
    <x v="7"/>
    <x v="8"/>
    <s v="2024-01-11"/>
    <n v="2024"/>
    <n v="1"/>
    <x v="3"/>
    <s v="16:36"/>
    <s v="Desserts"/>
    <n v="351.41"/>
    <x v="1"/>
    <x v="3"/>
    <n v="54"/>
    <n v="4"/>
  </r>
  <r>
    <s v="ORD10795"/>
    <s v="CUST9830"/>
    <x v="9"/>
    <x v="3"/>
    <s v="2024-01-24"/>
    <n v="2024"/>
    <n v="1"/>
    <x v="14"/>
    <s v="23:12"/>
    <s v="Desserts"/>
    <n v="477.61"/>
    <x v="1"/>
    <x v="0"/>
    <n v="61"/>
    <n v="2"/>
  </r>
  <r>
    <s v="ORD10796"/>
    <s v="CUST1704"/>
    <x v="5"/>
    <x v="5"/>
    <s v="2024-01-02"/>
    <n v="2024"/>
    <n v="1"/>
    <x v="26"/>
    <s v="23:36"/>
    <s v="Beverages"/>
    <n v="499.1"/>
    <x v="1"/>
    <x v="3"/>
    <n v="60"/>
    <m/>
  </r>
  <r>
    <s v="ORD10797"/>
    <s v="CUST3698"/>
    <x v="2"/>
    <x v="0"/>
    <s v="2024-01-27"/>
    <n v="2024"/>
    <n v="1"/>
    <x v="7"/>
    <s v="12:40"/>
    <s v="Fast Food"/>
    <n v="178.69"/>
    <x v="2"/>
    <x v="3"/>
    <n v="56"/>
    <n v="4"/>
  </r>
  <r>
    <s v="ORD10798"/>
    <s v="CUST2263"/>
    <x v="3"/>
    <x v="0"/>
    <s v="2024-01-05"/>
    <n v="2024"/>
    <n v="1"/>
    <x v="20"/>
    <s v="22:11"/>
    <s v="Healthy"/>
    <n v="192.31"/>
    <x v="3"/>
    <x v="0"/>
    <n v="31"/>
    <n v="3"/>
  </r>
  <r>
    <s v="ORD10799"/>
    <s v="CUST5403"/>
    <x v="1"/>
    <x v="1"/>
    <s v="2024-01-09"/>
    <n v="2024"/>
    <n v="1"/>
    <x v="0"/>
    <s v="17:11"/>
    <s v="Healthy"/>
    <n v="408.5"/>
    <x v="0"/>
    <x v="3"/>
    <n v="88"/>
    <n v="2"/>
  </r>
  <r>
    <s v="ORD10800"/>
    <s v="CUST3447"/>
    <x v="9"/>
    <x v="7"/>
    <s v="2024-01-11"/>
    <n v="2024"/>
    <n v="1"/>
    <x v="3"/>
    <s v="16:14"/>
    <s v="Fast Food"/>
    <n v="206.34"/>
    <x v="3"/>
    <x v="2"/>
    <n v="76"/>
    <n v="2"/>
  </r>
  <r>
    <s v="ORD10801"/>
    <s v="CUST9432"/>
    <x v="3"/>
    <x v="1"/>
    <s v="2024-01-06"/>
    <n v="2024"/>
    <n v="1"/>
    <x v="16"/>
    <s v="20:20"/>
    <s v="Desserts"/>
    <n v="275.76"/>
    <x v="2"/>
    <x v="3"/>
    <n v="68"/>
    <m/>
  </r>
  <r>
    <s v="ORD10802"/>
    <s v="CUST8802"/>
    <x v="0"/>
    <x v="8"/>
    <s v="2024-01-04"/>
    <n v="2024"/>
    <n v="1"/>
    <x v="22"/>
    <s v="12:26"/>
    <s v="Sushi"/>
    <n v="106.98"/>
    <x v="3"/>
    <x v="2"/>
    <n v="55"/>
    <n v="5"/>
  </r>
  <r>
    <s v="ORD10803"/>
    <s v="CUST8287"/>
    <x v="7"/>
    <x v="5"/>
    <s v="2024-01-04"/>
    <n v="2024"/>
    <n v="1"/>
    <x v="22"/>
    <s v="10:57"/>
    <s v="BBQ"/>
    <n v="420.45"/>
    <x v="1"/>
    <x v="0"/>
    <n v="73"/>
    <n v="5"/>
  </r>
  <r>
    <s v="ORD10804"/>
    <s v="CUST9341"/>
    <x v="1"/>
    <x v="8"/>
    <s v="2024-01-10"/>
    <n v="2024"/>
    <n v="1"/>
    <x v="24"/>
    <s v="23:57"/>
    <s v="Sushi"/>
    <n v="341.18"/>
    <x v="3"/>
    <x v="1"/>
    <n v="35"/>
    <m/>
  </r>
  <r>
    <s v="ORD10805"/>
    <s v="CUST4398"/>
    <x v="2"/>
    <x v="6"/>
    <s v="2024-01-22"/>
    <n v="2024"/>
    <n v="1"/>
    <x v="19"/>
    <s v="18:58"/>
    <s v="Seafood"/>
    <n v="271.24"/>
    <x v="2"/>
    <x v="0"/>
    <n v="28"/>
    <n v="1"/>
  </r>
  <r>
    <s v="ORD10806"/>
    <s v="CUST5418"/>
    <x v="9"/>
    <x v="8"/>
    <s v="2024-01-16"/>
    <n v="2024"/>
    <n v="1"/>
    <x v="10"/>
    <s v="23:30"/>
    <s v="Pizza"/>
    <n v="315.39"/>
    <x v="2"/>
    <x v="3"/>
    <n v="27"/>
    <n v="3"/>
  </r>
  <r>
    <s v="ORD10807"/>
    <s v="CUST7561"/>
    <x v="8"/>
    <x v="6"/>
    <s v="2024-01-11"/>
    <n v="2024"/>
    <n v="1"/>
    <x v="3"/>
    <s v="13:58"/>
    <s v="Desserts"/>
    <n v="325.10000000000002"/>
    <x v="3"/>
    <x v="3"/>
    <n v="81"/>
    <m/>
  </r>
  <r>
    <s v="ORD10808"/>
    <s v="CUST9199"/>
    <x v="5"/>
    <x v="4"/>
    <s v="2024-01-21"/>
    <n v="2024"/>
    <n v="1"/>
    <x v="1"/>
    <s v="16:33"/>
    <s v="Fast Food"/>
    <n v="292.42"/>
    <x v="0"/>
    <x v="2"/>
    <n v="47"/>
    <n v="2"/>
  </r>
  <r>
    <s v="ORD10809"/>
    <s v="CUST9950"/>
    <x v="1"/>
    <x v="6"/>
    <s v="2024-01-31"/>
    <n v="2024"/>
    <n v="1"/>
    <x v="6"/>
    <s v="19:27"/>
    <s v="Sushi"/>
    <n v="440.97"/>
    <x v="2"/>
    <x v="1"/>
    <n v="50"/>
    <n v="4"/>
  </r>
  <r>
    <s v="ORD10810"/>
    <s v="CUST2770"/>
    <x v="9"/>
    <x v="1"/>
    <s v="2024-01-09"/>
    <n v="2024"/>
    <n v="1"/>
    <x v="0"/>
    <s v="15:43"/>
    <s v="Fast Food"/>
    <n v="304.01"/>
    <x v="3"/>
    <x v="1"/>
    <n v="53"/>
    <n v="1"/>
  </r>
  <r>
    <s v="ORD10811"/>
    <s v="CUST4067"/>
    <x v="7"/>
    <x v="8"/>
    <s v="2024-01-18"/>
    <n v="2024"/>
    <n v="1"/>
    <x v="9"/>
    <s v="18:46"/>
    <s v="Desserts"/>
    <n v="434.33"/>
    <x v="2"/>
    <x v="2"/>
    <n v="27"/>
    <n v="3"/>
  </r>
  <r>
    <s v="ORD10812"/>
    <s v="CUST8754"/>
    <x v="0"/>
    <x v="9"/>
    <s v="2024-01-07"/>
    <n v="2024"/>
    <n v="1"/>
    <x v="18"/>
    <s v="10:26"/>
    <s v="Desserts"/>
    <n v="95.16"/>
    <x v="2"/>
    <x v="0"/>
    <n v="34"/>
    <n v="3"/>
  </r>
  <r>
    <s v="ORD10813"/>
    <s v="CUST7242"/>
    <x v="0"/>
    <x v="2"/>
    <s v="2024-01-02"/>
    <n v="2024"/>
    <n v="1"/>
    <x v="26"/>
    <s v="19:11"/>
    <s v="Beverages"/>
    <n v="274.91000000000003"/>
    <x v="1"/>
    <x v="2"/>
    <n v="65"/>
    <n v="2"/>
  </r>
  <r>
    <s v="ORD10814"/>
    <s v="CUST8094"/>
    <x v="3"/>
    <x v="5"/>
    <s v="2024-01-13"/>
    <n v="2024"/>
    <n v="1"/>
    <x v="28"/>
    <s v="18:47"/>
    <s v="Pizza"/>
    <n v="480.94"/>
    <x v="0"/>
    <x v="1"/>
    <n v="75"/>
    <n v="1"/>
  </r>
  <r>
    <s v="ORD10815"/>
    <s v="CUST2223"/>
    <x v="1"/>
    <x v="1"/>
    <s v="2024-01-16"/>
    <n v="2024"/>
    <n v="1"/>
    <x v="10"/>
    <s v="21:19"/>
    <s v="Fast Food"/>
    <n v="458.96"/>
    <x v="2"/>
    <x v="0"/>
    <n v="36"/>
    <m/>
  </r>
  <r>
    <s v="ORD10816"/>
    <s v="CUST2978"/>
    <x v="0"/>
    <x v="5"/>
    <s v="2024-01-26"/>
    <n v="2024"/>
    <n v="1"/>
    <x v="12"/>
    <s v="18:25"/>
    <s v="Sushi"/>
    <n v="261.33"/>
    <x v="3"/>
    <x v="3"/>
    <n v="33"/>
    <n v="3"/>
  </r>
  <r>
    <s v="ORD10817"/>
    <s v="CUST4502"/>
    <x v="1"/>
    <x v="1"/>
    <s v="2024-01-09"/>
    <n v="2024"/>
    <n v="1"/>
    <x v="0"/>
    <s v="13:20"/>
    <s v="BBQ"/>
    <n v="286.62"/>
    <x v="0"/>
    <x v="2"/>
    <n v="35"/>
    <n v="5"/>
  </r>
  <r>
    <s v="ORD10818"/>
    <s v="CUST7716"/>
    <x v="3"/>
    <x v="2"/>
    <s v="2024-01-13"/>
    <n v="2024"/>
    <n v="1"/>
    <x v="28"/>
    <s v="19:22"/>
    <s v="Pizza"/>
    <n v="243.9"/>
    <x v="1"/>
    <x v="0"/>
    <n v="50"/>
    <n v="5"/>
  </r>
  <r>
    <s v="ORD10819"/>
    <s v="CUST1110"/>
    <x v="3"/>
    <x v="9"/>
    <s v="2024-01-06"/>
    <n v="2024"/>
    <n v="1"/>
    <x v="16"/>
    <s v="15:13"/>
    <s v="Desserts"/>
    <n v="161.69999999999999"/>
    <x v="2"/>
    <x v="0"/>
    <n v="89"/>
    <n v="4"/>
  </r>
  <r>
    <s v="ORD10820"/>
    <s v="CUST3793"/>
    <x v="1"/>
    <x v="8"/>
    <s v="2024-01-08"/>
    <n v="2024"/>
    <n v="1"/>
    <x v="5"/>
    <s v="11:10"/>
    <s v="Fast Food"/>
    <n v="368.18"/>
    <x v="2"/>
    <x v="0"/>
    <n v="15"/>
    <n v="1"/>
  </r>
  <r>
    <s v="ORD10821"/>
    <s v="CUST1495"/>
    <x v="9"/>
    <x v="9"/>
    <s v="2024-01-16"/>
    <n v="2024"/>
    <n v="1"/>
    <x v="10"/>
    <s v="16:41"/>
    <s v="BBQ"/>
    <n v="229.86"/>
    <x v="1"/>
    <x v="0"/>
    <n v="76"/>
    <n v="4"/>
  </r>
  <r>
    <s v="ORD10822"/>
    <s v="CUST5457"/>
    <x v="2"/>
    <x v="7"/>
    <s v="2024-01-22"/>
    <n v="2024"/>
    <n v="1"/>
    <x v="19"/>
    <s v="20:40"/>
    <s v="Healthy"/>
    <n v="147.80000000000001"/>
    <x v="0"/>
    <x v="0"/>
    <n v="55"/>
    <n v="5"/>
  </r>
  <r>
    <s v="ORD10823"/>
    <s v="CUST8647"/>
    <x v="6"/>
    <x v="4"/>
    <s v="2024-01-20"/>
    <n v="2024"/>
    <n v="1"/>
    <x v="23"/>
    <s v="18:14"/>
    <s v="Sushi"/>
    <n v="326.49"/>
    <x v="1"/>
    <x v="1"/>
    <n v="56"/>
    <n v="4"/>
  </r>
  <r>
    <s v="ORD10824"/>
    <s v="CUST9115"/>
    <x v="3"/>
    <x v="7"/>
    <s v="2024-01-28"/>
    <n v="2024"/>
    <n v="1"/>
    <x v="21"/>
    <s v="16:57"/>
    <s v="Pizza"/>
    <n v="222.69"/>
    <x v="0"/>
    <x v="1"/>
    <n v="50"/>
    <n v="5"/>
  </r>
  <r>
    <s v="ORD10825"/>
    <s v="CUST7508"/>
    <x v="2"/>
    <x v="5"/>
    <s v="2024-01-09"/>
    <n v="2024"/>
    <n v="1"/>
    <x v="0"/>
    <s v="12:42"/>
    <s v="Healthy"/>
    <n v="163.57"/>
    <x v="2"/>
    <x v="3"/>
    <n v="21"/>
    <m/>
  </r>
  <r>
    <s v="ORD10826"/>
    <s v="CUST6157"/>
    <x v="4"/>
    <x v="9"/>
    <s v="2024-01-21"/>
    <n v="2024"/>
    <n v="1"/>
    <x v="1"/>
    <s v="15:59"/>
    <s v="Seafood"/>
    <n v="68.760000000000005"/>
    <x v="3"/>
    <x v="2"/>
    <n v="51"/>
    <m/>
  </r>
  <r>
    <s v="ORD10827"/>
    <s v="CUST4504"/>
    <x v="0"/>
    <x v="9"/>
    <s v="2024-01-06"/>
    <n v="2024"/>
    <n v="1"/>
    <x v="16"/>
    <s v="11:15"/>
    <s v="Fast Food"/>
    <n v="284.56"/>
    <x v="2"/>
    <x v="0"/>
    <n v="31"/>
    <n v="5"/>
  </r>
  <r>
    <s v="ORD10828"/>
    <s v="CUST5224"/>
    <x v="2"/>
    <x v="7"/>
    <s v="2024-01-11"/>
    <n v="2024"/>
    <n v="1"/>
    <x v="3"/>
    <s v="19:20"/>
    <s v="Seafood"/>
    <n v="98.62"/>
    <x v="1"/>
    <x v="0"/>
    <n v="45"/>
    <n v="4"/>
  </r>
  <r>
    <s v="ORD10829"/>
    <s v="CUST3851"/>
    <x v="8"/>
    <x v="9"/>
    <s v="2024-01-08"/>
    <n v="2024"/>
    <n v="1"/>
    <x v="5"/>
    <s v="11:46"/>
    <s v="Sushi"/>
    <n v="328.59"/>
    <x v="0"/>
    <x v="2"/>
    <n v="49"/>
    <n v="5"/>
  </r>
  <r>
    <s v="ORD10830"/>
    <s v="CUST4844"/>
    <x v="3"/>
    <x v="2"/>
    <s v="2024-01-24"/>
    <n v="2024"/>
    <n v="1"/>
    <x v="14"/>
    <s v="12:30"/>
    <s v="BBQ"/>
    <n v="369.97"/>
    <x v="3"/>
    <x v="2"/>
    <n v="56"/>
    <n v="1"/>
  </r>
  <r>
    <s v="ORD10831"/>
    <s v="CUST3880"/>
    <x v="8"/>
    <x v="0"/>
    <s v="2024-01-31"/>
    <n v="2024"/>
    <n v="1"/>
    <x v="6"/>
    <s v="23:10"/>
    <s v="Seafood"/>
    <n v="113.8"/>
    <x v="1"/>
    <x v="1"/>
    <n v="47"/>
    <m/>
  </r>
  <r>
    <s v="ORD10832"/>
    <s v="CUST5372"/>
    <x v="5"/>
    <x v="9"/>
    <s v="2024-01-20"/>
    <n v="2024"/>
    <n v="1"/>
    <x v="23"/>
    <s v="12:13"/>
    <s v="Seafood"/>
    <n v="208.95"/>
    <x v="0"/>
    <x v="2"/>
    <n v="48"/>
    <n v="4"/>
  </r>
  <r>
    <s v="ORD10833"/>
    <s v="CUST1073"/>
    <x v="4"/>
    <x v="5"/>
    <s v="2024-01-01"/>
    <n v="2024"/>
    <n v="1"/>
    <x v="25"/>
    <s v="17:13"/>
    <s v="Seafood"/>
    <n v="329.73"/>
    <x v="0"/>
    <x v="0"/>
    <n v="56"/>
    <m/>
  </r>
  <r>
    <s v="ORD10834"/>
    <s v="CUST1527"/>
    <x v="9"/>
    <x v="5"/>
    <s v="2024-01-06"/>
    <n v="2024"/>
    <n v="1"/>
    <x v="16"/>
    <s v="22:23"/>
    <s v="Pizza"/>
    <n v="497.4"/>
    <x v="0"/>
    <x v="1"/>
    <n v="43"/>
    <n v="1"/>
  </r>
  <r>
    <s v="ORD10835"/>
    <s v="CUST2011"/>
    <x v="8"/>
    <x v="5"/>
    <s v="2024-01-21"/>
    <n v="2024"/>
    <n v="1"/>
    <x v="1"/>
    <s v="15:51"/>
    <s v="Beverages"/>
    <n v="473.38"/>
    <x v="3"/>
    <x v="3"/>
    <n v="67"/>
    <n v="4"/>
  </r>
  <r>
    <s v="ORD10836"/>
    <s v="CUST2777"/>
    <x v="0"/>
    <x v="3"/>
    <s v="2024-01-08"/>
    <n v="2024"/>
    <n v="1"/>
    <x v="5"/>
    <s v="10:33"/>
    <s v="Fast Food"/>
    <n v="310.56"/>
    <x v="0"/>
    <x v="0"/>
    <n v="85"/>
    <m/>
  </r>
  <r>
    <s v="ORD10837"/>
    <s v="CUST2763"/>
    <x v="8"/>
    <x v="4"/>
    <s v="2024-01-27"/>
    <n v="2024"/>
    <n v="1"/>
    <x v="7"/>
    <s v="15:38"/>
    <s v="Fast Food"/>
    <n v="218.46"/>
    <x v="1"/>
    <x v="2"/>
    <n v="37"/>
    <n v="3"/>
  </r>
  <r>
    <s v="ORD10838"/>
    <s v="CUST1625"/>
    <x v="9"/>
    <x v="1"/>
    <s v="2024-01-21"/>
    <n v="2024"/>
    <n v="1"/>
    <x v="1"/>
    <s v="11:19"/>
    <s v="Seafood"/>
    <n v="250.06"/>
    <x v="0"/>
    <x v="1"/>
    <n v="89"/>
    <m/>
  </r>
  <r>
    <s v="ORD10839"/>
    <s v="CUST1781"/>
    <x v="4"/>
    <x v="7"/>
    <s v="2024-01-10"/>
    <n v="2024"/>
    <n v="1"/>
    <x v="24"/>
    <s v="22:23"/>
    <s v="Sushi"/>
    <n v="167.77"/>
    <x v="2"/>
    <x v="0"/>
    <n v="49"/>
    <n v="5"/>
  </r>
  <r>
    <s v="ORD10840"/>
    <s v="CUST3837"/>
    <x v="3"/>
    <x v="4"/>
    <s v="2024-01-30"/>
    <n v="2024"/>
    <n v="1"/>
    <x v="30"/>
    <s v="21:33"/>
    <s v="Desserts"/>
    <n v="338.88"/>
    <x v="2"/>
    <x v="2"/>
    <n v="31"/>
    <m/>
  </r>
  <r>
    <s v="ORD10841"/>
    <s v="CUST6478"/>
    <x v="0"/>
    <x v="3"/>
    <s v="2024-01-12"/>
    <n v="2024"/>
    <n v="1"/>
    <x v="29"/>
    <s v="15:44"/>
    <s v="Pizza"/>
    <n v="272.39"/>
    <x v="3"/>
    <x v="3"/>
    <n v="19"/>
    <n v="3"/>
  </r>
  <r>
    <s v="ORD10842"/>
    <s v="CUST8467"/>
    <x v="3"/>
    <x v="5"/>
    <s v="2024-01-05"/>
    <n v="2024"/>
    <n v="1"/>
    <x v="20"/>
    <s v="23:46"/>
    <s v="Seafood"/>
    <n v="345.09"/>
    <x v="1"/>
    <x v="0"/>
    <n v="83"/>
    <n v="4"/>
  </r>
  <r>
    <s v="ORD10843"/>
    <s v="CUST5138"/>
    <x v="5"/>
    <x v="1"/>
    <s v="2024-01-01"/>
    <n v="2024"/>
    <n v="1"/>
    <x v="25"/>
    <s v="14:23"/>
    <s v="Seafood"/>
    <n v="228.17"/>
    <x v="0"/>
    <x v="3"/>
    <n v="55"/>
    <n v="5"/>
  </r>
  <r>
    <s v="ORD10844"/>
    <s v="CUST9546"/>
    <x v="8"/>
    <x v="1"/>
    <s v="2024-01-31"/>
    <n v="2024"/>
    <n v="1"/>
    <x v="6"/>
    <s v="21:57"/>
    <s v="Seafood"/>
    <n v="159.96"/>
    <x v="0"/>
    <x v="3"/>
    <n v="34"/>
    <n v="5"/>
  </r>
  <r>
    <s v="ORD10845"/>
    <s v="CUST3285"/>
    <x v="3"/>
    <x v="3"/>
    <s v="2024-01-16"/>
    <n v="2024"/>
    <n v="1"/>
    <x v="10"/>
    <s v="16:11"/>
    <s v="Sushi"/>
    <n v="494.61"/>
    <x v="1"/>
    <x v="1"/>
    <n v="77"/>
    <n v="4"/>
  </r>
  <r>
    <s v="ORD10846"/>
    <s v="CUST9124"/>
    <x v="3"/>
    <x v="0"/>
    <s v="2024-01-27"/>
    <n v="2024"/>
    <n v="1"/>
    <x v="7"/>
    <s v="10:56"/>
    <s v="Beverages"/>
    <n v="75.11"/>
    <x v="3"/>
    <x v="2"/>
    <n v="44"/>
    <n v="4"/>
  </r>
  <r>
    <s v="ORD10847"/>
    <s v="CUST6954"/>
    <x v="3"/>
    <x v="0"/>
    <s v="2024-01-05"/>
    <n v="2024"/>
    <n v="1"/>
    <x v="20"/>
    <s v="16:49"/>
    <s v="Sushi"/>
    <n v="412.11"/>
    <x v="1"/>
    <x v="3"/>
    <n v="34"/>
    <n v="3"/>
  </r>
  <r>
    <s v="ORD10848"/>
    <s v="CUST9731"/>
    <x v="8"/>
    <x v="4"/>
    <s v="2024-01-18"/>
    <n v="2024"/>
    <n v="1"/>
    <x v="9"/>
    <s v="19:44"/>
    <s v="Desserts"/>
    <n v="444.71"/>
    <x v="1"/>
    <x v="0"/>
    <n v="44"/>
    <n v="4"/>
  </r>
  <r>
    <s v="ORD10849"/>
    <s v="CUST1846"/>
    <x v="4"/>
    <x v="6"/>
    <s v="2024-01-07"/>
    <n v="2024"/>
    <n v="1"/>
    <x v="18"/>
    <s v="20:39"/>
    <s v="Beverages"/>
    <n v="154.46"/>
    <x v="3"/>
    <x v="3"/>
    <n v="89"/>
    <n v="5"/>
  </r>
  <r>
    <s v="ORD10850"/>
    <s v="CUST8104"/>
    <x v="6"/>
    <x v="8"/>
    <s v="2024-01-17"/>
    <n v="2024"/>
    <n v="1"/>
    <x v="4"/>
    <s v="16:48"/>
    <s v="BBQ"/>
    <n v="382.57"/>
    <x v="2"/>
    <x v="2"/>
    <n v="69"/>
    <n v="3"/>
  </r>
  <r>
    <s v="ORD10851"/>
    <s v="CUST7390"/>
    <x v="9"/>
    <x v="1"/>
    <s v="2024-01-22"/>
    <n v="2024"/>
    <n v="1"/>
    <x v="19"/>
    <s v="11:39"/>
    <s v="Beverages"/>
    <n v="239.91"/>
    <x v="3"/>
    <x v="3"/>
    <n v="80"/>
    <n v="5"/>
  </r>
  <r>
    <s v="ORD10852"/>
    <s v="CUST4950"/>
    <x v="1"/>
    <x v="6"/>
    <s v="2024-01-26"/>
    <n v="2024"/>
    <n v="1"/>
    <x v="12"/>
    <s v="10:11"/>
    <s v="Sushi"/>
    <n v="349.05"/>
    <x v="3"/>
    <x v="0"/>
    <n v="84"/>
    <m/>
  </r>
  <r>
    <s v="ORD10853"/>
    <s v="CUST8252"/>
    <x v="2"/>
    <x v="0"/>
    <s v="2024-01-14"/>
    <n v="2024"/>
    <n v="1"/>
    <x v="2"/>
    <s v="22:33"/>
    <s v="Sushi"/>
    <n v="233.5"/>
    <x v="2"/>
    <x v="1"/>
    <n v="18"/>
    <n v="1"/>
  </r>
  <r>
    <s v="ORD10854"/>
    <s v="CUST4976"/>
    <x v="5"/>
    <x v="6"/>
    <s v="2024-01-25"/>
    <n v="2024"/>
    <n v="1"/>
    <x v="8"/>
    <s v="16:57"/>
    <s v="Desserts"/>
    <n v="256.61"/>
    <x v="0"/>
    <x v="0"/>
    <n v="19"/>
    <n v="3"/>
  </r>
  <r>
    <s v="ORD10855"/>
    <s v="CUST8850"/>
    <x v="2"/>
    <x v="8"/>
    <s v="2024-01-17"/>
    <n v="2024"/>
    <n v="1"/>
    <x v="4"/>
    <s v="12:20"/>
    <s v="Sushi"/>
    <n v="127.8"/>
    <x v="3"/>
    <x v="3"/>
    <n v="65"/>
    <n v="3"/>
  </r>
  <r>
    <s v="ORD10856"/>
    <s v="CUST1996"/>
    <x v="6"/>
    <x v="0"/>
    <s v="2024-01-19"/>
    <n v="2024"/>
    <n v="1"/>
    <x v="15"/>
    <s v="16:42"/>
    <s v="Fast Food"/>
    <n v="225.61"/>
    <x v="2"/>
    <x v="0"/>
    <n v="20"/>
    <n v="2"/>
  </r>
  <r>
    <s v="ORD10857"/>
    <s v="CUST4067"/>
    <x v="9"/>
    <x v="9"/>
    <s v="2024-01-10"/>
    <n v="2024"/>
    <n v="1"/>
    <x v="24"/>
    <s v="16:14"/>
    <s v="Pizza"/>
    <n v="195.08"/>
    <x v="1"/>
    <x v="0"/>
    <n v="77"/>
    <n v="4"/>
  </r>
  <r>
    <s v="ORD10858"/>
    <s v="CUST7995"/>
    <x v="9"/>
    <x v="7"/>
    <s v="2024-01-16"/>
    <n v="2024"/>
    <n v="1"/>
    <x v="10"/>
    <s v="21:44"/>
    <s v="BBQ"/>
    <n v="232.8"/>
    <x v="1"/>
    <x v="3"/>
    <n v="66"/>
    <n v="1"/>
  </r>
  <r>
    <s v="ORD10859"/>
    <s v="CUST3312"/>
    <x v="8"/>
    <x v="7"/>
    <s v="2024-01-20"/>
    <n v="2024"/>
    <n v="1"/>
    <x v="23"/>
    <s v="22:28"/>
    <s v="Sushi"/>
    <n v="220.03"/>
    <x v="1"/>
    <x v="2"/>
    <n v="89"/>
    <n v="2"/>
  </r>
  <r>
    <s v="ORD10860"/>
    <s v="CUST3659"/>
    <x v="6"/>
    <x v="3"/>
    <s v="2024-01-25"/>
    <n v="2024"/>
    <n v="1"/>
    <x v="8"/>
    <s v="10:25"/>
    <s v="BBQ"/>
    <n v="243.11"/>
    <x v="3"/>
    <x v="0"/>
    <n v="79"/>
    <n v="4"/>
  </r>
  <r>
    <s v="ORD10861"/>
    <s v="CUST1934"/>
    <x v="3"/>
    <x v="6"/>
    <s v="2024-01-22"/>
    <n v="2024"/>
    <n v="1"/>
    <x v="19"/>
    <s v="22:53"/>
    <s v="Healthy"/>
    <n v="367.9"/>
    <x v="0"/>
    <x v="3"/>
    <n v="16"/>
    <n v="3"/>
  </r>
  <r>
    <s v="ORD10862"/>
    <s v="CUST5314"/>
    <x v="8"/>
    <x v="6"/>
    <s v="2024-01-05"/>
    <n v="2024"/>
    <n v="1"/>
    <x v="20"/>
    <s v="16:13"/>
    <s v="Seafood"/>
    <n v="224.58"/>
    <x v="0"/>
    <x v="0"/>
    <n v="86"/>
    <n v="5"/>
  </r>
  <r>
    <s v="ORD10863"/>
    <s v="CUST3719"/>
    <x v="1"/>
    <x v="7"/>
    <s v="2024-01-10"/>
    <n v="2024"/>
    <n v="1"/>
    <x v="24"/>
    <s v="19:56"/>
    <s v="Sushi"/>
    <n v="485.15"/>
    <x v="1"/>
    <x v="1"/>
    <n v="83"/>
    <n v="1"/>
  </r>
  <r>
    <s v="ORD10864"/>
    <s v="CUST8767"/>
    <x v="9"/>
    <x v="0"/>
    <s v="2024-01-04"/>
    <n v="2024"/>
    <n v="1"/>
    <x v="22"/>
    <s v="14:23"/>
    <s v="Seafood"/>
    <n v="222.06"/>
    <x v="3"/>
    <x v="1"/>
    <n v="64"/>
    <n v="5"/>
  </r>
  <r>
    <s v="ORD10865"/>
    <s v="CUST1498"/>
    <x v="7"/>
    <x v="8"/>
    <s v="2024-01-25"/>
    <n v="2024"/>
    <n v="1"/>
    <x v="8"/>
    <s v="17:56"/>
    <s v="Beverages"/>
    <n v="373.29"/>
    <x v="3"/>
    <x v="3"/>
    <n v="19"/>
    <n v="5"/>
  </r>
  <r>
    <s v="ORD10866"/>
    <s v="CUST6690"/>
    <x v="9"/>
    <x v="7"/>
    <s v="2024-01-25"/>
    <n v="2024"/>
    <n v="1"/>
    <x v="8"/>
    <s v="10:23"/>
    <s v="BBQ"/>
    <n v="273.17"/>
    <x v="1"/>
    <x v="2"/>
    <n v="25"/>
    <m/>
  </r>
  <r>
    <s v="ORD10867"/>
    <s v="CUST4598"/>
    <x v="9"/>
    <x v="6"/>
    <s v="2024-01-30"/>
    <n v="2024"/>
    <n v="1"/>
    <x v="30"/>
    <s v="10:27"/>
    <s v="Pizza"/>
    <n v="332.43"/>
    <x v="0"/>
    <x v="3"/>
    <n v="77"/>
    <n v="5"/>
  </r>
  <r>
    <s v="ORD10868"/>
    <s v="CUST6352"/>
    <x v="2"/>
    <x v="7"/>
    <s v="2024-01-28"/>
    <n v="2024"/>
    <n v="1"/>
    <x v="21"/>
    <s v="20:43"/>
    <s v="Sushi"/>
    <n v="203.55"/>
    <x v="2"/>
    <x v="3"/>
    <n v="78"/>
    <n v="1"/>
  </r>
  <r>
    <s v="ORD10869"/>
    <s v="CUST2866"/>
    <x v="7"/>
    <x v="5"/>
    <s v="2024-01-16"/>
    <n v="2024"/>
    <n v="1"/>
    <x v="10"/>
    <s v="18:57"/>
    <s v="Desserts"/>
    <n v="160.80000000000001"/>
    <x v="0"/>
    <x v="2"/>
    <n v="55"/>
    <n v="1"/>
  </r>
  <r>
    <s v="ORD10870"/>
    <s v="CUST5140"/>
    <x v="2"/>
    <x v="9"/>
    <s v="2024-01-25"/>
    <n v="2024"/>
    <n v="1"/>
    <x v="8"/>
    <s v="11:11"/>
    <s v="Seafood"/>
    <n v="109.16"/>
    <x v="0"/>
    <x v="0"/>
    <n v="63"/>
    <m/>
  </r>
  <r>
    <s v="ORD10871"/>
    <s v="CUST5615"/>
    <x v="5"/>
    <x v="9"/>
    <s v="2024-01-25"/>
    <n v="2024"/>
    <n v="1"/>
    <x v="8"/>
    <s v="18:50"/>
    <s v="Sushi"/>
    <n v="440.99"/>
    <x v="0"/>
    <x v="0"/>
    <n v="27"/>
    <m/>
  </r>
  <r>
    <s v="ORD10872"/>
    <s v="CUST1821"/>
    <x v="5"/>
    <x v="8"/>
    <s v="2024-01-22"/>
    <n v="2024"/>
    <n v="1"/>
    <x v="19"/>
    <s v="21:53"/>
    <s v="Beverages"/>
    <n v="168.13"/>
    <x v="0"/>
    <x v="0"/>
    <n v="55"/>
    <n v="3"/>
  </r>
  <r>
    <s v="ORD10873"/>
    <s v="CUST2124"/>
    <x v="9"/>
    <x v="4"/>
    <s v="2024-01-01"/>
    <n v="2024"/>
    <n v="1"/>
    <x v="25"/>
    <s v="15:26"/>
    <s v="Healthy"/>
    <n v="325.22000000000003"/>
    <x v="3"/>
    <x v="1"/>
    <n v="25"/>
    <n v="1"/>
  </r>
  <r>
    <s v="ORD10874"/>
    <s v="CUST3412"/>
    <x v="2"/>
    <x v="6"/>
    <s v="2024-01-21"/>
    <n v="2024"/>
    <n v="1"/>
    <x v="1"/>
    <s v="19:37"/>
    <s v="Sushi"/>
    <n v="220.76"/>
    <x v="0"/>
    <x v="0"/>
    <n v="31"/>
    <n v="2"/>
  </r>
  <r>
    <s v="ORD10875"/>
    <s v="CUST8103"/>
    <x v="1"/>
    <x v="4"/>
    <s v="2024-01-22"/>
    <n v="2024"/>
    <n v="1"/>
    <x v="19"/>
    <s v="12:40"/>
    <s v="Sushi"/>
    <n v="76.27"/>
    <x v="3"/>
    <x v="3"/>
    <n v="19"/>
    <n v="2"/>
  </r>
  <r>
    <s v="ORD10876"/>
    <s v="CUST6062"/>
    <x v="2"/>
    <x v="0"/>
    <s v="2024-01-03"/>
    <n v="2024"/>
    <n v="1"/>
    <x v="27"/>
    <s v="17:30"/>
    <s v="Desserts"/>
    <n v="327.64"/>
    <x v="3"/>
    <x v="0"/>
    <n v="87"/>
    <n v="1"/>
  </r>
  <r>
    <s v="ORD10877"/>
    <s v="CUST5540"/>
    <x v="2"/>
    <x v="3"/>
    <s v="2024-01-27"/>
    <n v="2024"/>
    <n v="1"/>
    <x v="7"/>
    <s v="14:34"/>
    <s v="Sushi"/>
    <n v="473.7"/>
    <x v="2"/>
    <x v="1"/>
    <n v="62"/>
    <n v="3"/>
  </r>
  <r>
    <s v="ORD10878"/>
    <s v="CUST6018"/>
    <x v="0"/>
    <x v="8"/>
    <s v="2024-01-16"/>
    <n v="2024"/>
    <n v="1"/>
    <x v="10"/>
    <s v="13:44"/>
    <s v="Healthy"/>
    <n v="423.01"/>
    <x v="3"/>
    <x v="2"/>
    <n v="71"/>
    <n v="5"/>
  </r>
  <r>
    <s v="ORD10879"/>
    <s v="CUST6446"/>
    <x v="9"/>
    <x v="6"/>
    <s v="2024-01-31"/>
    <n v="2024"/>
    <n v="1"/>
    <x v="6"/>
    <s v="18:37"/>
    <s v="Healthy"/>
    <n v="73.739999999999995"/>
    <x v="1"/>
    <x v="3"/>
    <n v="61"/>
    <n v="4"/>
  </r>
  <r>
    <s v="ORD10880"/>
    <s v="CUST9876"/>
    <x v="0"/>
    <x v="2"/>
    <s v="2024-01-01"/>
    <n v="2024"/>
    <n v="1"/>
    <x v="25"/>
    <s v="20:56"/>
    <s v="Beverages"/>
    <n v="452.76"/>
    <x v="2"/>
    <x v="1"/>
    <n v="25"/>
    <n v="2"/>
  </r>
  <r>
    <s v="ORD10881"/>
    <s v="CUST2971"/>
    <x v="2"/>
    <x v="1"/>
    <s v="2024-01-09"/>
    <n v="2024"/>
    <n v="1"/>
    <x v="0"/>
    <s v="13:54"/>
    <s v="Beverages"/>
    <n v="383.44"/>
    <x v="1"/>
    <x v="0"/>
    <n v="57"/>
    <n v="5"/>
  </r>
  <r>
    <s v="ORD10882"/>
    <s v="CUST2321"/>
    <x v="0"/>
    <x v="0"/>
    <s v="2024-01-02"/>
    <n v="2024"/>
    <n v="1"/>
    <x v="26"/>
    <s v="21:57"/>
    <s v="Pizza"/>
    <n v="454.98"/>
    <x v="0"/>
    <x v="3"/>
    <n v="39"/>
    <n v="1"/>
  </r>
  <r>
    <s v="ORD10883"/>
    <s v="CUST2722"/>
    <x v="5"/>
    <x v="7"/>
    <s v="2024-01-07"/>
    <n v="2024"/>
    <n v="1"/>
    <x v="18"/>
    <s v="16:16"/>
    <s v="BBQ"/>
    <n v="56.81"/>
    <x v="1"/>
    <x v="3"/>
    <n v="83"/>
    <n v="5"/>
  </r>
  <r>
    <s v="ORD10884"/>
    <s v="CUST4328"/>
    <x v="3"/>
    <x v="2"/>
    <s v="2024-01-13"/>
    <n v="2024"/>
    <n v="1"/>
    <x v="28"/>
    <s v="11:45"/>
    <s v="Desserts"/>
    <n v="226.65"/>
    <x v="0"/>
    <x v="1"/>
    <n v="33"/>
    <n v="4"/>
  </r>
  <r>
    <s v="ORD10885"/>
    <s v="CUST1821"/>
    <x v="1"/>
    <x v="5"/>
    <s v="2024-01-22"/>
    <n v="2024"/>
    <n v="1"/>
    <x v="19"/>
    <s v="22:54"/>
    <s v="Fast Food"/>
    <n v="97.7"/>
    <x v="1"/>
    <x v="2"/>
    <n v="64"/>
    <n v="3"/>
  </r>
  <r>
    <s v="ORD10886"/>
    <s v="CUST5131"/>
    <x v="8"/>
    <x v="0"/>
    <s v="2024-01-27"/>
    <n v="2024"/>
    <n v="1"/>
    <x v="7"/>
    <s v="15:30"/>
    <s v="Pizza"/>
    <n v="442.02"/>
    <x v="1"/>
    <x v="0"/>
    <n v="80"/>
    <n v="4"/>
  </r>
  <r>
    <s v="ORD10887"/>
    <s v="CUST4378"/>
    <x v="9"/>
    <x v="7"/>
    <s v="2024-01-21"/>
    <n v="2024"/>
    <n v="1"/>
    <x v="1"/>
    <s v="23:31"/>
    <s v="Desserts"/>
    <n v="416.51"/>
    <x v="2"/>
    <x v="2"/>
    <n v="16"/>
    <n v="3"/>
  </r>
  <r>
    <s v="ORD10888"/>
    <s v="CUST2368"/>
    <x v="4"/>
    <x v="5"/>
    <s v="2024-01-31"/>
    <n v="2024"/>
    <n v="1"/>
    <x v="6"/>
    <s v="21:46"/>
    <s v="Fast Food"/>
    <n v="61.22"/>
    <x v="2"/>
    <x v="1"/>
    <n v="58"/>
    <n v="2"/>
  </r>
  <r>
    <s v="ORD10889"/>
    <s v="CUST8552"/>
    <x v="1"/>
    <x v="7"/>
    <s v="2024-01-19"/>
    <n v="2024"/>
    <n v="1"/>
    <x v="15"/>
    <s v="16:10"/>
    <s v="Sushi"/>
    <n v="187.97"/>
    <x v="0"/>
    <x v="1"/>
    <n v="66"/>
    <n v="4"/>
  </r>
  <r>
    <s v="ORD10890"/>
    <s v="CUST1469"/>
    <x v="8"/>
    <x v="6"/>
    <s v="2024-01-08"/>
    <n v="2024"/>
    <n v="1"/>
    <x v="5"/>
    <s v="18:43"/>
    <s v="Fast Food"/>
    <n v="239.03"/>
    <x v="3"/>
    <x v="3"/>
    <n v="76"/>
    <n v="4"/>
  </r>
  <r>
    <s v="ORD10891"/>
    <s v="CUST3596"/>
    <x v="8"/>
    <x v="3"/>
    <s v="2024-01-28"/>
    <n v="2024"/>
    <n v="1"/>
    <x v="21"/>
    <s v="15:31"/>
    <s v="Desserts"/>
    <n v="63.9"/>
    <x v="2"/>
    <x v="2"/>
    <n v="48"/>
    <n v="3"/>
  </r>
  <r>
    <s v="ORD10892"/>
    <s v="CUST2746"/>
    <x v="1"/>
    <x v="2"/>
    <s v="2024-01-05"/>
    <n v="2024"/>
    <n v="1"/>
    <x v="20"/>
    <s v="19:48"/>
    <s v="BBQ"/>
    <n v="463.6"/>
    <x v="2"/>
    <x v="0"/>
    <n v="35"/>
    <n v="1"/>
  </r>
  <r>
    <s v="ORD10893"/>
    <s v="CUST6629"/>
    <x v="7"/>
    <x v="1"/>
    <s v="2024-01-30"/>
    <n v="2024"/>
    <n v="1"/>
    <x v="30"/>
    <s v="19:38"/>
    <s v="Fast Food"/>
    <n v="237.07"/>
    <x v="0"/>
    <x v="3"/>
    <n v="73"/>
    <n v="2"/>
  </r>
  <r>
    <s v="ORD10894"/>
    <s v="CUST6423"/>
    <x v="3"/>
    <x v="6"/>
    <s v="2024-01-18"/>
    <n v="2024"/>
    <n v="1"/>
    <x v="9"/>
    <s v="23:39"/>
    <s v="Pizza"/>
    <n v="481.31"/>
    <x v="1"/>
    <x v="1"/>
    <n v="65"/>
    <m/>
  </r>
  <r>
    <s v="ORD10895"/>
    <s v="CUST4382"/>
    <x v="7"/>
    <x v="2"/>
    <s v="2024-01-31"/>
    <n v="2024"/>
    <n v="1"/>
    <x v="6"/>
    <s v="23:22"/>
    <s v="Fast Food"/>
    <n v="252.91"/>
    <x v="2"/>
    <x v="3"/>
    <n v="16"/>
    <n v="2"/>
  </r>
  <r>
    <s v="ORD10896"/>
    <s v="CUST1556"/>
    <x v="5"/>
    <x v="1"/>
    <s v="2024-01-05"/>
    <n v="2024"/>
    <n v="1"/>
    <x v="20"/>
    <s v="14:52"/>
    <s v="Healthy"/>
    <n v="161.9"/>
    <x v="0"/>
    <x v="1"/>
    <n v="18"/>
    <n v="2"/>
  </r>
  <r>
    <s v="ORD10897"/>
    <s v="CUST5392"/>
    <x v="0"/>
    <x v="6"/>
    <s v="2024-01-13"/>
    <n v="2024"/>
    <n v="1"/>
    <x v="28"/>
    <s v="17:28"/>
    <s v="Seafood"/>
    <n v="433.6"/>
    <x v="3"/>
    <x v="0"/>
    <n v="31"/>
    <n v="2"/>
  </r>
  <r>
    <s v="ORD10898"/>
    <s v="CUST4251"/>
    <x v="4"/>
    <x v="6"/>
    <s v="2024-01-11"/>
    <n v="2024"/>
    <n v="1"/>
    <x v="3"/>
    <s v="10:24"/>
    <s v="Sushi"/>
    <n v="84.22"/>
    <x v="0"/>
    <x v="2"/>
    <n v="67"/>
    <n v="5"/>
  </r>
  <r>
    <s v="ORD10899"/>
    <s v="CUST3073"/>
    <x v="2"/>
    <x v="5"/>
    <s v="2024-01-18"/>
    <n v="2024"/>
    <n v="1"/>
    <x v="9"/>
    <s v="18:19"/>
    <s v="Pizza"/>
    <n v="93.51"/>
    <x v="2"/>
    <x v="0"/>
    <n v="85"/>
    <n v="1"/>
  </r>
  <r>
    <s v="ORD10900"/>
    <s v="CUST9049"/>
    <x v="4"/>
    <x v="6"/>
    <s v="2024-01-22"/>
    <n v="2024"/>
    <n v="1"/>
    <x v="19"/>
    <s v="11:24"/>
    <s v="Healthy"/>
    <n v="123.27"/>
    <x v="2"/>
    <x v="1"/>
    <n v="32"/>
    <n v="5"/>
  </r>
  <r>
    <s v="ORD10901"/>
    <s v="CUST3105"/>
    <x v="1"/>
    <x v="4"/>
    <s v="2024-01-30"/>
    <n v="2024"/>
    <n v="1"/>
    <x v="30"/>
    <s v="18:36"/>
    <s v="Desserts"/>
    <n v="448.51"/>
    <x v="3"/>
    <x v="2"/>
    <n v="45"/>
    <m/>
  </r>
  <r>
    <s v="ORD10902"/>
    <s v="CUST5993"/>
    <x v="0"/>
    <x v="1"/>
    <s v="2024-01-07"/>
    <n v="2024"/>
    <n v="1"/>
    <x v="18"/>
    <s v="10:19"/>
    <s v="Seafood"/>
    <n v="87.16"/>
    <x v="0"/>
    <x v="3"/>
    <n v="66"/>
    <n v="4"/>
  </r>
  <r>
    <s v="ORD10903"/>
    <s v="CUST5698"/>
    <x v="2"/>
    <x v="1"/>
    <s v="2024-01-13"/>
    <n v="2024"/>
    <n v="1"/>
    <x v="28"/>
    <s v="18:41"/>
    <s v="Pizza"/>
    <n v="359.81"/>
    <x v="3"/>
    <x v="0"/>
    <n v="34"/>
    <n v="5"/>
  </r>
  <r>
    <s v="ORD10904"/>
    <s v="CUST9233"/>
    <x v="7"/>
    <x v="5"/>
    <s v="2024-01-29"/>
    <n v="2024"/>
    <n v="1"/>
    <x v="17"/>
    <s v="14:38"/>
    <s v="Desserts"/>
    <n v="101.01"/>
    <x v="3"/>
    <x v="0"/>
    <n v="20"/>
    <n v="1"/>
  </r>
  <r>
    <s v="ORD10905"/>
    <s v="CUST6983"/>
    <x v="5"/>
    <x v="5"/>
    <s v="2024-01-18"/>
    <n v="2024"/>
    <n v="1"/>
    <x v="9"/>
    <s v="20:57"/>
    <s v="Pizza"/>
    <n v="268.89"/>
    <x v="0"/>
    <x v="2"/>
    <n v="30"/>
    <n v="4"/>
  </r>
  <r>
    <s v="ORD10906"/>
    <s v="CUST7250"/>
    <x v="8"/>
    <x v="5"/>
    <s v="2024-01-24"/>
    <n v="2024"/>
    <n v="1"/>
    <x v="14"/>
    <s v="19:39"/>
    <s v="Desserts"/>
    <n v="119.84"/>
    <x v="3"/>
    <x v="3"/>
    <n v="18"/>
    <n v="2"/>
  </r>
  <r>
    <s v="ORD10907"/>
    <s v="CUST6872"/>
    <x v="9"/>
    <x v="0"/>
    <s v="2024-01-06"/>
    <n v="2024"/>
    <n v="1"/>
    <x v="16"/>
    <s v="13:48"/>
    <s v="Fast Food"/>
    <n v="60.39"/>
    <x v="2"/>
    <x v="2"/>
    <n v="42"/>
    <n v="1"/>
  </r>
  <r>
    <s v="ORD10908"/>
    <s v="CUST7899"/>
    <x v="5"/>
    <x v="1"/>
    <s v="2024-01-05"/>
    <n v="2024"/>
    <n v="1"/>
    <x v="20"/>
    <s v="22:45"/>
    <s v="Pizza"/>
    <n v="171.21"/>
    <x v="0"/>
    <x v="0"/>
    <n v="18"/>
    <n v="1"/>
  </r>
  <r>
    <s v="ORD10909"/>
    <s v="CUST9282"/>
    <x v="8"/>
    <x v="4"/>
    <s v="2024-01-04"/>
    <n v="2024"/>
    <n v="1"/>
    <x v="22"/>
    <s v="11:19"/>
    <s v="BBQ"/>
    <n v="429.64"/>
    <x v="0"/>
    <x v="0"/>
    <n v="73"/>
    <n v="1"/>
  </r>
  <r>
    <s v="ORD10910"/>
    <s v="CUST6247"/>
    <x v="6"/>
    <x v="5"/>
    <s v="2024-01-25"/>
    <n v="2024"/>
    <n v="1"/>
    <x v="8"/>
    <s v="23:52"/>
    <s v="Seafood"/>
    <n v="479.78"/>
    <x v="1"/>
    <x v="1"/>
    <n v="76"/>
    <m/>
  </r>
  <r>
    <s v="ORD10911"/>
    <s v="CUST2427"/>
    <x v="5"/>
    <x v="5"/>
    <s v="2024-01-14"/>
    <n v="2024"/>
    <n v="1"/>
    <x v="2"/>
    <s v="23:54"/>
    <s v="Fast Food"/>
    <n v="385.54"/>
    <x v="1"/>
    <x v="1"/>
    <n v="42"/>
    <n v="5"/>
  </r>
  <r>
    <s v="ORD10912"/>
    <s v="CUST9035"/>
    <x v="9"/>
    <x v="4"/>
    <s v="2024-01-09"/>
    <n v="2024"/>
    <n v="1"/>
    <x v="0"/>
    <s v="10:26"/>
    <s v="Fast Food"/>
    <n v="389.58"/>
    <x v="3"/>
    <x v="1"/>
    <n v="68"/>
    <n v="5"/>
  </r>
  <r>
    <s v="ORD10913"/>
    <s v="CUST9509"/>
    <x v="7"/>
    <x v="0"/>
    <s v="2024-01-04"/>
    <n v="2024"/>
    <n v="1"/>
    <x v="22"/>
    <s v="17:17"/>
    <s v="Beverages"/>
    <n v="387.14"/>
    <x v="0"/>
    <x v="2"/>
    <n v="18"/>
    <n v="4"/>
  </r>
  <r>
    <s v="ORD10914"/>
    <s v="CUST7113"/>
    <x v="8"/>
    <x v="8"/>
    <s v="2024-01-01"/>
    <n v="2024"/>
    <n v="1"/>
    <x v="25"/>
    <s v="18:30"/>
    <s v="Healthy"/>
    <n v="308.49"/>
    <x v="0"/>
    <x v="1"/>
    <n v="20"/>
    <n v="1"/>
  </r>
  <r>
    <s v="ORD10915"/>
    <s v="CUST6543"/>
    <x v="2"/>
    <x v="4"/>
    <s v="2024-01-05"/>
    <n v="2024"/>
    <n v="1"/>
    <x v="20"/>
    <s v="17:54"/>
    <s v="Sushi"/>
    <n v="120.2"/>
    <x v="2"/>
    <x v="2"/>
    <n v="24"/>
    <m/>
  </r>
  <r>
    <s v="ORD10916"/>
    <s v="CUST1749"/>
    <x v="5"/>
    <x v="5"/>
    <s v="2024-01-05"/>
    <n v="2024"/>
    <n v="1"/>
    <x v="20"/>
    <s v="15:52"/>
    <s v="BBQ"/>
    <n v="428.7"/>
    <x v="0"/>
    <x v="2"/>
    <n v="56"/>
    <n v="3"/>
  </r>
  <r>
    <s v="ORD10917"/>
    <s v="CUST7808"/>
    <x v="3"/>
    <x v="7"/>
    <s v="2024-01-07"/>
    <n v="2024"/>
    <n v="1"/>
    <x v="18"/>
    <s v="12:52"/>
    <s v="Fast Food"/>
    <n v="451.05"/>
    <x v="3"/>
    <x v="1"/>
    <n v="69"/>
    <n v="4"/>
  </r>
  <r>
    <s v="ORD10918"/>
    <s v="CUST1481"/>
    <x v="5"/>
    <x v="3"/>
    <s v="2024-01-15"/>
    <n v="2024"/>
    <n v="1"/>
    <x v="13"/>
    <s v="17:10"/>
    <s v="Seafood"/>
    <n v="380.35"/>
    <x v="0"/>
    <x v="1"/>
    <n v="17"/>
    <n v="3"/>
  </r>
  <r>
    <s v="ORD10919"/>
    <s v="CUST9480"/>
    <x v="4"/>
    <x v="1"/>
    <s v="2024-01-12"/>
    <n v="2024"/>
    <n v="1"/>
    <x v="29"/>
    <s v="16:35"/>
    <s v="Beverages"/>
    <n v="117.93"/>
    <x v="0"/>
    <x v="1"/>
    <n v="57"/>
    <n v="4"/>
  </r>
  <r>
    <s v="ORD10920"/>
    <s v="CUST5651"/>
    <x v="4"/>
    <x v="5"/>
    <s v="2024-01-25"/>
    <n v="2024"/>
    <n v="1"/>
    <x v="8"/>
    <s v="22:27"/>
    <s v="Healthy"/>
    <n v="198.17"/>
    <x v="1"/>
    <x v="1"/>
    <n v="53"/>
    <n v="2"/>
  </r>
  <r>
    <s v="ORD10921"/>
    <s v="CUST9466"/>
    <x v="7"/>
    <x v="9"/>
    <s v="2024-01-27"/>
    <n v="2024"/>
    <n v="1"/>
    <x v="7"/>
    <s v="20:20"/>
    <s v="Pizza"/>
    <n v="378.95"/>
    <x v="3"/>
    <x v="0"/>
    <n v="49"/>
    <n v="4"/>
  </r>
  <r>
    <s v="ORD10922"/>
    <s v="CUST2086"/>
    <x v="2"/>
    <x v="6"/>
    <s v="2024-01-16"/>
    <n v="2024"/>
    <n v="1"/>
    <x v="10"/>
    <s v="15:36"/>
    <s v="Desserts"/>
    <n v="331.62"/>
    <x v="0"/>
    <x v="0"/>
    <n v="63"/>
    <n v="3"/>
  </r>
  <r>
    <s v="ORD10923"/>
    <s v="CUST5155"/>
    <x v="5"/>
    <x v="6"/>
    <s v="2024-01-01"/>
    <n v="2024"/>
    <n v="1"/>
    <x v="25"/>
    <s v="14:14"/>
    <s v="Beverages"/>
    <n v="237.63"/>
    <x v="3"/>
    <x v="3"/>
    <n v="58"/>
    <n v="4"/>
  </r>
  <r>
    <s v="ORD10924"/>
    <s v="CUST5387"/>
    <x v="3"/>
    <x v="5"/>
    <s v="2024-01-13"/>
    <n v="2024"/>
    <n v="1"/>
    <x v="28"/>
    <s v="12:32"/>
    <s v="Desserts"/>
    <n v="403.41"/>
    <x v="1"/>
    <x v="2"/>
    <n v="24"/>
    <n v="4"/>
  </r>
  <r>
    <s v="ORD10925"/>
    <s v="CUST8386"/>
    <x v="1"/>
    <x v="9"/>
    <s v="2024-01-24"/>
    <n v="2024"/>
    <n v="1"/>
    <x v="14"/>
    <s v="18:47"/>
    <s v="Seafood"/>
    <n v="163.82"/>
    <x v="1"/>
    <x v="1"/>
    <n v="25"/>
    <n v="5"/>
  </r>
  <r>
    <s v="ORD10926"/>
    <s v="CUST4868"/>
    <x v="6"/>
    <x v="2"/>
    <s v="2024-01-10"/>
    <n v="2024"/>
    <n v="1"/>
    <x v="24"/>
    <s v="16:31"/>
    <s v="Pizza"/>
    <n v="64.73"/>
    <x v="2"/>
    <x v="0"/>
    <n v="48"/>
    <n v="3"/>
  </r>
  <r>
    <s v="ORD10927"/>
    <s v="CUST8091"/>
    <x v="2"/>
    <x v="8"/>
    <s v="2024-01-16"/>
    <n v="2024"/>
    <n v="1"/>
    <x v="10"/>
    <s v="15:50"/>
    <s v="Healthy"/>
    <n v="112.49"/>
    <x v="2"/>
    <x v="0"/>
    <n v="46"/>
    <n v="4"/>
  </r>
  <r>
    <s v="ORD10928"/>
    <s v="CUST1150"/>
    <x v="3"/>
    <x v="3"/>
    <s v="2024-01-01"/>
    <n v="2024"/>
    <n v="1"/>
    <x v="25"/>
    <s v="10:37"/>
    <s v="Pizza"/>
    <n v="136.34"/>
    <x v="2"/>
    <x v="1"/>
    <n v="61"/>
    <n v="5"/>
  </r>
  <r>
    <s v="ORD10929"/>
    <s v="CUST2151"/>
    <x v="1"/>
    <x v="1"/>
    <s v="2024-01-12"/>
    <n v="2024"/>
    <n v="1"/>
    <x v="29"/>
    <s v="20:57"/>
    <s v="Beverages"/>
    <n v="91.74"/>
    <x v="0"/>
    <x v="3"/>
    <n v="30"/>
    <n v="2"/>
  </r>
  <r>
    <s v="ORD10930"/>
    <s v="CUST1078"/>
    <x v="0"/>
    <x v="8"/>
    <s v="2024-01-29"/>
    <n v="2024"/>
    <n v="1"/>
    <x v="17"/>
    <s v="21:42"/>
    <s v="Pizza"/>
    <n v="228.17"/>
    <x v="0"/>
    <x v="1"/>
    <n v="49"/>
    <n v="4"/>
  </r>
  <r>
    <s v="ORD10931"/>
    <s v="CUST3452"/>
    <x v="8"/>
    <x v="7"/>
    <s v="2024-01-03"/>
    <n v="2024"/>
    <n v="1"/>
    <x v="27"/>
    <s v="20:14"/>
    <s v="Pizza"/>
    <n v="488.91"/>
    <x v="3"/>
    <x v="0"/>
    <n v="64"/>
    <n v="3"/>
  </r>
  <r>
    <s v="ORD10932"/>
    <s v="CUST2962"/>
    <x v="2"/>
    <x v="7"/>
    <s v="2024-01-14"/>
    <n v="2024"/>
    <n v="1"/>
    <x v="2"/>
    <s v="22:20"/>
    <s v="Pizza"/>
    <n v="485.31"/>
    <x v="0"/>
    <x v="1"/>
    <n v="21"/>
    <n v="2"/>
  </r>
  <r>
    <s v="ORD10933"/>
    <s v="CUST6492"/>
    <x v="4"/>
    <x v="5"/>
    <s v="2024-01-24"/>
    <n v="2024"/>
    <n v="1"/>
    <x v="14"/>
    <s v="14:49"/>
    <s v="Healthy"/>
    <n v="103.67"/>
    <x v="2"/>
    <x v="3"/>
    <n v="36"/>
    <n v="2"/>
  </r>
  <r>
    <s v="ORD10934"/>
    <s v="CUST2975"/>
    <x v="3"/>
    <x v="4"/>
    <s v="2024-01-27"/>
    <n v="2024"/>
    <n v="1"/>
    <x v="7"/>
    <s v="18:16"/>
    <s v="Healthy"/>
    <n v="465.77"/>
    <x v="0"/>
    <x v="3"/>
    <n v="64"/>
    <n v="2"/>
  </r>
  <r>
    <s v="ORD10935"/>
    <s v="CUST4071"/>
    <x v="1"/>
    <x v="1"/>
    <s v="2024-01-01"/>
    <n v="2024"/>
    <n v="1"/>
    <x v="25"/>
    <s v="14:22"/>
    <s v="Healthy"/>
    <n v="367.86"/>
    <x v="1"/>
    <x v="2"/>
    <n v="38"/>
    <n v="5"/>
  </r>
  <r>
    <s v="ORD10936"/>
    <s v="CUST1690"/>
    <x v="7"/>
    <x v="8"/>
    <s v="2024-01-13"/>
    <n v="2024"/>
    <n v="1"/>
    <x v="28"/>
    <s v="10:49"/>
    <s v="Desserts"/>
    <n v="161.41999999999999"/>
    <x v="0"/>
    <x v="3"/>
    <n v="44"/>
    <n v="4"/>
  </r>
  <r>
    <s v="ORD10937"/>
    <s v="CUST7927"/>
    <x v="6"/>
    <x v="0"/>
    <s v="2024-01-11"/>
    <n v="2024"/>
    <n v="1"/>
    <x v="3"/>
    <s v="14:23"/>
    <s v="Seafood"/>
    <n v="270.45999999999998"/>
    <x v="0"/>
    <x v="2"/>
    <n v="36"/>
    <n v="3"/>
  </r>
  <r>
    <s v="ORD10938"/>
    <s v="CUST6234"/>
    <x v="0"/>
    <x v="8"/>
    <s v="2024-01-12"/>
    <n v="2024"/>
    <n v="1"/>
    <x v="29"/>
    <s v="20:29"/>
    <s v="Fast Food"/>
    <n v="82.14"/>
    <x v="1"/>
    <x v="3"/>
    <n v="71"/>
    <n v="3"/>
  </r>
  <r>
    <s v="ORD10939"/>
    <s v="CUST2184"/>
    <x v="0"/>
    <x v="8"/>
    <s v="2024-01-12"/>
    <n v="2024"/>
    <n v="1"/>
    <x v="29"/>
    <s v="20:43"/>
    <s v="Pizza"/>
    <n v="461.97"/>
    <x v="0"/>
    <x v="0"/>
    <n v="34"/>
    <n v="1"/>
  </r>
  <r>
    <s v="ORD10940"/>
    <s v="CUST1131"/>
    <x v="7"/>
    <x v="1"/>
    <s v="2024-01-26"/>
    <n v="2024"/>
    <n v="1"/>
    <x v="12"/>
    <s v="17:43"/>
    <s v="Healthy"/>
    <n v="389.53"/>
    <x v="3"/>
    <x v="0"/>
    <n v="76"/>
    <n v="4"/>
  </r>
  <r>
    <s v="ORD10941"/>
    <s v="CUST8011"/>
    <x v="2"/>
    <x v="6"/>
    <s v="2024-01-02"/>
    <n v="2024"/>
    <n v="1"/>
    <x v="26"/>
    <s v="14:39"/>
    <s v="Sushi"/>
    <n v="447.33"/>
    <x v="0"/>
    <x v="1"/>
    <n v="77"/>
    <n v="4"/>
  </r>
  <r>
    <s v="ORD10942"/>
    <s v="CUST9949"/>
    <x v="8"/>
    <x v="0"/>
    <s v="2024-01-17"/>
    <n v="2024"/>
    <n v="1"/>
    <x v="4"/>
    <s v="18:22"/>
    <s v="Desserts"/>
    <n v="375.31"/>
    <x v="1"/>
    <x v="2"/>
    <n v="80"/>
    <n v="3"/>
  </r>
  <r>
    <s v="ORD10943"/>
    <s v="CUST8416"/>
    <x v="6"/>
    <x v="1"/>
    <s v="2024-01-01"/>
    <n v="2024"/>
    <n v="1"/>
    <x v="25"/>
    <s v="18:34"/>
    <s v="Desserts"/>
    <n v="449.92"/>
    <x v="0"/>
    <x v="1"/>
    <n v="17"/>
    <m/>
  </r>
  <r>
    <s v="ORD10944"/>
    <s v="CUST1412"/>
    <x v="9"/>
    <x v="3"/>
    <s v="2024-01-20"/>
    <n v="2024"/>
    <n v="1"/>
    <x v="23"/>
    <s v="23:41"/>
    <s v="Seafood"/>
    <n v="106.8"/>
    <x v="3"/>
    <x v="2"/>
    <n v="32"/>
    <n v="4"/>
  </r>
  <r>
    <s v="ORD10945"/>
    <s v="CUST6615"/>
    <x v="2"/>
    <x v="8"/>
    <s v="2024-01-03"/>
    <n v="2024"/>
    <n v="1"/>
    <x v="27"/>
    <s v="18:30"/>
    <s v="BBQ"/>
    <n v="77.56"/>
    <x v="1"/>
    <x v="3"/>
    <n v="44"/>
    <n v="2"/>
  </r>
  <r>
    <s v="ORD10946"/>
    <s v="CUST7618"/>
    <x v="1"/>
    <x v="1"/>
    <s v="2024-01-16"/>
    <n v="2024"/>
    <n v="1"/>
    <x v="10"/>
    <s v="12:53"/>
    <s v="Desserts"/>
    <n v="94.01"/>
    <x v="2"/>
    <x v="0"/>
    <n v="63"/>
    <n v="5"/>
  </r>
  <r>
    <s v="ORD10947"/>
    <s v="CUST6006"/>
    <x v="3"/>
    <x v="3"/>
    <s v="2024-01-31"/>
    <n v="2024"/>
    <n v="1"/>
    <x v="6"/>
    <s v="15:33"/>
    <s v="Seafood"/>
    <n v="180.48"/>
    <x v="0"/>
    <x v="1"/>
    <n v="40"/>
    <n v="3"/>
  </r>
  <r>
    <s v="ORD10948"/>
    <s v="CUST1325"/>
    <x v="5"/>
    <x v="8"/>
    <s v="2024-01-17"/>
    <n v="2024"/>
    <n v="1"/>
    <x v="4"/>
    <s v="23:16"/>
    <s v="Desserts"/>
    <n v="67.06"/>
    <x v="3"/>
    <x v="3"/>
    <n v="31"/>
    <n v="3"/>
  </r>
  <r>
    <s v="ORD10949"/>
    <s v="CUST8855"/>
    <x v="4"/>
    <x v="3"/>
    <s v="2024-01-14"/>
    <n v="2024"/>
    <n v="1"/>
    <x v="2"/>
    <s v="15:24"/>
    <s v="Beverages"/>
    <n v="78.16"/>
    <x v="0"/>
    <x v="2"/>
    <n v="29"/>
    <n v="1"/>
  </r>
  <r>
    <s v="ORD10950"/>
    <s v="CUST2802"/>
    <x v="6"/>
    <x v="3"/>
    <s v="2024-01-30"/>
    <n v="2024"/>
    <n v="1"/>
    <x v="30"/>
    <s v="13:15"/>
    <s v="Healthy"/>
    <n v="424.5"/>
    <x v="0"/>
    <x v="2"/>
    <n v="63"/>
    <m/>
  </r>
  <r>
    <s v="ORD10951"/>
    <s v="CUST9169"/>
    <x v="4"/>
    <x v="7"/>
    <s v="2024-01-26"/>
    <n v="2024"/>
    <n v="1"/>
    <x v="12"/>
    <s v="13:37"/>
    <s v="Pizza"/>
    <n v="121.92"/>
    <x v="0"/>
    <x v="3"/>
    <n v="42"/>
    <n v="5"/>
  </r>
  <r>
    <s v="ORD10952"/>
    <s v="CUST9908"/>
    <x v="4"/>
    <x v="4"/>
    <s v="2024-01-12"/>
    <n v="2024"/>
    <n v="1"/>
    <x v="29"/>
    <s v="14:32"/>
    <s v="Healthy"/>
    <n v="200.29"/>
    <x v="1"/>
    <x v="3"/>
    <n v="75"/>
    <n v="4"/>
  </r>
  <r>
    <s v="ORD10953"/>
    <s v="CUST2379"/>
    <x v="8"/>
    <x v="4"/>
    <s v="2024-01-04"/>
    <n v="2024"/>
    <n v="1"/>
    <x v="22"/>
    <s v="19:20"/>
    <s v="BBQ"/>
    <n v="257.92"/>
    <x v="2"/>
    <x v="1"/>
    <n v="29"/>
    <n v="3"/>
  </r>
  <r>
    <s v="ORD10954"/>
    <s v="CUST2618"/>
    <x v="7"/>
    <x v="8"/>
    <s v="2024-01-20"/>
    <n v="2024"/>
    <n v="1"/>
    <x v="23"/>
    <s v="14:19"/>
    <s v="Seafood"/>
    <n v="489.98"/>
    <x v="1"/>
    <x v="1"/>
    <n v="72"/>
    <n v="3"/>
  </r>
  <r>
    <s v="ORD10955"/>
    <s v="CUST3976"/>
    <x v="4"/>
    <x v="7"/>
    <s v="2024-01-08"/>
    <n v="2024"/>
    <n v="1"/>
    <x v="5"/>
    <s v="23:44"/>
    <s v="Sushi"/>
    <n v="111.74"/>
    <x v="3"/>
    <x v="1"/>
    <n v="63"/>
    <n v="1"/>
  </r>
  <r>
    <s v="ORD10956"/>
    <s v="CUST3106"/>
    <x v="8"/>
    <x v="5"/>
    <s v="2024-01-16"/>
    <n v="2024"/>
    <n v="1"/>
    <x v="10"/>
    <s v="18:34"/>
    <s v="BBQ"/>
    <n v="211.21"/>
    <x v="3"/>
    <x v="0"/>
    <n v="52"/>
    <m/>
  </r>
  <r>
    <s v="ORD10957"/>
    <s v="CUST5550"/>
    <x v="7"/>
    <x v="6"/>
    <s v="2024-01-17"/>
    <n v="2024"/>
    <n v="1"/>
    <x v="4"/>
    <s v="14:46"/>
    <s v="Sushi"/>
    <n v="167.68"/>
    <x v="1"/>
    <x v="3"/>
    <n v="24"/>
    <n v="2"/>
  </r>
  <r>
    <s v="ORD10958"/>
    <s v="CUST2687"/>
    <x v="3"/>
    <x v="4"/>
    <s v="2024-01-26"/>
    <n v="2024"/>
    <n v="1"/>
    <x v="12"/>
    <s v="15:59"/>
    <s v="Seafood"/>
    <n v="391.74"/>
    <x v="0"/>
    <x v="0"/>
    <n v="68"/>
    <n v="1"/>
  </r>
  <r>
    <s v="ORD10959"/>
    <s v="CUST1120"/>
    <x v="0"/>
    <x v="0"/>
    <s v="2024-01-01"/>
    <n v="2024"/>
    <n v="1"/>
    <x v="25"/>
    <s v="13:14"/>
    <s v="Sushi"/>
    <n v="342.86"/>
    <x v="2"/>
    <x v="3"/>
    <n v="59"/>
    <n v="5"/>
  </r>
  <r>
    <s v="ORD10960"/>
    <s v="CUST4568"/>
    <x v="7"/>
    <x v="9"/>
    <s v="2024-01-27"/>
    <n v="2024"/>
    <n v="1"/>
    <x v="7"/>
    <s v="15:15"/>
    <s v="Beverages"/>
    <n v="179.21"/>
    <x v="1"/>
    <x v="2"/>
    <n v="15"/>
    <n v="3"/>
  </r>
  <r>
    <s v="ORD10961"/>
    <s v="CUST6839"/>
    <x v="7"/>
    <x v="2"/>
    <s v="2024-01-25"/>
    <n v="2024"/>
    <n v="1"/>
    <x v="8"/>
    <s v="22:58"/>
    <s v="BBQ"/>
    <n v="411.51"/>
    <x v="1"/>
    <x v="1"/>
    <n v="86"/>
    <n v="1"/>
  </r>
  <r>
    <s v="ORD10962"/>
    <s v="CUST7227"/>
    <x v="2"/>
    <x v="3"/>
    <s v="2024-01-27"/>
    <n v="2024"/>
    <n v="1"/>
    <x v="7"/>
    <s v="14:23"/>
    <s v="Sushi"/>
    <n v="451.37"/>
    <x v="0"/>
    <x v="1"/>
    <n v="46"/>
    <n v="1"/>
  </r>
  <r>
    <s v="ORD10963"/>
    <s v="CUST4570"/>
    <x v="7"/>
    <x v="7"/>
    <s v="2024-01-24"/>
    <n v="2024"/>
    <n v="1"/>
    <x v="14"/>
    <s v="15:16"/>
    <s v="Beverages"/>
    <n v="113.55"/>
    <x v="1"/>
    <x v="3"/>
    <n v="79"/>
    <n v="4"/>
  </r>
  <r>
    <s v="ORD10964"/>
    <s v="CUST7684"/>
    <x v="6"/>
    <x v="4"/>
    <s v="2024-01-01"/>
    <n v="2024"/>
    <n v="1"/>
    <x v="25"/>
    <s v="13:19"/>
    <s v="Healthy"/>
    <n v="419.72"/>
    <x v="0"/>
    <x v="3"/>
    <n v="75"/>
    <n v="4"/>
  </r>
  <r>
    <s v="ORD10965"/>
    <s v="CUST6142"/>
    <x v="4"/>
    <x v="1"/>
    <s v="2024-01-15"/>
    <n v="2024"/>
    <n v="1"/>
    <x v="13"/>
    <s v="22:29"/>
    <s v="Healthy"/>
    <n v="131.66"/>
    <x v="0"/>
    <x v="1"/>
    <n v="70"/>
    <n v="2"/>
  </r>
  <r>
    <s v="ORD10966"/>
    <s v="CUST4083"/>
    <x v="3"/>
    <x v="7"/>
    <s v="2024-01-28"/>
    <n v="2024"/>
    <n v="1"/>
    <x v="21"/>
    <s v="23:39"/>
    <s v="BBQ"/>
    <n v="498.57"/>
    <x v="2"/>
    <x v="2"/>
    <n v="90"/>
    <n v="4"/>
  </r>
  <r>
    <s v="ORD10967"/>
    <s v="CUST7332"/>
    <x v="2"/>
    <x v="4"/>
    <s v="2024-01-09"/>
    <n v="2024"/>
    <n v="1"/>
    <x v="0"/>
    <s v="21:17"/>
    <s v="BBQ"/>
    <n v="392.63"/>
    <x v="0"/>
    <x v="3"/>
    <n v="42"/>
    <n v="1"/>
  </r>
  <r>
    <s v="ORD10968"/>
    <s v="CUST1778"/>
    <x v="6"/>
    <x v="2"/>
    <s v="2024-01-02"/>
    <n v="2024"/>
    <n v="1"/>
    <x v="26"/>
    <s v="21:46"/>
    <s v="Sushi"/>
    <n v="378.44"/>
    <x v="3"/>
    <x v="1"/>
    <n v="46"/>
    <n v="2"/>
  </r>
  <r>
    <s v="ORD10969"/>
    <s v="CUST5745"/>
    <x v="9"/>
    <x v="5"/>
    <s v="2024-01-25"/>
    <n v="2024"/>
    <n v="1"/>
    <x v="8"/>
    <s v="13:28"/>
    <s v="Fast Food"/>
    <n v="351.95"/>
    <x v="2"/>
    <x v="3"/>
    <n v="54"/>
    <n v="2"/>
  </r>
  <r>
    <s v="ORD10970"/>
    <s v="CUST3309"/>
    <x v="3"/>
    <x v="8"/>
    <s v="2024-01-24"/>
    <n v="2024"/>
    <n v="1"/>
    <x v="14"/>
    <s v="21:48"/>
    <s v="Beverages"/>
    <n v="137.88"/>
    <x v="2"/>
    <x v="2"/>
    <n v="33"/>
    <n v="2"/>
  </r>
  <r>
    <s v="ORD10971"/>
    <s v="CUST8490"/>
    <x v="0"/>
    <x v="4"/>
    <s v="2024-01-16"/>
    <n v="2024"/>
    <n v="1"/>
    <x v="10"/>
    <s v="23:33"/>
    <s v="Seafood"/>
    <n v="388.64"/>
    <x v="0"/>
    <x v="1"/>
    <n v="86"/>
    <n v="5"/>
  </r>
  <r>
    <s v="ORD10972"/>
    <s v="CUST2943"/>
    <x v="4"/>
    <x v="7"/>
    <s v="2024-01-19"/>
    <n v="2024"/>
    <n v="1"/>
    <x v="15"/>
    <s v="18:49"/>
    <s v="BBQ"/>
    <n v="58.55"/>
    <x v="2"/>
    <x v="2"/>
    <n v="83"/>
    <n v="4"/>
  </r>
  <r>
    <s v="ORD10973"/>
    <s v="CUST3486"/>
    <x v="7"/>
    <x v="2"/>
    <s v="2024-01-12"/>
    <n v="2024"/>
    <n v="1"/>
    <x v="29"/>
    <s v="16:42"/>
    <s v="Pizza"/>
    <n v="373.45"/>
    <x v="3"/>
    <x v="1"/>
    <n v="61"/>
    <n v="2"/>
  </r>
  <r>
    <s v="ORD10974"/>
    <s v="CUST8535"/>
    <x v="3"/>
    <x v="6"/>
    <s v="2024-01-09"/>
    <n v="2024"/>
    <n v="1"/>
    <x v="0"/>
    <s v="17:52"/>
    <s v="Fast Food"/>
    <n v="388.09"/>
    <x v="2"/>
    <x v="3"/>
    <n v="90"/>
    <m/>
  </r>
  <r>
    <s v="ORD10975"/>
    <s v="CUST5274"/>
    <x v="0"/>
    <x v="0"/>
    <s v="2024-01-20"/>
    <n v="2024"/>
    <n v="1"/>
    <x v="23"/>
    <s v="13:23"/>
    <s v="Sushi"/>
    <n v="143.94"/>
    <x v="1"/>
    <x v="2"/>
    <n v="22"/>
    <m/>
  </r>
  <r>
    <s v="ORD10976"/>
    <s v="CUST9425"/>
    <x v="2"/>
    <x v="1"/>
    <s v="2024-01-28"/>
    <n v="2024"/>
    <n v="1"/>
    <x v="21"/>
    <s v="23:44"/>
    <s v="Beverages"/>
    <n v="199.07"/>
    <x v="1"/>
    <x v="1"/>
    <n v="63"/>
    <n v="5"/>
  </r>
  <r>
    <s v="ORD10977"/>
    <s v="CUST2799"/>
    <x v="3"/>
    <x v="4"/>
    <s v="2024-01-06"/>
    <n v="2024"/>
    <n v="1"/>
    <x v="16"/>
    <s v="11:47"/>
    <s v="Desserts"/>
    <n v="429.6"/>
    <x v="3"/>
    <x v="2"/>
    <n v="88"/>
    <n v="2"/>
  </r>
  <r>
    <s v="ORD10978"/>
    <s v="CUST3022"/>
    <x v="6"/>
    <x v="9"/>
    <s v="2024-01-27"/>
    <n v="2024"/>
    <n v="1"/>
    <x v="7"/>
    <s v="13:11"/>
    <s v="Sushi"/>
    <n v="348.74"/>
    <x v="3"/>
    <x v="2"/>
    <n v="27"/>
    <m/>
  </r>
  <r>
    <s v="ORD10979"/>
    <s v="CUST4754"/>
    <x v="5"/>
    <x v="5"/>
    <s v="2024-01-02"/>
    <n v="2024"/>
    <n v="1"/>
    <x v="26"/>
    <s v="12:50"/>
    <s v="Sushi"/>
    <n v="124.62"/>
    <x v="3"/>
    <x v="2"/>
    <n v="27"/>
    <n v="3"/>
  </r>
  <r>
    <s v="ORD10980"/>
    <s v="CUST9219"/>
    <x v="7"/>
    <x v="1"/>
    <s v="2024-01-02"/>
    <n v="2024"/>
    <n v="1"/>
    <x v="26"/>
    <s v="12:43"/>
    <s v="Desserts"/>
    <n v="98.8"/>
    <x v="0"/>
    <x v="0"/>
    <n v="65"/>
    <n v="2"/>
  </r>
  <r>
    <s v="ORD10981"/>
    <s v="CUST2550"/>
    <x v="2"/>
    <x v="4"/>
    <s v="2024-01-09"/>
    <n v="2024"/>
    <n v="1"/>
    <x v="0"/>
    <s v="16:36"/>
    <s v="Healthy"/>
    <n v="497.65"/>
    <x v="1"/>
    <x v="0"/>
    <n v="29"/>
    <n v="3"/>
  </r>
  <r>
    <s v="ORD10982"/>
    <s v="CUST9954"/>
    <x v="2"/>
    <x v="8"/>
    <s v="2024-01-26"/>
    <n v="2024"/>
    <n v="1"/>
    <x v="12"/>
    <s v="15:13"/>
    <s v="Healthy"/>
    <n v="421.31"/>
    <x v="0"/>
    <x v="3"/>
    <n v="65"/>
    <n v="5"/>
  </r>
  <r>
    <s v="ORD10983"/>
    <s v="CUST9319"/>
    <x v="0"/>
    <x v="9"/>
    <s v="2024-01-21"/>
    <n v="2024"/>
    <n v="1"/>
    <x v="1"/>
    <s v="19:31"/>
    <s v="Pizza"/>
    <n v="199.51"/>
    <x v="3"/>
    <x v="2"/>
    <n v="51"/>
    <n v="5"/>
  </r>
  <r>
    <s v="ORD10984"/>
    <s v="CUST7496"/>
    <x v="6"/>
    <x v="6"/>
    <s v="2024-01-18"/>
    <n v="2024"/>
    <n v="1"/>
    <x v="9"/>
    <s v="16:31"/>
    <s v="Pizza"/>
    <n v="413.41"/>
    <x v="1"/>
    <x v="3"/>
    <n v="18"/>
    <n v="3"/>
  </r>
  <r>
    <s v="ORD10985"/>
    <s v="CUST5881"/>
    <x v="0"/>
    <x v="7"/>
    <s v="2024-01-24"/>
    <n v="2024"/>
    <n v="1"/>
    <x v="14"/>
    <s v="15:58"/>
    <s v="Sushi"/>
    <n v="347.2"/>
    <x v="3"/>
    <x v="0"/>
    <n v="87"/>
    <n v="3"/>
  </r>
  <r>
    <s v="ORD10986"/>
    <s v="CUST4049"/>
    <x v="9"/>
    <x v="4"/>
    <s v="2024-01-19"/>
    <n v="2024"/>
    <n v="1"/>
    <x v="15"/>
    <s v="23:34"/>
    <s v="BBQ"/>
    <n v="65.209999999999994"/>
    <x v="0"/>
    <x v="0"/>
    <n v="78"/>
    <n v="2"/>
  </r>
  <r>
    <s v="ORD10987"/>
    <s v="CUST1219"/>
    <x v="5"/>
    <x v="6"/>
    <s v="2024-01-19"/>
    <n v="2024"/>
    <n v="1"/>
    <x v="15"/>
    <s v="20:41"/>
    <s v="Sushi"/>
    <n v="273.06"/>
    <x v="2"/>
    <x v="2"/>
    <n v="29"/>
    <n v="2"/>
  </r>
  <r>
    <s v="ORD10988"/>
    <s v="CUST2860"/>
    <x v="6"/>
    <x v="2"/>
    <s v="2024-01-30"/>
    <n v="2024"/>
    <n v="1"/>
    <x v="30"/>
    <s v="18:52"/>
    <s v="Healthy"/>
    <n v="306.97000000000003"/>
    <x v="3"/>
    <x v="1"/>
    <n v="61"/>
    <n v="4"/>
  </r>
  <r>
    <s v="ORD10989"/>
    <s v="CUST1964"/>
    <x v="3"/>
    <x v="8"/>
    <s v="2024-01-27"/>
    <n v="2024"/>
    <n v="1"/>
    <x v="7"/>
    <s v="23:20"/>
    <s v="Pizza"/>
    <n v="111.75"/>
    <x v="0"/>
    <x v="3"/>
    <n v="75"/>
    <n v="3"/>
  </r>
  <r>
    <s v="ORD10990"/>
    <s v="CUST9798"/>
    <x v="7"/>
    <x v="2"/>
    <s v="2024-01-25"/>
    <n v="2024"/>
    <n v="1"/>
    <x v="8"/>
    <s v="17:28"/>
    <s v="Sushi"/>
    <n v="250.83"/>
    <x v="2"/>
    <x v="2"/>
    <n v="85"/>
    <n v="5"/>
  </r>
  <r>
    <s v="ORD10991"/>
    <s v="CUST4177"/>
    <x v="3"/>
    <x v="1"/>
    <s v="2024-01-12"/>
    <n v="2024"/>
    <n v="1"/>
    <x v="29"/>
    <s v="11:53"/>
    <s v="Desserts"/>
    <n v="264.77"/>
    <x v="2"/>
    <x v="3"/>
    <n v="45"/>
    <n v="4"/>
  </r>
  <r>
    <s v="ORD10992"/>
    <s v="CUST5514"/>
    <x v="7"/>
    <x v="6"/>
    <s v="2024-01-01"/>
    <n v="2024"/>
    <n v="1"/>
    <x v="25"/>
    <s v="21:18"/>
    <s v="Sushi"/>
    <n v="240.39"/>
    <x v="3"/>
    <x v="0"/>
    <n v="70"/>
    <n v="1"/>
  </r>
  <r>
    <s v="ORD10993"/>
    <s v="CUST1538"/>
    <x v="7"/>
    <x v="1"/>
    <s v="2024-01-02"/>
    <n v="2024"/>
    <n v="1"/>
    <x v="26"/>
    <s v="11:17"/>
    <s v="BBQ"/>
    <n v="227.74"/>
    <x v="0"/>
    <x v="3"/>
    <n v="23"/>
    <n v="3"/>
  </r>
  <r>
    <s v="ORD10994"/>
    <s v="CUST6718"/>
    <x v="1"/>
    <x v="5"/>
    <s v="2024-01-10"/>
    <n v="2024"/>
    <n v="1"/>
    <x v="24"/>
    <s v="11:28"/>
    <s v="Seafood"/>
    <n v="121.19"/>
    <x v="0"/>
    <x v="3"/>
    <n v="33"/>
    <n v="5"/>
  </r>
  <r>
    <s v="ORD10995"/>
    <s v="CUST9727"/>
    <x v="3"/>
    <x v="1"/>
    <s v="2024-01-02"/>
    <n v="2024"/>
    <n v="1"/>
    <x v="26"/>
    <s v="14:12"/>
    <s v="Beverages"/>
    <n v="97.9"/>
    <x v="1"/>
    <x v="1"/>
    <n v="29"/>
    <n v="4"/>
  </r>
  <r>
    <s v="ORD10996"/>
    <s v="CUST6874"/>
    <x v="4"/>
    <x v="1"/>
    <s v="2024-01-24"/>
    <n v="2024"/>
    <n v="1"/>
    <x v="14"/>
    <s v="16:27"/>
    <s v="BBQ"/>
    <n v="421.37"/>
    <x v="0"/>
    <x v="3"/>
    <n v="52"/>
    <m/>
  </r>
  <r>
    <s v="ORD10997"/>
    <s v="CUST1275"/>
    <x v="1"/>
    <x v="5"/>
    <s v="2024-01-08"/>
    <n v="2024"/>
    <n v="1"/>
    <x v="5"/>
    <s v="20:38"/>
    <s v="Sushi"/>
    <n v="52.09"/>
    <x v="0"/>
    <x v="0"/>
    <n v="54"/>
    <n v="3"/>
  </r>
  <r>
    <s v="ORD10998"/>
    <s v="CUST8745"/>
    <x v="4"/>
    <x v="9"/>
    <s v="2024-01-19"/>
    <n v="2024"/>
    <n v="1"/>
    <x v="15"/>
    <s v="11:11"/>
    <s v="Sushi"/>
    <n v="86.21"/>
    <x v="0"/>
    <x v="3"/>
    <n v="60"/>
    <n v="1"/>
  </r>
  <r>
    <s v="ORD10999"/>
    <s v="CUST8605"/>
    <x v="8"/>
    <x v="5"/>
    <s v="2024-01-27"/>
    <n v="2024"/>
    <n v="1"/>
    <x v="7"/>
    <s v="22:38"/>
    <s v="Beverages"/>
    <n v="254.8"/>
    <x v="3"/>
    <x v="1"/>
    <n v="87"/>
    <n v="5"/>
  </r>
  <r>
    <s v="ORD11000"/>
    <s v="CUST1111"/>
    <x v="9"/>
    <x v="4"/>
    <s v="2024-01-26"/>
    <n v="2024"/>
    <n v="1"/>
    <x v="12"/>
    <s v="21:15"/>
    <s v="Desserts"/>
    <n v="459.85"/>
    <x v="3"/>
    <x v="2"/>
    <n v="18"/>
    <n v="3"/>
  </r>
  <r>
    <s v="ORD11001"/>
    <s v="CUST4810"/>
    <x v="0"/>
    <x v="2"/>
    <s v="2024-01-30"/>
    <n v="2024"/>
    <n v="1"/>
    <x v="30"/>
    <s v="19:43"/>
    <s v="Beverages"/>
    <n v="485.04"/>
    <x v="3"/>
    <x v="1"/>
    <n v="88"/>
    <n v="5"/>
  </r>
  <r>
    <s v="ORD11002"/>
    <s v="CUST6313"/>
    <x v="3"/>
    <x v="8"/>
    <s v="2024-01-26"/>
    <n v="2024"/>
    <n v="1"/>
    <x v="12"/>
    <s v="18:27"/>
    <s v="Sushi"/>
    <n v="302.3"/>
    <x v="2"/>
    <x v="3"/>
    <n v="61"/>
    <n v="4"/>
  </r>
  <r>
    <s v="ORD11003"/>
    <s v="CUST4672"/>
    <x v="1"/>
    <x v="4"/>
    <s v="2024-01-20"/>
    <n v="2024"/>
    <n v="1"/>
    <x v="23"/>
    <s v="17:19"/>
    <s v="Sushi"/>
    <n v="181.65"/>
    <x v="1"/>
    <x v="1"/>
    <n v="58"/>
    <n v="4"/>
  </r>
  <r>
    <s v="ORD11004"/>
    <s v="CUST8894"/>
    <x v="1"/>
    <x v="6"/>
    <s v="2024-01-01"/>
    <n v="2024"/>
    <n v="1"/>
    <x v="25"/>
    <s v="10:24"/>
    <s v="BBQ"/>
    <n v="231.45"/>
    <x v="0"/>
    <x v="3"/>
    <n v="43"/>
    <n v="1"/>
  </r>
  <r>
    <s v="ORD11005"/>
    <s v="CUST5006"/>
    <x v="6"/>
    <x v="7"/>
    <s v="2024-01-08"/>
    <n v="2024"/>
    <n v="1"/>
    <x v="5"/>
    <s v="14:28"/>
    <s v="Seafood"/>
    <n v="238.78"/>
    <x v="3"/>
    <x v="2"/>
    <n v="54"/>
    <m/>
  </r>
  <r>
    <s v="ORD11006"/>
    <s v="CUST6871"/>
    <x v="0"/>
    <x v="7"/>
    <s v="2024-01-30"/>
    <n v="2024"/>
    <n v="1"/>
    <x v="30"/>
    <s v="19:34"/>
    <s v="Beverages"/>
    <n v="107.05"/>
    <x v="0"/>
    <x v="1"/>
    <n v="59"/>
    <n v="2"/>
  </r>
  <r>
    <s v="ORD11007"/>
    <s v="CUST9526"/>
    <x v="5"/>
    <x v="3"/>
    <s v="2024-01-25"/>
    <n v="2024"/>
    <n v="1"/>
    <x v="8"/>
    <s v="22:46"/>
    <s v="Desserts"/>
    <n v="263.22000000000003"/>
    <x v="2"/>
    <x v="3"/>
    <n v="35"/>
    <n v="2"/>
  </r>
  <r>
    <s v="ORD11008"/>
    <s v="CUST3736"/>
    <x v="1"/>
    <x v="9"/>
    <s v="2024-01-15"/>
    <n v="2024"/>
    <n v="1"/>
    <x v="13"/>
    <s v="23:27"/>
    <s v="Desserts"/>
    <n v="338"/>
    <x v="0"/>
    <x v="1"/>
    <n v="52"/>
    <n v="4"/>
  </r>
  <r>
    <s v="ORD11009"/>
    <s v="CUST6592"/>
    <x v="8"/>
    <x v="7"/>
    <s v="2024-01-27"/>
    <n v="2024"/>
    <n v="1"/>
    <x v="7"/>
    <s v="10:43"/>
    <s v="Pizza"/>
    <n v="490.79"/>
    <x v="2"/>
    <x v="1"/>
    <n v="81"/>
    <n v="2"/>
  </r>
  <r>
    <s v="ORD11010"/>
    <s v="CUST8887"/>
    <x v="5"/>
    <x v="8"/>
    <s v="2024-01-19"/>
    <n v="2024"/>
    <n v="1"/>
    <x v="15"/>
    <s v="13:23"/>
    <s v="Desserts"/>
    <n v="217.06"/>
    <x v="3"/>
    <x v="2"/>
    <n v="82"/>
    <n v="4"/>
  </r>
  <r>
    <s v="ORD11011"/>
    <s v="CUST8544"/>
    <x v="3"/>
    <x v="0"/>
    <s v="2024-01-17"/>
    <n v="2024"/>
    <n v="1"/>
    <x v="4"/>
    <s v="10:31"/>
    <s v="BBQ"/>
    <n v="319.69"/>
    <x v="0"/>
    <x v="0"/>
    <n v="70"/>
    <n v="1"/>
  </r>
  <r>
    <s v="ORD11012"/>
    <s v="CUST7832"/>
    <x v="8"/>
    <x v="2"/>
    <s v="2024-01-26"/>
    <n v="2024"/>
    <n v="1"/>
    <x v="12"/>
    <s v="12:46"/>
    <s v="Fast Food"/>
    <n v="200.46"/>
    <x v="2"/>
    <x v="0"/>
    <n v="50"/>
    <n v="4"/>
  </r>
  <r>
    <s v="ORD11013"/>
    <s v="CUST8419"/>
    <x v="8"/>
    <x v="0"/>
    <s v="2024-01-27"/>
    <n v="2024"/>
    <n v="1"/>
    <x v="7"/>
    <s v="21:40"/>
    <s v="Pizza"/>
    <n v="74.400000000000006"/>
    <x v="1"/>
    <x v="1"/>
    <n v="56"/>
    <n v="4"/>
  </r>
  <r>
    <s v="ORD11014"/>
    <s v="CUST8950"/>
    <x v="8"/>
    <x v="4"/>
    <s v="2024-01-10"/>
    <n v="2024"/>
    <n v="1"/>
    <x v="24"/>
    <s v="18:40"/>
    <s v="Beverages"/>
    <n v="412.61"/>
    <x v="0"/>
    <x v="3"/>
    <n v="19"/>
    <n v="4"/>
  </r>
  <r>
    <s v="ORD11015"/>
    <s v="CUST6130"/>
    <x v="9"/>
    <x v="1"/>
    <s v="2024-01-29"/>
    <n v="2024"/>
    <n v="1"/>
    <x v="17"/>
    <s v="18:45"/>
    <s v="Pizza"/>
    <n v="462.17"/>
    <x v="0"/>
    <x v="0"/>
    <n v="85"/>
    <n v="4"/>
  </r>
  <r>
    <s v="ORD11016"/>
    <s v="CUST6652"/>
    <x v="0"/>
    <x v="5"/>
    <s v="2024-01-13"/>
    <n v="2024"/>
    <n v="1"/>
    <x v="28"/>
    <s v="21:13"/>
    <s v="Fast Food"/>
    <n v="435.64"/>
    <x v="0"/>
    <x v="2"/>
    <n v="88"/>
    <m/>
  </r>
  <r>
    <s v="ORD11017"/>
    <s v="CUST5674"/>
    <x v="4"/>
    <x v="1"/>
    <s v="2024-01-31"/>
    <n v="2024"/>
    <n v="1"/>
    <x v="6"/>
    <s v="19:21"/>
    <s v="Desserts"/>
    <n v="146.94"/>
    <x v="0"/>
    <x v="3"/>
    <n v="64"/>
    <n v="3"/>
  </r>
  <r>
    <s v="ORD11018"/>
    <s v="CUST7868"/>
    <x v="7"/>
    <x v="1"/>
    <s v="2024-01-10"/>
    <n v="2024"/>
    <n v="1"/>
    <x v="24"/>
    <s v="12:38"/>
    <s v="Fast Food"/>
    <n v="65.88"/>
    <x v="0"/>
    <x v="0"/>
    <n v="21"/>
    <n v="2"/>
  </r>
  <r>
    <s v="ORD11019"/>
    <s v="CUST3621"/>
    <x v="0"/>
    <x v="1"/>
    <s v="2024-01-15"/>
    <n v="2024"/>
    <n v="1"/>
    <x v="13"/>
    <s v="15:31"/>
    <s v="BBQ"/>
    <n v="115.88"/>
    <x v="2"/>
    <x v="0"/>
    <n v="76"/>
    <n v="5"/>
  </r>
  <r>
    <s v="ORD11020"/>
    <s v="CUST2598"/>
    <x v="5"/>
    <x v="0"/>
    <s v="2024-01-13"/>
    <n v="2024"/>
    <n v="1"/>
    <x v="28"/>
    <s v="10:46"/>
    <s v="Sushi"/>
    <n v="176.2"/>
    <x v="0"/>
    <x v="1"/>
    <n v="73"/>
    <n v="1"/>
  </r>
  <r>
    <s v="ORD11021"/>
    <s v="CUST5852"/>
    <x v="4"/>
    <x v="4"/>
    <s v="2024-01-12"/>
    <n v="2024"/>
    <n v="1"/>
    <x v="29"/>
    <s v="22:25"/>
    <s v="Desserts"/>
    <n v="365.32"/>
    <x v="0"/>
    <x v="2"/>
    <n v="51"/>
    <m/>
  </r>
  <r>
    <s v="ORD11022"/>
    <s v="CUST8175"/>
    <x v="7"/>
    <x v="0"/>
    <s v="2024-01-23"/>
    <n v="2024"/>
    <n v="1"/>
    <x v="11"/>
    <s v="21:27"/>
    <s v="Desserts"/>
    <n v="391.3"/>
    <x v="2"/>
    <x v="2"/>
    <n v="49"/>
    <m/>
  </r>
  <r>
    <s v="ORD11023"/>
    <s v="CUST4841"/>
    <x v="6"/>
    <x v="0"/>
    <s v="2024-01-13"/>
    <n v="2024"/>
    <n v="1"/>
    <x v="28"/>
    <s v="15:50"/>
    <s v="Pizza"/>
    <n v="113.07"/>
    <x v="3"/>
    <x v="1"/>
    <n v="67"/>
    <n v="2"/>
  </r>
  <r>
    <s v="ORD11024"/>
    <s v="CUST7181"/>
    <x v="3"/>
    <x v="3"/>
    <s v="2024-01-28"/>
    <n v="2024"/>
    <n v="1"/>
    <x v="21"/>
    <s v="13:58"/>
    <s v="Pizza"/>
    <n v="397.63"/>
    <x v="2"/>
    <x v="3"/>
    <n v="40"/>
    <n v="1"/>
  </r>
  <r>
    <s v="ORD11025"/>
    <s v="CUST7855"/>
    <x v="9"/>
    <x v="4"/>
    <s v="2024-01-01"/>
    <n v="2024"/>
    <n v="1"/>
    <x v="25"/>
    <s v="11:18"/>
    <s v="BBQ"/>
    <n v="135.02000000000001"/>
    <x v="3"/>
    <x v="1"/>
    <n v="22"/>
    <n v="5"/>
  </r>
  <r>
    <s v="ORD11026"/>
    <s v="CUST8351"/>
    <x v="6"/>
    <x v="9"/>
    <s v="2024-01-01"/>
    <n v="2024"/>
    <n v="1"/>
    <x v="25"/>
    <s v="20:40"/>
    <s v="Fast Food"/>
    <n v="289.92"/>
    <x v="3"/>
    <x v="3"/>
    <n v="39"/>
    <n v="2"/>
  </r>
  <r>
    <s v="ORD11027"/>
    <s v="CUST1341"/>
    <x v="6"/>
    <x v="4"/>
    <s v="2024-01-27"/>
    <n v="2024"/>
    <n v="1"/>
    <x v="7"/>
    <s v="17:21"/>
    <s v="Sushi"/>
    <n v="245.09"/>
    <x v="1"/>
    <x v="3"/>
    <n v="50"/>
    <n v="1"/>
  </r>
  <r>
    <s v="ORD11028"/>
    <s v="CUST8372"/>
    <x v="5"/>
    <x v="6"/>
    <s v="2024-01-08"/>
    <n v="2024"/>
    <n v="1"/>
    <x v="5"/>
    <s v="18:59"/>
    <s v="Seafood"/>
    <n v="339.3"/>
    <x v="0"/>
    <x v="0"/>
    <n v="58"/>
    <n v="4"/>
  </r>
  <r>
    <s v="ORD11029"/>
    <s v="CUST4894"/>
    <x v="9"/>
    <x v="5"/>
    <s v="2024-01-12"/>
    <n v="2024"/>
    <n v="1"/>
    <x v="29"/>
    <s v="15:16"/>
    <s v="Fast Food"/>
    <n v="482.6"/>
    <x v="1"/>
    <x v="2"/>
    <n v="87"/>
    <n v="3"/>
  </r>
  <r>
    <s v="ORD11030"/>
    <s v="CUST3907"/>
    <x v="1"/>
    <x v="2"/>
    <s v="2024-01-23"/>
    <n v="2024"/>
    <n v="1"/>
    <x v="11"/>
    <s v="11:52"/>
    <s v="Pizza"/>
    <n v="351.39"/>
    <x v="2"/>
    <x v="1"/>
    <n v="90"/>
    <n v="5"/>
  </r>
  <r>
    <s v="ORD11031"/>
    <s v="CUST6130"/>
    <x v="8"/>
    <x v="9"/>
    <s v="2024-01-26"/>
    <n v="2024"/>
    <n v="1"/>
    <x v="12"/>
    <s v="23:14"/>
    <s v="Healthy"/>
    <n v="162.22"/>
    <x v="1"/>
    <x v="3"/>
    <n v="39"/>
    <m/>
  </r>
  <r>
    <s v="ORD11032"/>
    <s v="CUST9809"/>
    <x v="0"/>
    <x v="2"/>
    <s v="2024-01-19"/>
    <n v="2024"/>
    <n v="1"/>
    <x v="15"/>
    <s v="21:46"/>
    <s v="Sushi"/>
    <n v="248.11"/>
    <x v="3"/>
    <x v="3"/>
    <n v="85"/>
    <n v="5"/>
  </r>
  <r>
    <s v="ORD11033"/>
    <s v="CUST1435"/>
    <x v="6"/>
    <x v="3"/>
    <s v="2024-01-27"/>
    <n v="2024"/>
    <n v="1"/>
    <x v="7"/>
    <s v="13:16"/>
    <s v="Beverages"/>
    <n v="216.73"/>
    <x v="3"/>
    <x v="2"/>
    <n v="39"/>
    <n v="4"/>
  </r>
  <r>
    <s v="ORD11034"/>
    <s v="CUST4801"/>
    <x v="3"/>
    <x v="2"/>
    <s v="2024-01-29"/>
    <n v="2024"/>
    <n v="1"/>
    <x v="17"/>
    <s v="14:47"/>
    <s v="Sushi"/>
    <n v="358.69"/>
    <x v="2"/>
    <x v="0"/>
    <n v="90"/>
    <n v="2"/>
  </r>
  <r>
    <s v="ORD11035"/>
    <s v="CUST2219"/>
    <x v="0"/>
    <x v="6"/>
    <s v="2024-01-03"/>
    <n v="2024"/>
    <n v="1"/>
    <x v="27"/>
    <s v="13:41"/>
    <s v="Desserts"/>
    <n v="356.03"/>
    <x v="2"/>
    <x v="3"/>
    <n v="48"/>
    <n v="1"/>
  </r>
  <r>
    <s v="ORD11036"/>
    <s v="CUST4544"/>
    <x v="0"/>
    <x v="8"/>
    <s v="2024-01-27"/>
    <n v="2024"/>
    <n v="1"/>
    <x v="7"/>
    <s v="21:48"/>
    <s v="BBQ"/>
    <n v="350.95"/>
    <x v="2"/>
    <x v="1"/>
    <n v="32"/>
    <n v="2"/>
  </r>
  <r>
    <s v="ORD11037"/>
    <s v="CUST4054"/>
    <x v="9"/>
    <x v="4"/>
    <s v="2024-01-12"/>
    <n v="2024"/>
    <n v="1"/>
    <x v="29"/>
    <s v="18:32"/>
    <s v="Seafood"/>
    <n v="499.04"/>
    <x v="2"/>
    <x v="3"/>
    <n v="63"/>
    <n v="2"/>
  </r>
  <r>
    <s v="ORD11038"/>
    <s v="CUST5370"/>
    <x v="5"/>
    <x v="3"/>
    <s v="2024-01-05"/>
    <n v="2024"/>
    <n v="1"/>
    <x v="20"/>
    <s v="16:30"/>
    <s v="Pizza"/>
    <n v="433.01"/>
    <x v="2"/>
    <x v="1"/>
    <n v="24"/>
    <n v="5"/>
  </r>
  <r>
    <s v="ORD11039"/>
    <s v="CUST1464"/>
    <x v="4"/>
    <x v="9"/>
    <s v="2024-01-19"/>
    <n v="2024"/>
    <n v="1"/>
    <x v="15"/>
    <s v="22:17"/>
    <s v="Pizza"/>
    <n v="89.74"/>
    <x v="0"/>
    <x v="0"/>
    <n v="37"/>
    <n v="2"/>
  </r>
  <r>
    <s v="ORD11040"/>
    <s v="CUST5450"/>
    <x v="3"/>
    <x v="6"/>
    <s v="2024-01-31"/>
    <n v="2024"/>
    <n v="1"/>
    <x v="6"/>
    <s v="17:51"/>
    <s v="Fast Food"/>
    <n v="494.19"/>
    <x v="3"/>
    <x v="1"/>
    <n v="82"/>
    <n v="2"/>
  </r>
  <r>
    <s v="ORD11041"/>
    <s v="CUST9622"/>
    <x v="9"/>
    <x v="0"/>
    <s v="2024-01-15"/>
    <n v="2024"/>
    <n v="1"/>
    <x v="13"/>
    <s v="22:29"/>
    <s v="Sushi"/>
    <n v="142.55000000000001"/>
    <x v="3"/>
    <x v="0"/>
    <n v="29"/>
    <n v="1"/>
  </r>
  <r>
    <s v="ORD11042"/>
    <s v="CUST1795"/>
    <x v="9"/>
    <x v="9"/>
    <s v="2024-01-14"/>
    <n v="2024"/>
    <n v="1"/>
    <x v="2"/>
    <s v="12:14"/>
    <s v="Beverages"/>
    <n v="256.64999999999998"/>
    <x v="2"/>
    <x v="1"/>
    <n v="19"/>
    <n v="5"/>
  </r>
  <r>
    <s v="ORD11043"/>
    <s v="CUST7114"/>
    <x v="0"/>
    <x v="5"/>
    <s v="2024-01-29"/>
    <n v="2024"/>
    <n v="1"/>
    <x v="17"/>
    <s v="15:16"/>
    <s v="Fast Food"/>
    <n v="358.12"/>
    <x v="3"/>
    <x v="0"/>
    <n v="88"/>
    <m/>
  </r>
  <r>
    <s v="ORD11044"/>
    <s v="CUST4101"/>
    <x v="7"/>
    <x v="1"/>
    <s v="2024-01-14"/>
    <n v="2024"/>
    <n v="1"/>
    <x v="2"/>
    <s v="12:58"/>
    <s v="Seafood"/>
    <n v="499.77"/>
    <x v="2"/>
    <x v="0"/>
    <n v="60"/>
    <n v="2"/>
  </r>
  <r>
    <s v="ORD11045"/>
    <s v="CUST2032"/>
    <x v="1"/>
    <x v="2"/>
    <s v="2024-01-17"/>
    <n v="2024"/>
    <n v="1"/>
    <x v="4"/>
    <s v="22:11"/>
    <s v="Healthy"/>
    <n v="490.61"/>
    <x v="0"/>
    <x v="1"/>
    <n v="21"/>
    <n v="4"/>
  </r>
  <r>
    <s v="ORD11046"/>
    <s v="CUST9106"/>
    <x v="3"/>
    <x v="7"/>
    <s v="2024-01-22"/>
    <n v="2024"/>
    <n v="1"/>
    <x v="19"/>
    <s v="14:12"/>
    <s v="Sushi"/>
    <n v="84.83"/>
    <x v="0"/>
    <x v="2"/>
    <n v="31"/>
    <n v="4"/>
  </r>
  <r>
    <s v="ORD11047"/>
    <s v="CUST6165"/>
    <x v="3"/>
    <x v="6"/>
    <s v="2024-01-22"/>
    <n v="2024"/>
    <n v="1"/>
    <x v="19"/>
    <s v="18:27"/>
    <s v="Desserts"/>
    <n v="331.03"/>
    <x v="0"/>
    <x v="2"/>
    <n v="16"/>
    <n v="1"/>
  </r>
  <r>
    <s v="ORD11048"/>
    <s v="CUST2024"/>
    <x v="1"/>
    <x v="3"/>
    <s v="2024-01-05"/>
    <n v="2024"/>
    <n v="1"/>
    <x v="20"/>
    <s v="11:19"/>
    <s v="Pizza"/>
    <n v="408.95"/>
    <x v="1"/>
    <x v="3"/>
    <n v="17"/>
    <n v="1"/>
  </r>
  <r>
    <s v="ORD11049"/>
    <s v="CUST9280"/>
    <x v="1"/>
    <x v="1"/>
    <s v="2024-01-23"/>
    <n v="2024"/>
    <n v="1"/>
    <x v="11"/>
    <s v="12:48"/>
    <s v="Sushi"/>
    <n v="74.05"/>
    <x v="2"/>
    <x v="2"/>
    <n v="34"/>
    <n v="4"/>
  </r>
  <r>
    <s v="ORD11050"/>
    <s v="CUST5306"/>
    <x v="8"/>
    <x v="8"/>
    <s v="2024-01-13"/>
    <n v="2024"/>
    <n v="1"/>
    <x v="28"/>
    <s v="22:25"/>
    <s v="Seafood"/>
    <n v="283.5"/>
    <x v="3"/>
    <x v="0"/>
    <n v="90"/>
    <n v="2"/>
  </r>
  <r>
    <s v="ORD11051"/>
    <s v="CUST5403"/>
    <x v="1"/>
    <x v="6"/>
    <s v="2024-01-26"/>
    <n v="2024"/>
    <n v="1"/>
    <x v="12"/>
    <s v="13:57"/>
    <s v="Seafood"/>
    <n v="321.62"/>
    <x v="1"/>
    <x v="1"/>
    <n v="41"/>
    <n v="3"/>
  </r>
  <r>
    <s v="ORD11052"/>
    <s v="CUST7035"/>
    <x v="1"/>
    <x v="5"/>
    <s v="2024-01-09"/>
    <n v="2024"/>
    <n v="1"/>
    <x v="0"/>
    <s v="13:52"/>
    <s v="Desserts"/>
    <n v="176.34"/>
    <x v="2"/>
    <x v="3"/>
    <n v="29"/>
    <n v="5"/>
  </r>
  <r>
    <s v="ORD11053"/>
    <s v="CUST8874"/>
    <x v="5"/>
    <x v="1"/>
    <s v="2024-01-03"/>
    <n v="2024"/>
    <n v="1"/>
    <x v="27"/>
    <s v="18:27"/>
    <s v="Healthy"/>
    <n v="257.2"/>
    <x v="1"/>
    <x v="1"/>
    <n v="86"/>
    <n v="5"/>
  </r>
  <r>
    <s v="ORD11054"/>
    <s v="CUST6523"/>
    <x v="5"/>
    <x v="4"/>
    <s v="2024-01-23"/>
    <n v="2024"/>
    <n v="1"/>
    <x v="11"/>
    <s v="20:18"/>
    <s v="Seafood"/>
    <n v="481.73"/>
    <x v="2"/>
    <x v="0"/>
    <n v="33"/>
    <n v="4"/>
  </r>
  <r>
    <s v="ORD11055"/>
    <s v="CUST1001"/>
    <x v="1"/>
    <x v="2"/>
    <s v="2024-01-05"/>
    <n v="2024"/>
    <n v="1"/>
    <x v="20"/>
    <s v="16:40"/>
    <s v="Beverages"/>
    <n v="479.13"/>
    <x v="0"/>
    <x v="0"/>
    <n v="56"/>
    <m/>
  </r>
  <r>
    <s v="ORD11056"/>
    <s v="CUST5889"/>
    <x v="0"/>
    <x v="7"/>
    <s v="2024-01-16"/>
    <n v="2024"/>
    <n v="1"/>
    <x v="10"/>
    <s v="23:55"/>
    <s v="Sushi"/>
    <n v="364.41"/>
    <x v="1"/>
    <x v="0"/>
    <n v="62"/>
    <n v="3"/>
  </r>
  <r>
    <s v="ORD11057"/>
    <s v="CUST4693"/>
    <x v="8"/>
    <x v="7"/>
    <s v="2024-01-06"/>
    <n v="2024"/>
    <n v="1"/>
    <x v="16"/>
    <s v="20:12"/>
    <s v="Sushi"/>
    <n v="286.04000000000002"/>
    <x v="2"/>
    <x v="2"/>
    <n v="86"/>
    <n v="2"/>
  </r>
  <r>
    <s v="ORD11058"/>
    <s v="CUST9544"/>
    <x v="9"/>
    <x v="4"/>
    <s v="2024-01-18"/>
    <n v="2024"/>
    <n v="1"/>
    <x v="9"/>
    <s v="13:17"/>
    <s v="Fast Food"/>
    <n v="300.95"/>
    <x v="2"/>
    <x v="1"/>
    <n v="72"/>
    <n v="2"/>
  </r>
  <r>
    <s v="ORD11059"/>
    <s v="CUST4392"/>
    <x v="6"/>
    <x v="7"/>
    <s v="2024-01-27"/>
    <n v="2024"/>
    <n v="1"/>
    <x v="7"/>
    <s v="18:45"/>
    <s v="Seafood"/>
    <n v="268.8"/>
    <x v="1"/>
    <x v="1"/>
    <n v="43"/>
    <n v="3"/>
  </r>
  <r>
    <s v="ORD11060"/>
    <s v="CUST5453"/>
    <x v="2"/>
    <x v="1"/>
    <s v="2024-01-05"/>
    <n v="2024"/>
    <n v="1"/>
    <x v="20"/>
    <s v="23:53"/>
    <s v="Desserts"/>
    <n v="235.77"/>
    <x v="3"/>
    <x v="3"/>
    <n v="25"/>
    <n v="2"/>
  </r>
  <r>
    <s v="ORD11061"/>
    <s v="CUST6318"/>
    <x v="6"/>
    <x v="3"/>
    <s v="2024-01-27"/>
    <n v="2024"/>
    <n v="1"/>
    <x v="7"/>
    <s v="21:31"/>
    <s v="Beverages"/>
    <n v="114.73"/>
    <x v="1"/>
    <x v="1"/>
    <n v="57"/>
    <n v="1"/>
  </r>
  <r>
    <s v="ORD11062"/>
    <s v="CUST1146"/>
    <x v="1"/>
    <x v="2"/>
    <s v="2024-01-08"/>
    <n v="2024"/>
    <n v="1"/>
    <x v="5"/>
    <s v="21:27"/>
    <s v="Desserts"/>
    <n v="211.21"/>
    <x v="3"/>
    <x v="3"/>
    <n v="75"/>
    <n v="3"/>
  </r>
  <r>
    <s v="ORD11063"/>
    <s v="CUST8891"/>
    <x v="4"/>
    <x v="3"/>
    <s v="2024-01-27"/>
    <n v="2024"/>
    <n v="1"/>
    <x v="7"/>
    <s v="23:16"/>
    <s v="BBQ"/>
    <n v="381.91"/>
    <x v="1"/>
    <x v="0"/>
    <n v="73"/>
    <n v="4"/>
  </r>
  <r>
    <s v="ORD11064"/>
    <s v="CUST1408"/>
    <x v="0"/>
    <x v="0"/>
    <s v="2024-01-19"/>
    <n v="2024"/>
    <n v="1"/>
    <x v="15"/>
    <s v="13:10"/>
    <s v="Fast Food"/>
    <n v="314.64999999999998"/>
    <x v="2"/>
    <x v="0"/>
    <n v="29"/>
    <m/>
  </r>
  <r>
    <s v="ORD11065"/>
    <s v="CUST5779"/>
    <x v="4"/>
    <x v="8"/>
    <s v="2024-01-19"/>
    <n v="2024"/>
    <n v="1"/>
    <x v="15"/>
    <s v="21:22"/>
    <s v="Healthy"/>
    <n v="314.7"/>
    <x v="0"/>
    <x v="3"/>
    <n v="51"/>
    <n v="2"/>
  </r>
  <r>
    <s v="ORD11066"/>
    <s v="CUST6004"/>
    <x v="2"/>
    <x v="0"/>
    <s v="2024-01-01"/>
    <n v="2024"/>
    <n v="1"/>
    <x v="25"/>
    <s v="22:14"/>
    <s v="BBQ"/>
    <n v="450.42"/>
    <x v="2"/>
    <x v="3"/>
    <n v="34"/>
    <n v="1"/>
  </r>
  <r>
    <s v="ORD11067"/>
    <s v="CUST9306"/>
    <x v="4"/>
    <x v="5"/>
    <s v="2024-01-21"/>
    <n v="2024"/>
    <n v="1"/>
    <x v="1"/>
    <s v="12:43"/>
    <s v="BBQ"/>
    <n v="454.63"/>
    <x v="2"/>
    <x v="1"/>
    <n v="67"/>
    <n v="3"/>
  </r>
  <r>
    <s v="ORD11068"/>
    <s v="CUST7009"/>
    <x v="2"/>
    <x v="3"/>
    <s v="2024-01-28"/>
    <n v="2024"/>
    <n v="1"/>
    <x v="21"/>
    <s v="23:35"/>
    <s v="Beverages"/>
    <n v="127.98"/>
    <x v="3"/>
    <x v="3"/>
    <n v="77"/>
    <n v="3"/>
  </r>
  <r>
    <s v="ORD11069"/>
    <s v="CUST6788"/>
    <x v="3"/>
    <x v="6"/>
    <s v="2024-01-15"/>
    <n v="2024"/>
    <n v="1"/>
    <x v="13"/>
    <s v="12:27"/>
    <s v="Beverages"/>
    <n v="320.81"/>
    <x v="3"/>
    <x v="2"/>
    <n v="79"/>
    <m/>
  </r>
  <r>
    <s v="ORD11070"/>
    <s v="CUST7876"/>
    <x v="5"/>
    <x v="4"/>
    <s v="2024-01-06"/>
    <n v="2024"/>
    <n v="1"/>
    <x v="16"/>
    <s v="15:16"/>
    <s v="Sushi"/>
    <n v="199.29"/>
    <x v="3"/>
    <x v="1"/>
    <n v="73"/>
    <n v="2"/>
  </r>
  <r>
    <s v="ORD11071"/>
    <s v="CUST8565"/>
    <x v="1"/>
    <x v="3"/>
    <s v="2024-01-20"/>
    <n v="2024"/>
    <n v="1"/>
    <x v="23"/>
    <s v="23:44"/>
    <s v="BBQ"/>
    <n v="253.05"/>
    <x v="0"/>
    <x v="2"/>
    <n v="74"/>
    <n v="1"/>
  </r>
  <r>
    <s v="ORD11072"/>
    <s v="CUST6490"/>
    <x v="0"/>
    <x v="5"/>
    <s v="2024-01-22"/>
    <n v="2024"/>
    <n v="1"/>
    <x v="19"/>
    <s v="22:28"/>
    <s v="Beverages"/>
    <n v="291"/>
    <x v="3"/>
    <x v="0"/>
    <n v="34"/>
    <n v="3"/>
  </r>
  <r>
    <s v="ORD11073"/>
    <s v="CUST8609"/>
    <x v="7"/>
    <x v="5"/>
    <s v="2024-01-26"/>
    <n v="2024"/>
    <n v="1"/>
    <x v="12"/>
    <s v="13:16"/>
    <s v="Fast Food"/>
    <n v="282.41000000000003"/>
    <x v="2"/>
    <x v="3"/>
    <n v="79"/>
    <n v="4"/>
  </r>
  <r>
    <s v="ORD11074"/>
    <s v="CUST8325"/>
    <x v="1"/>
    <x v="7"/>
    <s v="2024-01-13"/>
    <n v="2024"/>
    <n v="1"/>
    <x v="28"/>
    <s v="11:18"/>
    <s v="Sushi"/>
    <n v="427.98"/>
    <x v="1"/>
    <x v="2"/>
    <n v="62"/>
    <n v="3"/>
  </r>
  <r>
    <s v="ORD11075"/>
    <s v="CUST4155"/>
    <x v="4"/>
    <x v="4"/>
    <s v="2024-01-31"/>
    <n v="2024"/>
    <n v="1"/>
    <x v="6"/>
    <s v="22:46"/>
    <s v="Beverages"/>
    <n v="479.52"/>
    <x v="2"/>
    <x v="0"/>
    <n v="57"/>
    <n v="3"/>
  </r>
  <r>
    <s v="ORD11076"/>
    <s v="CUST9148"/>
    <x v="3"/>
    <x v="7"/>
    <s v="2024-01-26"/>
    <n v="2024"/>
    <n v="1"/>
    <x v="12"/>
    <s v="14:17"/>
    <s v="BBQ"/>
    <n v="122.95"/>
    <x v="0"/>
    <x v="2"/>
    <n v="58"/>
    <n v="2"/>
  </r>
  <r>
    <s v="ORD11077"/>
    <s v="CUST4588"/>
    <x v="7"/>
    <x v="3"/>
    <s v="2024-01-26"/>
    <n v="2024"/>
    <n v="1"/>
    <x v="12"/>
    <s v="14:39"/>
    <s v="Healthy"/>
    <n v="341.01"/>
    <x v="0"/>
    <x v="2"/>
    <n v="64"/>
    <n v="3"/>
  </r>
  <r>
    <s v="ORD11078"/>
    <s v="CUST5865"/>
    <x v="2"/>
    <x v="5"/>
    <s v="2024-01-13"/>
    <n v="2024"/>
    <n v="1"/>
    <x v="28"/>
    <s v="14:45"/>
    <s v="Pizza"/>
    <n v="310.79000000000002"/>
    <x v="2"/>
    <x v="2"/>
    <n v="29"/>
    <m/>
  </r>
  <r>
    <s v="ORD11079"/>
    <s v="CUST6664"/>
    <x v="8"/>
    <x v="7"/>
    <s v="2024-01-09"/>
    <n v="2024"/>
    <n v="1"/>
    <x v="0"/>
    <s v="22:27"/>
    <s v="BBQ"/>
    <n v="112.01"/>
    <x v="1"/>
    <x v="3"/>
    <n v="40"/>
    <n v="4"/>
  </r>
  <r>
    <s v="ORD11080"/>
    <s v="CUST1519"/>
    <x v="1"/>
    <x v="2"/>
    <s v="2024-01-05"/>
    <n v="2024"/>
    <n v="1"/>
    <x v="20"/>
    <s v="18:57"/>
    <s v="Healthy"/>
    <n v="439.4"/>
    <x v="0"/>
    <x v="2"/>
    <n v="55"/>
    <n v="5"/>
  </r>
  <r>
    <s v="ORD11081"/>
    <s v="CUST9792"/>
    <x v="0"/>
    <x v="6"/>
    <s v="2024-01-03"/>
    <n v="2024"/>
    <n v="1"/>
    <x v="27"/>
    <s v="12:15"/>
    <s v="Desserts"/>
    <n v="151.68"/>
    <x v="3"/>
    <x v="1"/>
    <n v="81"/>
    <n v="1"/>
  </r>
  <r>
    <s v="ORD11082"/>
    <s v="CUST7644"/>
    <x v="6"/>
    <x v="9"/>
    <s v="2024-01-05"/>
    <n v="2024"/>
    <n v="1"/>
    <x v="20"/>
    <s v="13:10"/>
    <s v="Sushi"/>
    <n v="301.94"/>
    <x v="1"/>
    <x v="3"/>
    <n v="61"/>
    <n v="2"/>
  </r>
  <r>
    <s v="ORD11083"/>
    <s v="CUST6068"/>
    <x v="7"/>
    <x v="8"/>
    <s v="2024-01-14"/>
    <n v="2024"/>
    <n v="1"/>
    <x v="2"/>
    <s v="18:15"/>
    <s v="Pizza"/>
    <n v="170.65"/>
    <x v="2"/>
    <x v="2"/>
    <n v="47"/>
    <m/>
  </r>
  <r>
    <s v="ORD11084"/>
    <s v="CUST1702"/>
    <x v="7"/>
    <x v="9"/>
    <s v="2024-01-24"/>
    <n v="2024"/>
    <n v="1"/>
    <x v="14"/>
    <s v="17:14"/>
    <s v="Beverages"/>
    <n v="470.17"/>
    <x v="2"/>
    <x v="1"/>
    <n v="90"/>
    <n v="3"/>
  </r>
  <r>
    <s v="ORD11085"/>
    <s v="CUST5086"/>
    <x v="9"/>
    <x v="6"/>
    <s v="2024-01-25"/>
    <n v="2024"/>
    <n v="1"/>
    <x v="8"/>
    <s v="23:23"/>
    <s v="Sushi"/>
    <n v="216.41"/>
    <x v="0"/>
    <x v="3"/>
    <n v="46"/>
    <n v="2"/>
  </r>
  <r>
    <s v="ORD11086"/>
    <s v="CUST8046"/>
    <x v="2"/>
    <x v="0"/>
    <s v="2024-01-13"/>
    <n v="2024"/>
    <n v="1"/>
    <x v="28"/>
    <s v="11:13"/>
    <s v="Healthy"/>
    <n v="267.35000000000002"/>
    <x v="1"/>
    <x v="3"/>
    <n v="80"/>
    <n v="5"/>
  </r>
  <r>
    <s v="ORD11087"/>
    <s v="CUST2295"/>
    <x v="6"/>
    <x v="9"/>
    <s v="2024-01-07"/>
    <n v="2024"/>
    <n v="1"/>
    <x v="18"/>
    <s v="10:52"/>
    <s v="Fast Food"/>
    <n v="356.07"/>
    <x v="0"/>
    <x v="2"/>
    <n v="57"/>
    <m/>
  </r>
  <r>
    <s v="ORD11088"/>
    <s v="CUST7018"/>
    <x v="2"/>
    <x v="8"/>
    <s v="2024-01-17"/>
    <n v="2024"/>
    <n v="1"/>
    <x v="4"/>
    <s v="22:57"/>
    <s v="Seafood"/>
    <n v="215.45"/>
    <x v="3"/>
    <x v="3"/>
    <n v="73"/>
    <m/>
  </r>
  <r>
    <s v="ORD11089"/>
    <s v="CUST3285"/>
    <x v="6"/>
    <x v="9"/>
    <s v="2024-01-31"/>
    <n v="2024"/>
    <n v="1"/>
    <x v="6"/>
    <s v="15:29"/>
    <s v="Sushi"/>
    <n v="384.97"/>
    <x v="0"/>
    <x v="0"/>
    <n v="78"/>
    <n v="5"/>
  </r>
  <r>
    <s v="ORD11090"/>
    <s v="CUST8775"/>
    <x v="3"/>
    <x v="5"/>
    <s v="2024-01-31"/>
    <n v="2024"/>
    <n v="1"/>
    <x v="6"/>
    <s v="10:25"/>
    <s v="Seafood"/>
    <n v="301.27999999999997"/>
    <x v="0"/>
    <x v="1"/>
    <n v="38"/>
    <n v="3"/>
  </r>
  <r>
    <s v="ORD11091"/>
    <s v="CUST2267"/>
    <x v="3"/>
    <x v="8"/>
    <s v="2024-01-13"/>
    <n v="2024"/>
    <n v="1"/>
    <x v="28"/>
    <s v="16:23"/>
    <s v="Seafood"/>
    <n v="465.8"/>
    <x v="3"/>
    <x v="0"/>
    <n v="61"/>
    <n v="3"/>
  </r>
  <r>
    <s v="ORD11092"/>
    <s v="CUST3853"/>
    <x v="2"/>
    <x v="4"/>
    <s v="2024-01-11"/>
    <n v="2024"/>
    <n v="1"/>
    <x v="3"/>
    <s v="16:33"/>
    <s v="Healthy"/>
    <n v="367.08"/>
    <x v="1"/>
    <x v="2"/>
    <n v="81"/>
    <n v="3"/>
  </r>
  <r>
    <s v="ORD11093"/>
    <s v="CUST3081"/>
    <x v="6"/>
    <x v="9"/>
    <s v="2024-01-03"/>
    <n v="2024"/>
    <n v="1"/>
    <x v="27"/>
    <s v="19:31"/>
    <s v="Sushi"/>
    <n v="295.14"/>
    <x v="1"/>
    <x v="2"/>
    <n v="21"/>
    <n v="2"/>
  </r>
  <r>
    <s v="ORD11094"/>
    <s v="CUST7413"/>
    <x v="1"/>
    <x v="2"/>
    <s v="2024-01-12"/>
    <n v="2024"/>
    <n v="1"/>
    <x v="29"/>
    <s v="10:55"/>
    <s v="BBQ"/>
    <n v="403.34"/>
    <x v="0"/>
    <x v="3"/>
    <n v="67"/>
    <n v="4"/>
  </r>
  <r>
    <s v="ORD11095"/>
    <s v="CUST7780"/>
    <x v="5"/>
    <x v="5"/>
    <s v="2024-01-07"/>
    <n v="2024"/>
    <n v="1"/>
    <x v="18"/>
    <s v="10:11"/>
    <s v="Beverages"/>
    <n v="282.58999999999997"/>
    <x v="2"/>
    <x v="0"/>
    <n v="45"/>
    <n v="1"/>
  </r>
  <r>
    <s v="ORD11096"/>
    <s v="CUST5297"/>
    <x v="4"/>
    <x v="5"/>
    <s v="2024-01-15"/>
    <n v="2024"/>
    <n v="1"/>
    <x v="13"/>
    <s v="19:25"/>
    <s v="Seafood"/>
    <n v="476.58"/>
    <x v="1"/>
    <x v="1"/>
    <n v="64"/>
    <n v="2"/>
  </r>
  <r>
    <s v="ORD11097"/>
    <s v="CUST9461"/>
    <x v="9"/>
    <x v="8"/>
    <s v="2024-01-21"/>
    <n v="2024"/>
    <n v="1"/>
    <x v="1"/>
    <s v="11:19"/>
    <s v="Fast Food"/>
    <n v="112.56"/>
    <x v="0"/>
    <x v="3"/>
    <n v="21"/>
    <n v="3"/>
  </r>
  <r>
    <s v="ORD11098"/>
    <s v="CUST9471"/>
    <x v="3"/>
    <x v="3"/>
    <s v="2024-01-21"/>
    <n v="2024"/>
    <n v="1"/>
    <x v="1"/>
    <s v="22:17"/>
    <s v="Desserts"/>
    <n v="280.07"/>
    <x v="3"/>
    <x v="1"/>
    <n v="39"/>
    <n v="2"/>
  </r>
  <r>
    <s v="ORD11099"/>
    <s v="CUST6638"/>
    <x v="6"/>
    <x v="6"/>
    <s v="2024-01-08"/>
    <n v="2024"/>
    <n v="1"/>
    <x v="5"/>
    <s v="17:57"/>
    <s v="Sushi"/>
    <n v="270.63"/>
    <x v="1"/>
    <x v="0"/>
    <n v="30"/>
    <m/>
  </r>
  <r>
    <s v="ORD11100"/>
    <s v="CUST8469"/>
    <x v="4"/>
    <x v="4"/>
    <s v="2024-01-24"/>
    <n v="2024"/>
    <n v="1"/>
    <x v="14"/>
    <s v="21:48"/>
    <s v="Sushi"/>
    <n v="440.56"/>
    <x v="1"/>
    <x v="1"/>
    <n v="42"/>
    <m/>
  </r>
  <r>
    <s v="ORD11101"/>
    <s v="CUST4681"/>
    <x v="9"/>
    <x v="6"/>
    <s v="2024-01-14"/>
    <n v="2024"/>
    <n v="1"/>
    <x v="2"/>
    <s v="19:48"/>
    <s v="Sushi"/>
    <n v="455.08"/>
    <x v="2"/>
    <x v="1"/>
    <n v="35"/>
    <n v="5"/>
  </r>
  <r>
    <s v="ORD11102"/>
    <s v="CUST2979"/>
    <x v="9"/>
    <x v="0"/>
    <s v="2024-01-04"/>
    <n v="2024"/>
    <n v="1"/>
    <x v="22"/>
    <s v="18:54"/>
    <s v="Healthy"/>
    <n v="207.79"/>
    <x v="0"/>
    <x v="2"/>
    <n v="77"/>
    <n v="3"/>
  </r>
  <r>
    <s v="ORD11103"/>
    <s v="CUST5427"/>
    <x v="3"/>
    <x v="1"/>
    <s v="2024-01-15"/>
    <n v="2024"/>
    <n v="1"/>
    <x v="13"/>
    <s v="13:37"/>
    <s v="Beverages"/>
    <n v="450.39"/>
    <x v="3"/>
    <x v="3"/>
    <n v="43"/>
    <n v="1"/>
  </r>
  <r>
    <s v="ORD11104"/>
    <s v="CUST8378"/>
    <x v="4"/>
    <x v="5"/>
    <s v="2024-01-31"/>
    <n v="2024"/>
    <n v="1"/>
    <x v="6"/>
    <s v="13:25"/>
    <s v="Pizza"/>
    <n v="103.39"/>
    <x v="0"/>
    <x v="1"/>
    <n v="62"/>
    <n v="5"/>
  </r>
  <r>
    <s v="ORD11105"/>
    <s v="CUST4043"/>
    <x v="5"/>
    <x v="6"/>
    <s v="2024-01-31"/>
    <n v="2024"/>
    <n v="1"/>
    <x v="6"/>
    <s v="22:40"/>
    <s v="BBQ"/>
    <n v="264.77999999999997"/>
    <x v="3"/>
    <x v="2"/>
    <n v="24"/>
    <n v="5"/>
  </r>
  <r>
    <s v="ORD11106"/>
    <s v="CUST3815"/>
    <x v="1"/>
    <x v="7"/>
    <s v="2024-01-01"/>
    <n v="2024"/>
    <n v="1"/>
    <x v="25"/>
    <s v="23:39"/>
    <s v="Pizza"/>
    <n v="66.87"/>
    <x v="0"/>
    <x v="3"/>
    <n v="62"/>
    <n v="1"/>
  </r>
  <r>
    <s v="ORD11107"/>
    <s v="CUST7713"/>
    <x v="4"/>
    <x v="5"/>
    <s v="2024-01-27"/>
    <n v="2024"/>
    <n v="1"/>
    <x v="7"/>
    <s v="17:21"/>
    <s v="Healthy"/>
    <n v="374"/>
    <x v="2"/>
    <x v="2"/>
    <n v="35"/>
    <m/>
  </r>
  <r>
    <s v="ORD11108"/>
    <s v="CUST9809"/>
    <x v="6"/>
    <x v="2"/>
    <s v="2024-01-31"/>
    <n v="2024"/>
    <n v="1"/>
    <x v="6"/>
    <s v="20:29"/>
    <s v="Fast Food"/>
    <n v="357.8"/>
    <x v="1"/>
    <x v="2"/>
    <n v="70"/>
    <n v="5"/>
  </r>
  <r>
    <s v="ORD11109"/>
    <s v="CUST6881"/>
    <x v="2"/>
    <x v="8"/>
    <s v="2024-01-25"/>
    <n v="2024"/>
    <n v="1"/>
    <x v="8"/>
    <s v="20:44"/>
    <s v="Beverages"/>
    <n v="65.77"/>
    <x v="0"/>
    <x v="0"/>
    <n v="73"/>
    <n v="3"/>
  </r>
  <r>
    <s v="ORD11110"/>
    <s v="CUST3460"/>
    <x v="1"/>
    <x v="6"/>
    <s v="2024-01-02"/>
    <n v="2024"/>
    <n v="1"/>
    <x v="26"/>
    <s v="17:25"/>
    <s v="Beverages"/>
    <n v="53.8"/>
    <x v="3"/>
    <x v="3"/>
    <n v="16"/>
    <n v="4"/>
  </r>
  <r>
    <s v="ORD11111"/>
    <s v="CUST7770"/>
    <x v="0"/>
    <x v="7"/>
    <s v="2024-01-23"/>
    <n v="2024"/>
    <n v="1"/>
    <x v="11"/>
    <s v="16:26"/>
    <s v="Seafood"/>
    <n v="195.43"/>
    <x v="2"/>
    <x v="2"/>
    <n v="24"/>
    <n v="4"/>
  </r>
  <r>
    <s v="ORD11112"/>
    <s v="CUST1473"/>
    <x v="3"/>
    <x v="6"/>
    <s v="2024-01-07"/>
    <n v="2024"/>
    <n v="1"/>
    <x v="18"/>
    <s v="10:24"/>
    <s v="Beverages"/>
    <n v="56.74"/>
    <x v="3"/>
    <x v="1"/>
    <n v="44"/>
    <n v="2"/>
  </r>
  <r>
    <s v="ORD11113"/>
    <s v="CUST6286"/>
    <x v="7"/>
    <x v="4"/>
    <s v="2024-01-19"/>
    <n v="2024"/>
    <n v="1"/>
    <x v="15"/>
    <s v="20:43"/>
    <s v="Seafood"/>
    <n v="242.48"/>
    <x v="1"/>
    <x v="1"/>
    <n v="69"/>
    <m/>
  </r>
  <r>
    <s v="ORD11114"/>
    <s v="CUST3240"/>
    <x v="9"/>
    <x v="7"/>
    <s v="2024-01-22"/>
    <n v="2024"/>
    <n v="1"/>
    <x v="19"/>
    <s v="21:55"/>
    <s v="Sushi"/>
    <n v="193.31"/>
    <x v="3"/>
    <x v="3"/>
    <n v="87"/>
    <m/>
  </r>
  <r>
    <s v="ORD11115"/>
    <s v="CUST2083"/>
    <x v="7"/>
    <x v="5"/>
    <s v="2024-01-05"/>
    <n v="2024"/>
    <n v="1"/>
    <x v="20"/>
    <s v="12:33"/>
    <s v="Pizza"/>
    <n v="393.54"/>
    <x v="1"/>
    <x v="2"/>
    <n v="86"/>
    <n v="5"/>
  </r>
  <r>
    <s v="ORD11116"/>
    <s v="CUST1506"/>
    <x v="2"/>
    <x v="9"/>
    <s v="2024-01-09"/>
    <n v="2024"/>
    <n v="1"/>
    <x v="0"/>
    <s v="17:47"/>
    <s v="BBQ"/>
    <n v="441.13"/>
    <x v="0"/>
    <x v="1"/>
    <n v="79"/>
    <n v="5"/>
  </r>
  <r>
    <s v="ORD11117"/>
    <s v="CUST4349"/>
    <x v="0"/>
    <x v="6"/>
    <s v="2024-01-01"/>
    <n v="2024"/>
    <n v="1"/>
    <x v="25"/>
    <s v="17:37"/>
    <s v="Desserts"/>
    <n v="311.25"/>
    <x v="1"/>
    <x v="1"/>
    <n v="66"/>
    <n v="5"/>
  </r>
  <r>
    <s v="ORD11118"/>
    <s v="CUST5106"/>
    <x v="8"/>
    <x v="7"/>
    <s v="2024-01-15"/>
    <n v="2024"/>
    <n v="1"/>
    <x v="13"/>
    <s v="16:29"/>
    <s v="Fast Food"/>
    <n v="471.45"/>
    <x v="2"/>
    <x v="3"/>
    <n v="23"/>
    <n v="4"/>
  </r>
  <r>
    <s v="ORD11119"/>
    <s v="CUST5140"/>
    <x v="8"/>
    <x v="0"/>
    <s v="2024-01-23"/>
    <n v="2024"/>
    <n v="1"/>
    <x v="11"/>
    <s v="18:20"/>
    <s v="Seafood"/>
    <n v="245.47"/>
    <x v="3"/>
    <x v="3"/>
    <n v="52"/>
    <n v="3"/>
  </r>
  <r>
    <s v="ORD11120"/>
    <s v="CUST8736"/>
    <x v="6"/>
    <x v="5"/>
    <s v="2024-01-12"/>
    <n v="2024"/>
    <n v="1"/>
    <x v="29"/>
    <s v="23:18"/>
    <s v="Fast Food"/>
    <n v="448.83"/>
    <x v="3"/>
    <x v="0"/>
    <n v="41"/>
    <n v="3"/>
  </r>
  <r>
    <s v="ORD11121"/>
    <s v="CUST7425"/>
    <x v="3"/>
    <x v="8"/>
    <s v="2024-01-20"/>
    <n v="2024"/>
    <n v="1"/>
    <x v="23"/>
    <s v="21:58"/>
    <s v="Sushi"/>
    <n v="66.12"/>
    <x v="1"/>
    <x v="0"/>
    <n v="61"/>
    <n v="2"/>
  </r>
  <r>
    <s v="ORD11122"/>
    <s v="CUST4818"/>
    <x v="8"/>
    <x v="8"/>
    <s v="2024-01-24"/>
    <n v="2024"/>
    <n v="1"/>
    <x v="14"/>
    <s v="20:53"/>
    <s v="Desserts"/>
    <n v="392.08"/>
    <x v="1"/>
    <x v="1"/>
    <n v="74"/>
    <n v="5"/>
  </r>
  <r>
    <s v="ORD11123"/>
    <s v="CUST1061"/>
    <x v="2"/>
    <x v="7"/>
    <s v="2024-01-18"/>
    <n v="2024"/>
    <n v="1"/>
    <x v="9"/>
    <s v="20:43"/>
    <s v="Sushi"/>
    <n v="134.24"/>
    <x v="1"/>
    <x v="3"/>
    <n v="65"/>
    <n v="4"/>
  </r>
  <r>
    <s v="ORD11124"/>
    <s v="CUST9544"/>
    <x v="6"/>
    <x v="2"/>
    <s v="2024-01-28"/>
    <n v="2024"/>
    <n v="1"/>
    <x v="21"/>
    <s v="23:11"/>
    <s v="Seafood"/>
    <n v="260.39"/>
    <x v="2"/>
    <x v="2"/>
    <n v="85"/>
    <n v="4"/>
  </r>
  <r>
    <s v="ORD11125"/>
    <s v="CUST8289"/>
    <x v="7"/>
    <x v="0"/>
    <s v="2024-01-21"/>
    <n v="2024"/>
    <n v="1"/>
    <x v="1"/>
    <s v="11:34"/>
    <s v="Sushi"/>
    <n v="486.11"/>
    <x v="1"/>
    <x v="2"/>
    <n v="18"/>
    <m/>
  </r>
  <r>
    <s v="ORD11126"/>
    <s v="CUST6489"/>
    <x v="2"/>
    <x v="7"/>
    <s v="2024-01-08"/>
    <n v="2024"/>
    <n v="1"/>
    <x v="5"/>
    <s v="20:14"/>
    <s v="Seafood"/>
    <n v="416.61"/>
    <x v="0"/>
    <x v="3"/>
    <n v="68"/>
    <n v="4"/>
  </r>
  <r>
    <s v="ORD11127"/>
    <s v="CUST8447"/>
    <x v="1"/>
    <x v="4"/>
    <s v="2024-01-02"/>
    <n v="2024"/>
    <n v="1"/>
    <x v="26"/>
    <s v="13:38"/>
    <s v="Pizza"/>
    <n v="155.77000000000001"/>
    <x v="3"/>
    <x v="0"/>
    <n v="20"/>
    <n v="4"/>
  </r>
  <r>
    <s v="ORD11128"/>
    <s v="CUST7221"/>
    <x v="2"/>
    <x v="1"/>
    <s v="2024-01-24"/>
    <n v="2024"/>
    <n v="1"/>
    <x v="14"/>
    <s v="21:15"/>
    <s v="BBQ"/>
    <n v="338.03"/>
    <x v="2"/>
    <x v="1"/>
    <n v="45"/>
    <n v="5"/>
  </r>
  <r>
    <s v="ORD11129"/>
    <s v="CUST9390"/>
    <x v="8"/>
    <x v="4"/>
    <s v="2024-01-18"/>
    <n v="2024"/>
    <n v="1"/>
    <x v="9"/>
    <s v="14:49"/>
    <s v="Desserts"/>
    <n v="491.68"/>
    <x v="0"/>
    <x v="0"/>
    <n v="87"/>
    <n v="4"/>
  </r>
  <r>
    <s v="ORD11130"/>
    <s v="CUST2964"/>
    <x v="2"/>
    <x v="4"/>
    <s v="2024-01-26"/>
    <n v="2024"/>
    <n v="1"/>
    <x v="12"/>
    <s v="21:33"/>
    <s v="Desserts"/>
    <n v="68.81"/>
    <x v="2"/>
    <x v="3"/>
    <n v="29"/>
    <n v="3"/>
  </r>
  <r>
    <s v="ORD11131"/>
    <s v="CUST7777"/>
    <x v="2"/>
    <x v="5"/>
    <s v="2024-01-20"/>
    <n v="2024"/>
    <n v="1"/>
    <x v="23"/>
    <s v="11:38"/>
    <s v="Beverages"/>
    <n v="221.39"/>
    <x v="0"/>
    <x v="3"/>
    <n v="29"/>
    <n v="1"/>
  </r>
  <r>
    <s v="ORD11132"/>
    <s v="CUST2558"/>
    <x v="2"/>
    <x v="3"/>
    <s v="2024-01-26"/>
    <n v="2024"/>
    <n v="1"/>
    <x v="12"/>
    <s v="17:40"/>
    <s v="Pizza"/>
    <n v="165.77"/>
    <x v="1"/>
    <x v="3"/>
    <n v="18"/>
    <n v="1"/>
  </r>
  <r>
    <s v="ORD11133"/>
    <s v="CUST8494"/>
    <x v="1"/>
    <x v="6"/>
    <s v="2024-01-09"/>
    <n v="2024"/>
    <n v="1"/>
    <x v="0"/>
    <s v="14:32"/>
    <s v="Fast Food"/>
    <n v="238.45"/>
    <x v="1"/>
    <x v="3"/>
    <n v="34"/>
    <n v="1"/>
  </r>
  <r>
    <s v="ORD11134"/>
    <s v="CUST6461"/>
    <x v="6"/>
    <x v="1"/>
    <s v="2024-01-23"/>
    <n v="2024"/>
    <n v="1"/>
    <x v="11"/>
    <s v="21:56"/>
    <s v="Desserts"/>
    <n v="99.17"/>
    <x v="3"/>
    <x v="3"/>
    <n v="42"/>
    <n v="3"/>
  </r>
  <r>
    <s v="ORD11135"/>
    <s v="CUST4384"/>
    <x v="4"/>
    <x v="0"/>
    <s v="2024-01-13"/>
    <n v="2024"/>
    <n v="1"/>
    <x v="28"/>
    <s v="13:11"/>
    <s v="Beverages"/>
    <n v="170.16"/>
    <x v="0"/>
    <x v="0"/>
    <n v="46"/>
    <n v="1"/>
  </r>
  <r>
    <s v="ORD11136"/>
    <s v="CUST5521"/>
    <x v="3"/>
    <x v="7"/>
    <s v="2024-01-16"/>
    <n v="2024"/>
    <n v="1"/>
    <x v="10"/>
    <s v="10:35"/>
    <s v="BBQ"/>
    <n v="264.47000000000003"/>
    <x v="3"/>
    <x v="3"/>
    <n v="77"/>
    <n v="3"/>
  </r>
  <r>
    <s v="ORD11137"/>
    <s v="CUST2163"/>
    <x v="8"/>
    <x v="3"/>
    <s v="2024-01-29"/>
    <n v="2024"/>
    <n v="1"/>
    <x v="17"/>
    <s v="15:50"/>
    <s v="Pizza"/>
    <n v="378.48"/>
    <x v="2"/>
    <x v="2"/>
    <n v="58"/>
    <n v="3"/>
  </r>
  <r>
    <s v="ORD11138"/>
    <s v="CUST5017"/>
    <x v="5"/>
    <x v="3"/>
    <s v="2024-01-05"/>
    <n v="2024"/>
    <n v="1"/>
    <x v="20"/>
    <s v="22:40"/>
    <s v="Desserts"/>
    <n v="293.67"/>
    <x v="1"/>
    <x v="3"/>
    <n v="52"/>
    <n v="4"/>
  </r>
  <r>
    <s v="ORD11139"/>
    <s v="CUST4392"/>
    <x v="1"/>
    <x v="3"/>
    <s v="2024-01-09"/>
    <n v="2024"/>
    <n v="1"/>
    <x v="0"/>
    <s v="13:24"/>
    <s v="Sushi"/>
    <n v="223.58"/>
    <x v="0"/>
    <x v="3"/>
    <n v="23"/>
    <n v="3"/>
  </r>
  <r>
    <s v="ORD11140"/>
    <s v="CUST2610"/>
    <x v="3"/>
    <x v="3"/>
    <s v="2024-01-05"/>
    <n v="2024"/>
    <n v="1"/>
    <x v="20"/>
    <s v="11:54"/>
    <s v="Healthy"/>
    <n v="80.48"/>
    <x v="1"/>
    <x v="0"/>
    <n v="30"/>
    <m/>
  </r>
  <r>
    <s v="ORD11141"/>
    <s v="CUST6582"/>
    <x v="5"/>
    <x v="0"/>
    <s v="2024-01-08"/>
    <n v="2024"/>
    <n v="1"/>
    <x v="5"/>
    <s v="17:41"/>
    <s v="Sushi"/>
    <n v="362.74"/>
    <x v="1"/>
    <x v="3"/>
    <n v="68"/>
    <n v="5"/>
  </r>
  <r>
    <s v="ORD11142"/>
    <s v="CUST6812"/>
    <x v="7"/>
    <x v="6"/>
    <s v="2024-01-22"/>
    <n v="2024"/>
    <n v="1"/>
    <x v="19"/>
    <s v="12:31"/>
    <s v="Fast Food"/>
    <n v="56.67"/>
    <x v="0"/>
    <x v="3"/>
    <n v="67"/>
    <n v="1"/>
  </r>
  <r>
    <s v="ORD11143"/>
    <s v="CUST2998"/>
    <x v="3"/>
    <x v="5"/>
    <s v="2024-01-28"/>
    <n v="2024"/>
    <n v="1"/>
    <x v="21"/>
    <s v="20:29"/>
    <s v="Sushi"/>
    <n v="144.16"/>
    <x v="1"/>
    <x v="3"/>
    <n v="75"/>
    <m/>
  </r>
  <r>
    <s v="ORD11144"/>
    <s v="CUST7910"/>
    <x v="6"/>
    <x v="7"/>
    <s v="2024-01-05"/>
    <n v="2024"/>
    <n v="1"/>
    <x v="20"/>
    <s v="10:53"/>
    <s v="Fast Food"/>
    <n v="262.79000000000002"/>
    <x v="0"/>
    <x v="0"/>
    <n v="41"/>
    <m/>
  </r>
  <r>
    <s v="ORD11145"/>
    <s v="CUST4238"/>
    <x v="7"/>
    <x v="7"/>
    <s v="2024-01-10"/>
    <n v="2024"/>
    <n v="1"/>
    <x v="24"/>
    <s v="15:24"/>
    <s v="Seafood"/>
    <n v="195.05"/>
    <x v="3"/>
    <x v="2"/>
    <n v="50"/>
    <n v="5"/>
  </r>
  <r>
    <s v="ORD11146"/>
    <s v="CUST4378"/>
    <x v="1"/>
    <x v="0"/>
    <s v="2024-01-17"/>
    <n v="2024"/>
    <n v="1"/>
    <x v="4"/>
    <s v="19:26"/>
    <s v="Beverages"/>
    <n v="103.59"/>
    <x v="3"/>
    <x v="2"/>
    <n v="17"/>
    <n v="4"/>
  </r>
  <r>
    <s v="ORD11147"/>
    <s v="CUST1219"/>
    <x v="3"/>
    <x v="1"/>
    <s v="2024-01-24"/>
    <n v="2024"/>
    <n v="1"/>
    <x v="14"/>
    <s v="19:18"/>
    <s v="Fast Food"/>
    <n v="134.37"/>
    <x v="2"/>
    <x v="3"/>
    <n v="49"/>
    <n v="5"/>
  </r>
  <r>
    <s v="ORD11148"/>
    <s v="CUST6741"/>
    <x v="4"/>
    <x v="4"/>
    <s v="2024-01-22"/>
    <n v="2024"/>
    <n v="1"/>
    <x v="19"/>
    <s v="18:48"/>
    <s v="Desserts"/>
    <n v="125.73"/>
    <x v="3"/>
    <x v="2"/>
    <n v="77"/>
    <n v="4"/>
  </r>
  <r>
    <s v="ORD11149"/>
    <s v="CUST6891"/>
    <x v="3"/>
    <x v="9"/>
    <s v="2024-01-14"/>
    <n v="2024"/>
    <n v="1"/>
    <x v="2"/>
    <s v="17:32"/>
    <s v="Fast Food"/>
    <n v="301.86"/>
    <x v="3"/>
    <x v="3"/>
    <n v="20"/>
    <m/>
  </r>
  <r>
    <s v="ORD11150"/>
    <s v="CUST8631"/>
    <x v="6"/>
    <x v="5"/>
    <s v="2024-01-25"/>
    <n v="2024"/>
    <n v="1"/>
    <x v="8"/>
    <s v="23:52"/>
    <s v="Healthy"/>
    <n v="74.89"/>
    <x v="0"/>
    <x v="1"/>
    <n v="67"/>
    <n v="3"/>
  </r>
  <r>
    <s v="ORD11151"/>
    <s v="CUST7102"/>
    <x v="5"/>
    <x v="2"/>
    <s v="2024-01-27"/>
    <n v="2024"/>
    <n v="1"/>
    <x v="7"/>
    <s v="17:36"/>
    <s v="Seafood"/>
    <n v="346.84"/>
    <x v="2"/>
    <x v="0"/>
    <n v="24"/>
    <n v="4"/>
  </r>
  <r>
    <s v="ORD11152"/>
    <s v="CUST2993"/>
    <x v="5"/>
    <x v="9"/>
    <s v="2024-01-03"/>
    <n v="2024"/>
    <n v="1"/>
    <x v="27"/>
    <s v="19:36"/>
    <s v="Healthy"/>
    <n v="408.05"/>
    <x v="3"/>
    <x v="1"/>
    <n v="69"/>
    <n v="3"/>
  </r>
  <r>
    <s v="ORD11153"/>
    <s v="CUST9577"/>
    <x v="1"/>
    <x v="9"/>
    <s v="2024-01-24"/>
    <n v="2024"/>
    <n v="1"/>
    <x v="14"/>
    <s v="10:49"/>
    <s v="Fast Food"/>
    <n v="381.25"/>
    <x v="0"/>
    <x v="1"/>
    <n v="62"/>
    <n v="1"/>
  </r>
  <r>
    <s v="ORD11154"/>
    <s v="CUST4863"/>
    <x v="6"/>
    <x v="3"/>
    <s v="2024-01-20"/>
    <n v="2024"/>
    <n v="1"/>
    <x v="23"/>
    <s v="17:18"/>
    <s v="BBQ"/>
    <n v="437.22"/>
    <x v="0"/>
    <x v="3"/>
    <n v="73"/>
    <m/>
  </r>
  <r>
    <s v="ORD11155"/>
    <s v="CUST7497"/>
    <x v="4"/>
    <x v="7"/>
    <s v="2024-01-02"/>
    <n v="2024"/>
    <n v="1"/>
    <x v="26"/>
    <s v="21:21"/>
    <s v="Healthy"/>
    <n v="492.05"/>
    <x v="2"/>
    <x v="3"/>
    <n v="26"/>
    <n v="3"/>
  </r>
  <r>
    <s v="ORD11156"/>
    <s v="CUST6964"/>
    <x v="9"/>
    <x v="4"/>
    <s v="2024-01-30"/>
    <n v="2024"/>
    <n v="1"/>
    <x v="30"/>
    <s v="20:16"/>
    <s v="Fast Food"/>
    <n v="205.01"/>
    <x v="0"/>
    <x v="0"/>
    <n v="68"/>
    <n v="3"/>
  </r>
  <r>
    <s v="ORD11157"/>
    <s v="CUST6269"/>
    <x v="6"/>
    <x v="1"/>
    <s v="2024-01-07"/>
    <n v="2024"/>
    <n v="1"/>
    <x v="18"/>
    <s v="21:20"/>
    <s v="Pizza"/>
    <n v="71.31"/>
    <x v="1"/>
    <x v="0"/>
    <n v="16"/>
    <n v="1"/>
  </r>
  <r>
    <s v="ORD11158"/>
    <s v="CUST7898"/>
    <x v="0"/>
    <x v="0"/>
    <s v="2024-01-23"/>
    <n v="2024"/>
    <n v="1"/>
    <x v="11"/>
    <s v="12:46"/>
    <s v="Desserts"/>
    <n v="128.94999999999999"/>
    <x v="3"/>
    <x v="2"/>
    <n v="17"/>
    <n v="5"/>
  </r>
  <r>
    <s v="ORD11159"/>
    <s v="CUST4127"/>
    <x v="1"/>
    <x v="8"/>
    <s v="2024-01-31"/>
    <n v="2024"/>
    <n v="1"/>
    <x v="6"/>
    <s v="22:34"/>
    <s v="Seafood"/>
    <n v="335.33"/>
    <x v="3"/>
    <x v="1"/>
    <n v="71"/>
    <m/>
  </r>
  <r>
    <s v="ORD11160"/>
    <s v="CUST5998"/>
    <x v="6"/>
    <x v="1"/>
    <s v="2024-01-10"/>
    <n v="2024"/>
    <n v="1"/>
    <x v="24"/>
    <s v="18:26"/>
    <s v="Desserts"/>
    <n v="151.38999999999999"/>
    <x v="1"/>
    <x v="3"/>
    <n v="61"/>
    <n v="1"/>
  </r>
  <r>
    <s v="ORD11161"/>
    <s v="CUST8564"/>
    <x v="2"/>
    <x v="3"/>
    <s v="2024-01-18"/>
    <n v="2024"/>
    <n v="1"/>
    <x v="9"/>
    <s v="17:34"/>
    <s v="Sushi"/>
    <n v="207.48"/>
    <x v="2"/>
    <x v="1"/>
    <n v="36"/>
    <m/>
  </r>
  <r>
    <s v="ORD11162"/>
    <s v="CUST7066"/>
    <x v="9"/>
    <x v="8"/>
    <s v="2024-01-14"/>
    <n v="2024"/>
    <n v="1"/>
    <x v="2"/>
    <s v="15:23"/>
    <s v="Sushi"/>
    <n v="91.48"/>
    <x v="2"/>
    <x v="2"/>
    <n v="18"/>
    <n v="4"/>
  </r>
  <r>
    <s v="ORD11163"/>
    <s v="CUST4449"/>
    <x v="6"/>
    <x v="1"/>
    <s v="2024-01-27"/>
    <n v="2024"/>
    <n v="1"/>
    <x v="7"/>
    <s v="19:31"/>
    <s v="Pizza"/>
    <n v="323.57"/>
    <x v="0"/>
    <x v="0"/>
    <n v="49"/>
    <n v="4"/>
  </r>
  <r>
    <s v="ORD11164"/>
    <s v="CUST4730"/>
    <x v="7"/>
    <x v="9"/>
    <s v="2024-01-22"/>
    <n v="2024"/>
    <n v="1"/>
    <x v="19"/>
    <s v="20:16"/>
    <s v="Pizza"/>
    <n v="384.45"/>
    <x v="2"/>
    <x v="3"/>
    <n v="34"/>
    <m/>
  </r>
  <r>
    <s v="ORD11165"/>
    <s v="CUST2673"/>
    <x v="7"/>
    <x v="6"/>
    <s v="2024-01-24"/>
    <n v="2024"/>
    <n v="1"/>
    <x v="14"/>
    <s v="20:31"/>
    <s v="Sushi"/>
    <n v="414.69"/>
    <x v="0"/>
    <x v="0"/>
    <n v="52"/>
    <n v="4"/>
  </r>
  <r>
    <s v="ORD11166"/>
    <s v="CUST6455"/>
    <x v="2"/>
    <x v="7"/>
    <s v="2024-01-17"/>
    <n v="2024"/>
    <n v="1"/>
    <x v="4"/>
    <s v="10:43"/>
    <s v="Sushi"/>
    <n v="145.36000000000001"/>
    <x v="1"/>
    <x v="3"/>
    <n v="56"/>
    <n v="3"/>
  </r>
  <r>
    <s v="ORD11167"/>
    <s v="CUST9474"/>
    <x v="0"/>
    <x v="0"/>
    <s v="2024-01-12"/>
    <n v="2024"/>
    <n v="1"/>
    <x v="29"/>
    <s v="10:21"/>
    <s v="Healthy"/>
    <n v="473.44"/>
    <x v="2"/>
    <x v="1"/>
    <n v="41"/>
    <n v="1"/>
  </r>
  <r>
    <s v="ORD11168"/>
    <s v="CUST8444"/>
    <x v="2"/>
    <x v="6"/>
    <s v="2024-01-04"/>
    <n v="2024"/>
    <n v="1"/>
    <x v="22"/>
    <s v="20:47"/>
    <s v="Healthy"/>
    <n v="346.4"/>
    <x v="1"/>
    <x v="2"/>
    <n v="55"/>
    <m/>
  </r>
  <r>
    <s v="ORD11169"/>
    <s v="CUST6992"/>
    <x v="9"/>
    <x v="7"/>
    <s v="2024-01-06"/>
    <n v="2024"/>
    <n v="1"/>
    <x v="16"/>
    <s v="14:38"/>
    <s v="Seafood"/>
    <n v="368.89"/>
    <x v="1"/>
    <x v="2"/>
    <n v="35"/>
    <n v="3"/>
  </r>
  <r>
    <s v="ORD11170"/>
    <s v="CUST6963"/>
    <x v="3"/>
    <x v="9"/>
    <s v="2024-01-06"/>
    <n v="2024"/>
    <n v="1"/>
    <x v="16"/>
    <s v="19:28"/>
    <s v="Healthy"/>
    <n v="131.38"/>
    <x v="2"/>
    <x v="2"/>
    <n v="43"/>
    <m/>
  </r>
  <r>
    <s v="ORD11171"/>
    <s v="CUST5601"/>
    <x v="7"/>
    <x v="6"/>
    <s v="2024-01-08"/>
    <n v="2024"/>
    <n v="1"/>
    <x v="5"/>
    <s v="18:18"/>
    <s v="Healthy"/>
    <n v="493.01"/>
    <x v="2"/>
    <x v="0"/>
    <n v="23"/>
    <m/>
  </r>
  <r>
    <s v="ORD11172"/>
    <s v="CUST4676"/>
    <x v="3"/>
    <x v="7"/>
    <s v="2024-01-31"/>
    <n v="2024"/>
    <n v="1"/>
    <x v="6"/>
    <s v="18:14"/>
    <s v="Sushi"/>
    <n v="426.34"/>
    <x v="1"/>
    <x v="1"/>
    <n v="71"/>
    <m/>
  </r>
  <r>
    <s v="ORD11173"/>
    <s v="CUST4166"/>
    <x v="2"/>
    <x v="2"/>
    <s v="2024-01-21"/>
    <n v="2024"/>
    <n v="1"/>
    <x v="1"/>
    <s v="20:15"/>
    <s v="Beverages"/>
    <n v="483.53"/>
    <x v="3"/>
    <x v="1"/>
    <n v="60"/>
    <n v="1"/>
  </r>
  <r>
    <s v="ORD11174"/>
    <s v="CUST3171"/>
    <x v="6"/>
    <x v="1"/>
    <s v="2024-01-09"/>
    <n v="2024"/>
    <n v="1"/>
    <x v="0"/>
    <s v="18:36"/>
    <s v="Fast Food"/>
    <n v="150.94"/>
    <x v="1"/>
    <x v="1"/>
    <n v="88"/>
    <m/>
  </r>
  <r>
    <s v="ORD11175"/>
    <s v="CUST8963"/>
    <x v="2"/>
    <x v="8"/>
    <s v="2024-01-16"/>
    <n v="2024"/>
    <n v="1"/>
    <x v="10"/>
    <s v="21:14"/>
    <s v="BBQ"/>
    <n v="101.8"/>
    <x v="0"/>
    <x v="1"/>
    <n v="74"/>
    <n v="1"/>
  </r>
  <r>
    <s v="ORD11176"/>
    <s v="CUST6609"/>
    <x v="9"/>
    <x v="9"/>
    <s v="2024-01-02"/>
    <n v="2024"/>
    <n v="1"/>
    <x v="26"/>
    <s v="10:33"/>
    <s v="Seafood"/>
    <n v="166.3"/>
    <x v="2"/>
    <x v="3"/>
    <n v="74"/>
    <m/>
  </r>
  <r>
    <s v="ORD11177"/>
    <s v="CUST2660"/>
    <x v="3"/>
    <x v="3"/>
    <s v="2024-01-02"/>
    <n v="2024"/>
    <n v="1"/>
    <x v="26"/>
    <s v="13:52"/>
    <s v="Pizza"/>
    <n v="254.57"/>
    <x v="2"/>
    <x v="1"/>
    <n v="71"/>
    <n v="3"/>
  </r>
  <r>
    <s v="ORD11178"/>
    <s v="CUST6669"/>
    <x v="9"/>
    <x v="5"/>
    <s v="2024-01-26"/>
    <n v="2024"/>
    <n v="1"/>
    <x v="12"/>
    <s v="17:54"/>
    <s v="Seafood"/>
    <n v="56.64"/>
    <x v="0"/>
    <x v="1"/>
    <n v="21"/>
    <n v="3"/>
  </r>
  <r>
    <s v="ORD11179"/>
    <s v="CUST5596"/>
    <x v="5"/>
    <x v="0"/>
    <s v="2024-01-29"/>
    <n v="2024"/>
    <n v="1"/>
    <x v="17"/>
    <s v="17:16"/>
    <s v="Pizza"/>
    <n v="117.75"/>
    <x v="2"/>
    <x v="2"/>
    <n v="73"/>
    <n v="5"/>
  </r>
  <r>
    <s v="ORD11180"/>
    <s v="CUST4183"/>
    <x v="6"/>
    <x v="0"/>
    <s v="2024-01-18"/>
    <n v="2024"/>
    <n v="1"/>
    <x v="9"/>
    <s v="17:26"/>
    <s v="Fast Food"/>
    <n v="271.47000000000003"/>
    <x v="3"/>
    <x v="1"/>
    <n v="55"/>
    <m/>
  </r>
  <r>
    <s v="ORD11181"/>
    <s v="CUST9926"/>
    <x v="1"/>
    <x v="4"/>
    <s v="2024-01-28"/>
    <n v="2024"/>
    <n v="1"/>
    <x v="21"/>
    <s v="15:32"/>
    <s v="Desserts"/>
    <n v="379.01"/>
    <x v="1"/>
    <x v="1"/>
    <n v="59"/>
    <n v="1"/>
  </r>
  <r>
    <s v="ORD11182"/>
    <s v="CUST8703"/>
    <x v="3"/>
    <x v="7"/>
    <s v="2024-01-23"/>
    <n v="2024"/>
    <n v="1"/>
    <x v="11"/>
    <s v="21:56"/>
    <s v="BBQ"/>
    <n v="332.51"/>
    <x v="0"/>
    <x v="2"/>
    <n v="75"/>
    <n v="1"/>
  </r>
  <r>
    <s v="ORD11183"/>
    <s v="CUST1260"/>
    <x v="9"/>
    <x v="9"/>
    <s v="2024-01-16"/>
    <n v="2024"/>
    <n v="1"/>
    <x v="10"/>
    <s v="12:35"/>
    <s v="Healthy"/>
    <n v="83.3"/>
    <x v="0"/>
    <x v="1"/>
    <n v="90"/>
    <n v="2"/>
  </r>
  <r>
    <s v="ORD11184"/>
    <s v="CUST9648"/>
    <x v="3"/>
    <x v="9"/>
    <s v="2024-01-17"/>
    <n v="2024"/>
    <n v="1"/>
    <x v="4"/>
    <s v="18:24"/>
    <s v="Desserts"/>
    <n v="322"/>
    <x v="2"/>
    <x v="1"/>
    <n v="56"/>
    <n v="4"/>
  </r>
  <r>
    <s v="ORD11185"/>
    <s v="CUST7013"/>
    <x v="5"/>
    <x v="7"/>
    <s v="2024-01-09"/>
    <n v="2024"/>
    <n v="1"/>
    <x v="0"/>
    <s v="12:29"/>
    <s v="Desserts"/>
    <n v="154.09"/>
    <x v="2"/>
    <x v="3"/>
    <n v="87"/>
    <n v="4"/>
  </r>
  <r>
    <s v="ORD11186"/>
    <s v="CUST3483"/>
    <x v="3"/>
    <x v="7"/>
    <s v="2024-01-22"/>
    <n v="2024"/>
    <n v="1"/>
    <x v="19"/>
    <s v="20:56"/>
    <s v="Seafood"/>
    <n v="260.79000000000002"/>
    <x v="3"/>
    <x v="1"/>
    <n v="86"/>
    <m/>
  </r>
  <r>
    <s v="ORD11187"/>
    <s v="CUST2137"/>
    <x v="6"/>
    <x v="0"/>
    <s v="2024-01-30"/>
    <n v="2024"/>
    <n v="1"/>
    <x v="30"/>
    <s v="20:46"/>
    <s v="Desserts"/>
    <n v="174.34"/>
    <x v="0"/>
    <x v="3"/>
    <n v="32"/>
    <n v="1"/>
  </r>
  <r>
    <s v="ORD11188"/>
    <s v="CUST6757"/>
    <x v="5"/>
    <x v="6"/>
    <s v="2024-01-28"/>
    <n v="2024"/>
    <n v="1"/>
    <x v="21"/>
    <s v="12:22"/>
    <s v="Beverages"/>
    <n v="364.03"/>
    <x v="1"/>
    <x v="0"/>
    <n v="25"/>
    <m/>
  </r>
  <r>
    <s v="ORD11189"/>
    <s v="CUST8435"/>
    <x v="3"/>
    <x v="6"/>
    <s v="2024-01-02"/>
    <n v="2024"/>
    <n v="1"/>
    <x v="26"/>
    <s v="17:14"/>
    <s v="Pizza"/>
    <n v="173.96"/>
    <x v="2"/>
    <x v="1"/>
    <n v="57"/>
    <m/>
  </r>
  <r>
    <s v="ORD11190"/>
    <s v="CUST8749"/>
    <x v="3"/>
    <x v="8"/>
    <s v="2024-01-29"/>
    <n v="2024"/>
    <n v="1"/>
    <x v="17"/>
    <s v="12:43"/>
    <s v="Seafood"/>
    <n v="126.61"/>
    <x v="3"/>
    <x v="3"/>
    <n v="70"/>
    <n v="4"/>
  </r>
  <r>
    <s v="ORD11191"/>
    <s v="CUST9834"/>
    <x v="5"/>
    <x v="1"/>
    <s v="2024-01-09"/>
    <n v="2024"/>
    <n v="1"/>
    <x v="0"/>
    <s v="17:47"/>
    <s v="Seafood"/>
    <n v="357.8"/>
    <x v="1"/>
    <x v="0"/>
    <n v="42"/>
    <n v="1"/>
  </r>
  <r>
    <s v="ORD11192"/>
    <s v="CUST2660"/>
    <x v="2"/>
    <x v="4"/>
    <s v="2024-01-20"/>
    <n v="2024"/>
    <n v="1"/>
    <x v="23"/>
    <s v="10:39"/>
    <s v="Sushi"/>
    <n v="248.38"/>
    <x v="2"/>
    <x v="3"/>
    <n v="75"/>
    <n v="1"/>
  </r>
  <r>
    <s v="ORD11193"/>
    <s v="CUST8271"/>
    <x v="2"/>
    <x v="4"/>
    <s v="2024-01-26"/>
    <n v="2024"/>
    <n v="1"/>
    <x v="12"/>
    <s v="21:59"/>
    <s v="BBQ"/>
    <n v="389.27"/>
    <x v="1"/>
    <x v="0"/>
    <n v="86"/>
    <n v="4"/>
  </r>
  <r>
    <s v="ORD11194"/>
    <s v="CUST4566"/>
    <x v="4"/>
    <x v="6"/>
    <s v="2024-01-18"/>
    <n v="2024"/>
    <n v="1"/>
    <x v="9"/>
    <s v="22:11"/>
    <s v="Sushi"/>
    <n v="179.34"/>
    <x v="2"/>
    <x v="1"/>
    <n v="52"/>
    <n v="2"/>
  </r>
  <r>
    <s v="ORD11195"/>
    <s v="CUST7021"/>
    <x v="9"/>
    <x v="7"/>
    <s v="2024-01-01"/>
    <n v="2024"/>
    <n v="1"/>
    <x v="25"/>
    <s v="12:35"/>
    <s v="Seafood"/>
    <n v="170.7"/>
    <x v="2"/>
    <x v="2"/>
    <n v="71"/>
    <n v="5"/>
  </r>
  <r>
    <s v="ORD11196"/>
    <s v="CUST8186"/>
    <x v="2"/>
    <x v="4"/>
    <s v="2024-01-17"/>
    <n v="2024"/>
    <n v="1"/>
    <x v="4"/>
    <s v="18:48"/>
    <s v="Beverages"/>
    <n v="268.23"/>
    <x v="1"/>
    <x v="0"/>
    <n v="18"/>
    <n v="4"/>
  </r>
  <r>
    <s v="ORD11197"/>
    <s v="CUST5896"/>
    <x v="7"/>
    <x v="2"/>
    <s v="2024-01-06"/>
    <n v="2024"/>
    <n v="1"/>
    <x v="16"/>
    <s v="11:12"/>
    <s v="Beverages"/>
    <n v="371.99"/>
    <x v="0"/>
    <x v="0"/>
    <n v="81"/>
    <n v="2"/>
  </r>
  <r>
    <s v="ORD11198"/>
    <s v="CUST2421"/>
    <x v="9"/>
    <x v="4"/>
    <s v="2024-01-14"/>
    <n v="2024"/>
    <n v="1"/>
    <x v="2"/>
    <s v="17:20"/>
    <s v="Healthy"/>
    <n v="169.32"/>
    <x v="0"/>
    <x v="2"/>
    <n v="80"/>
    <n v="3"/>
  </r>
  <r>
    <s v="ORD11199"/>
    <s v="CUST4609"/>
    <x v="7"/>
    <x v="9"/>
    <s v="2024-01-06"/>
    <n v="2024"/>
    <n v="1"/>
    <x v="16"/>
    <s v="10:56"/>
    <s v="Seafood"/>
    <n v="95.21"/>
    <x v="2"/>
    <x v="1"/>
    <n v="4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A2EB4F-F3BB-4527-AC18-F3325E365967}" name="Overview"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D6" firstHeaderRow="0" firstDataRow="1" firstDataCol="0"/>
  <pivotFields count="15">
    <pivotField dataField="1" showAll="0"/>
    <pivotField dataField="1" showAll="0"/>
    <pivotField showAll="0"/>
    <pivotField showAll="0">
      <items count="11">
        <item x="6"/>
        <item x="5"/>
        <item x="9"/>
        <item x="8"/>
        <item x="4"/>
        <item x="0"/>
        <item x="3"/>
        <item x="2"/>
        <item x="1"/>
        <item x="7"/>
        <item t="default"/>
      </items>
    </pivotField>
    <pivotField showAll="0"/>
    <pivotField showAll="0"/>
    <pivotField showAll="0"/>
    <pivotField showAll="0"/>
    <pivotField showAll="0"/>
    <pivotField showAll="0"/>
    <pivotField dataField="1" showAll="0"/>
    <pivotField showAll="0"/>
    <pivotField showAll="0"/>
    <pivotField showAll="0"/>
    <pivotField showAll="0"/>
  </pivotFields>
  <rowItems count="1">
    <i/>
  </rowItems>
  <colFields count="1">
    <field x="-2"/>
  </colFields>
  <colItems count="3">
    <i>
      <x/>
    </i>
    <i i="1">
      <x v="1"/>
    </i>
    <i i="2">
      <x v="2"/>
    </i>
  </colItems>
  <dataFields count="3">
    <dataField name="Count of Order ID" fld="0" subtotal="count" baseField="0" baseItem="0"/>
    <dataField name="Count of Customer ID" fld="1" subtotal="count" baseField="0" baseItem="0"/>
    <dataField name="Sum of Amount (EGP)"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D19930-71C0-4FA2-B337-0804BAB3E1C2}" name="Cites"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S5:T16" firstHeaderRow="1" firstDataRow="1" firstDataCol="1"/>
  <pivotFields count="15">
    <pivotField dataField="1" showAll="0"/>
    <pivotField showAll="0"/>
    <pivotField showAll="0"/>
    <pivotField axis="axisRow" showAll="0" sortType="descending">
      <items count="11">
        <item x="6"/>
        <item x="5"/>
        <item x="9"/>
        <item x="8"/>
        <item x="4"/>
        <item x="0"/>
        <item x="3"/>
        <item x="2"/>
        <item x="1"/>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v="9"/>
    </i>
    <i>
      <x/>
    </i>
    <i>
      <x v="6"/>
    </i>
    <i>
      <x v="1"/>
    </i>
    <i>
      <x v="4"/>
    </i>
    <i>
      <x v="8"/>
    </i>
    <i>
      <x v="2"/>
    </i>
    <i>
      <x v="7"/>
    </i>
    <i>
      <x v="5"/>
    </i>
    <i>
      <x v="3"/>
    </i>
    <i t="grand">
      <x/>
    </i>
  </rowItems>
  <colItems count="1">
    <i/>
  </colItems>
  <dataFields count="1">
    <dataField name="Count of Order ID" fld="0"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27EA39-160E-4BE1-8FCB-055450B289F8}" name="#sales over days"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V5:W37" firstHeaderRow="1" firstDataRow="1" firstDataCol="1"/>
  <pivotFields count="15">
    <pivotField showAll="0"/>
    <pivotField showAll="0"/>
    <pivotField showAll="0"/>
    <pivotField showAll="0">
      <items count="11">
        <item x="6"/>
        <item x="5"/>
        <item x="9"/>
        <item x="8"/>
        <item x="4"/>
        <item x="0"/>
        <item x="3"/>
        <item x="2"/>
        <item x="1"/>
        <item x="7"/>
        <item t="default"/>
      </items>
    </pivotField>
    <pivotField showAll="0"/>
    <pivotField showAll="0"/>
    <pivotField showAll="0"/>
    <pivotField axis="axisRow" showAll="0">
      <items count="32">
        <item x="25"/>
        <item x="26"/>
        <item x="27"/>
        <item x="22"/>
        <item x="20"/>
        <item x="16"/>
        <item x="18"/>
        <item x="5"/>
        <item x="0"/>
        <item x="24"/>
        <item x="3"/>
        <item x="29"/>
        <item x="28"/>
        <item x="2"/>
        <item x="13"/>
        <item x="10"/>
        <item x="4"/>
        <item x="9"/>
        <item x="15"/>
        <item x="23"/>
        <item x="1"/>
        <item x="19"/>
        <item x="11"/>
        <item x="14"/>
        <item x="8"/>
        <item x="12"/>
        <item x="7"/>
        <item x="21"/>
        <item x="17"/>
        <item x="30"/>
        <item x="6"/>
        <item t="default"/>
      </items>
    </pivotField>
    <pivotField showAll="0"/>
    <pivotField showAll="0"/>
    <pivotField dataField="1" showAll="0"/>
    <pivotField showAll="0"/>
    <pivotField showAll="0"/>
    <pivotField showAll="0"/>
    <pivotField showAll="0"/>
  </pivotFields>
  <rowFields count="1">
    <field x="7"/>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Amount (EGP)" fld="10"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F63779-9133-49A3-9016-321DD110C076}" name="Payment&amp;orders"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M5:Q11" firstHeaderRow="1" firstDataRow="2" firstDataCol="1"/>
  <pivotFields count="15">
    <pivotField dataField="1" showAll="0"/>
    <pivotField showAll="0"/>
    <pivotField showAll="0"/>
    <pivotField showAll="0">
      <items count="11">
        <item x="6"/>
        <item x="5"/>
        <item x="9"/>
        <item x="8"/>
        <item x="4"/>
        <item x="0"/>
        <item x="3"/>
        <item x="2"/>
        <item x="1"/>
        <item x="7"/>
        <item t="default"/>
      </items>
    </pivotField>
    <pivotField showAll="0"/>
    <pivotField showAll="0"/>
    <pivotField showAll="0"/>
    <pivotField showAll="0"/>
    <pivotField showAll="0"/>
    <pivotField showAll="0"/>
    <pivotField showAll="0"/>
    <pivotField axis="axisRow" showAll="0" sortType="descending">
      <items count="7">
        <item m="1" x="5"/>
        <item m="1" x="4"/>
        <item x="2"/>
        <item x="3"/>
        <item x="1"/>
        <item x="0"/>
        <item t="default"/>
      </items>
      <autoSortScope>
        <pivotArea dataOnly="0" outline="0" fieldPosition="0">
          <references count="1">
            <reference field="4294967294" count="1" selected="0">
              <x v="0"/>
            </reference>
          </references>
        </pivotArea>
      </autoSortScope>
    </pivotField>
    <pivotField axis="axisCol" showAll="0">
      <items count="5">
        <item x="2"/>
        <item h="1" x="0"/>
        <item x="1"/>
        <item x="3"/>
        <item t="default"/>
      </items>
    </pivotField>
    <pivotField showAll="0"/>
    <pivotField showAll="0"/>
  </pivotFields>
  <rowFields count="1">
    <field x="11"/>
  </rowFields>
  <rowItems count="5">
    <i>
      <x v="2"/>
    </i>
    <i>
      <x v="3"/>
    </i>
    <i>
      <x v="5"/>
    </i>
    <i>
      <x v="4"/>
    </i>
    <i t="grand">
      <x/>
    </i>
  </rowItems>
  <colFields count="1">
    <field x="12"/>
  </colFields>
  <colItems count="4">
    <i>
      <x/>
    </i>
    <i>
      <x v="2"/>
    </i>
    <i>
      <x v="3"/>
    </i>
    <i t="grand">
      <x/>
    </i>
  </colItems>
  <dataFields count="1">
    <dataField name="Count of Order ID" fld="0" subtotal="count" baseField="0" baseItem="0"/>
  </dataFields>
  <chartFormats count="4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2"/>
          </reference>
        </references>
      </pivotArea>
    </chartFormat>
    <chartFormat chart="0" format="2" series="1">
      <pivotArea type="data" outline="0" fieldPosition="0">
        <references count="2">
          <reference field="4294967294" count="1" selected="0">
            <x v="0"/>
          </reference>
          <reference field="12" count="1" selected="0">
            <x v="3"/>
          </reference>
        </references>
      </pivotArea>
    </chartFormat>
    <chartFormat chart="0" format="3">
      <pivotArea type="data" outline="0" fieldPosition="0">
        <references count="3">
          <reference field="4294967294" count="1" selected="0">
            <x v="0"/>
          </reference>
          <reference field="11" count="1" selected="0">
            <x v="2"/>
          </reference>
          <reference field="12" count="1" selected="0">
            <x v="0"/>
          </reference>
        </references>
      </pivotArea>
    </chartFormat>
    <chartFormat chart="0" format="4">
      <pivotArea type="data" outline="0" fieldPosition="0">
        <references count="3">
          <reference field="4294967294" count="1" selected="0">
            <x v="0"/>
          </reference>
          <reference field="11" count="1" selected="0">
            <x v="3"/>
          </reference>
          <reference field="12" count="1" selected="0">
            <x v="0"/>
          </reference>
        </references>
      </pivotArea>
    </chartFormat>
    <chartFormat chart="0" format="5">
      <pivotArea type="data" outline="0" fieldPosition="0">
        <references count="3">
          <reference field="4294967294" count="1" selected="0">
            <x v="0"/>
          </reference>
          <reference field="11" count="1" selected="0">
            <x v="5"/>
          </reference>
          <reference field="12" count="1" selected="0">
            <x v="0"/>
          </reference>
        </references>
      </pivotArea>
    </chartFormat>
    <chartFormat chart="0" format="6">
      <pivotArea type="data" outline="0" fieldPosition="0">
        <references count="3">
          <reference field="4294967294" count="1" selected="0">
            <x v="0"/>
          </reference>
          <reference field="11" count="1" selected="0">
            <x v="4"/>
          </reference>
          <reference field="12" count="1" selected="0">
            <x v="0"/>
          </reference>
        </references>
      </pivotArea>
    </chartFormat>
    <chartFormat chart="0" format="7">
      <pivotArea type="data" outline="0" fieldPosition="0">
        <references count="3">
          <reference field="4294967294" count="1" selected="0">
            <x v="0"/>
          </reference>
          <reference field="11" count="1" selected="0">
            <x v="2"/>
          </reference>
          <reference field="12" count="1" selected="0">
            <x v="2"/>
          </reference>
        </references>
      </pivotArea>
    </chartFormat>
    <chartFormat chart="0" format="8">
      <pivotArea type="data" outline="0" fieldPosition="0">
        <references count="3">
          <reference field="4294967294" count="1" selected="0">
            <x v="0"/>
          </reference>
          <reference field="11" count="1" selected="0">
            <x v="3"/>
          </reference>
          <reference field="12" count="1" selected="0">
            <x v="2"/>
          </reference>
        </references>
      </pivotArea>
    </chartFormat>
    <chartFormat chart="0" format="9">
      <pivotArea type="data" outline="0" fieldPosition="0">
        <references count="3">
          <reference field="4294967294" count="1" selected="0">
            <x v="0"/>
          </reference>
          <reference field="11" count="1" selected="0">
            <x v="5"/>
          </reference>
          <reference field="12" count="1" selected="0">
            <x v="2"/>
          </reference>
        </references>
      </pivotArea>
    </chartFormat>
    <chartFormat chart="0" format="10">
      <pivotArea type="data" outline="0" fieldPosition="0">
        <references count="3">
          <reference field="4294967294" count="1" selected="0">
            <x v="0"/>
          </reference>
          <reference field="11" count="1" selected="0">
            <x v="4"/>
          </reference>
          <reference field="12" count="1" selected="0">
            <x v="2"/>
          </reference>
        </references>
      </pivotArea>
    </chartFormat>
    <chartFormat chart="0" format="11">
      <pivotArea type="data" outline="0" fieldPosition="0">
        <references count="3">
          <reference field="4294967294" count="1" selected="0">
            <x v="0"/>
          </reference>
          <reference field="11" count="1" selected="0">
            <x v="2"/>
          </reference>
          <reference field="12" count="1" selected="0">
            <x v="3"/>
          </reference>
        </references>
      </pivotArea>
    </chartFormat>
    <chartFormat chart="0" format="12">
      <pivotArea type="data" outline="0" fieldPosition="0">
        <references count="3">
          <reference field="4294967294" count="1" selected="0">
            <x v="0"/>
          </reference>
          <reference field="11" count="1" selected="0">
            <x v="3"/>
          </reference>
          <reference field="12" count="1" selected="0">
            <x v="3"/>
          </reference>
        </references>
      </pivotArea>
    </chartFormat>
    <chartFormat chart="0" format="13">
      <pivotArea type="data" outline="0" fieldPosition="0">
        <references count="3">
          <reference field="4294967294" count="1" selected="0">
            <x v="0"/>
          </reference>
          <reference field="11" count="1" selected="0">
            <x v="5"/>
          </reference>
          <reference field="12" count="1" selected="0">
            <x v="3"/>
          </reference>
        </references>
      </pivotArea>
    </chartFormat>
    <chartFormat chart="0" format="14">
      <pivotArea type="data" outline="0" fieldPosition="0">
        <references count="3">
          <reference field="4294967294" count="1" selected="0">
            <x v="0"/>
          </reference>
          <reference field="11" count="1" selected="0">
            <x v="4"/>
          </reference>
          <reference field="12" count="1" selected="0">
            <x v="3"/>
          </reference>
        </references>
      </pivotArea>
    </chartFormat>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2"/>
          </reference>
        </references>
      </pivotArea>
    </chartFormat>
    <chartFormat chart="2" format="2" series="1">
      <pivotArea type="data" outline="0" fieldPosition="0">
        <references count="2">
          <reference field="4294967294" count="1" selected="0">
            <x v="0"/>
          </reference>
          <reference field="12" count="1" selected="0">
            <x v="3"/>
          </reference>
        </references>
      </pivotArea>
    </chartFormat>
    <chartFormat chart="5" format="18" series="1">
      <pivotArea type="data" outline="0" fieldPosition="0">
        <references count="2">
          <reference field="4294967294" count="1" selected="0">
            <x v="0"/>
          </reference>
          <reference field="12" count="1" selected="0">
            <x v="0"/>
          </reference>
        </references>
      </pivotArea>
    </chartFormat>
    <chartFormat chart="5" format="19">
      <pivotArea type="data" outline="0" fieldPosition="0">
        <references count="3">
          <reference field="4294967294" count="1" selected="0">
            <x v="0"/>
          </reference>
          <reference field="11" count="1" selected="0">
            <x v="2"/>
          </reference>
          <reference field="12" count="1" selected="0">
            <x v="0"/>
          </reference>
        </references>
      </pivotArea>
    </chartFormat>
    <chartFormat chart="5" format="20">
      <pivotArea type="data" outline="0" fieldPosition="0">
        <references count="3">
          <reference field="4294967294" count="1" selected="0">
            <x v="0"/>
          </reference>
          <reference field="11" count="1" selected="0">
            <x v="3"/>
          </reference>
          <reference field="12" count="1" selected="0">
            <x v="0"/>
          </reference>
        </references>
      </pivotArea>
    </chartFormat>
    <chartFormat chart="5" format="21">
      <pivotArea type="data" outline="0" fieldPosition="0">
        <references count="3">
          <reference field="4294967294" count="1" selected="0">
            <x v="0"/>
          </reference>
          <reference field="11" count="1" selected="0">
            <x v="5"/>
          </reference>
          <reference field="12" count="1" selected="0">
            <x v="0"/>
          </reference>
        </references>
      </pivotArea>
    </chartFormat>
    <chartFormat chart="5" format="22">
      <pivotArea type="data" outline="0" fieldPosition="0">
        <references count="3">
          <reference field="4294967294" count="1" selected="0">
            <x v="0"/>
          </reference>
          <reference field="11" count="1" selected="0">
            <x v="4"/>
          </reference>
          <reference field="12" count="1" selected="0">
            <x v="0"/>
          </reference>
        </references>
      </pivotArea>
    </chartFormat>
    <chartFormat chart="5" format="23" series="1">
      <pivotArea type="data" outline="0" fieldPosition="0">
        <references count="2">
          <reference field="4294967294" count="1" selected="0">
            <x v="0"/>
          </reference>
          <reference field="12" count="1" selected="0">
            <x v="2"/>
          </reference>
        </references>
      </pivotArea>
    </chartFormat>
    <chartFormat chart="5" format="24">
      <pivotArea type="data" outline="0" fieldPosition="0">
        <references count="3">
          <reference field="4294967294" count="1" selected="0">
            <x v="0"/>
          </reference>
          <reference field="11" count="1" selected="0">
            <x v="2"/>
          </reference>
          <reference field="12" count="1" selected="0">
            <x v="2"/>
          </reference>
        </references>
      </pivotArea>
    </chartFormat>
    <chartFormat chart="5" format="25">
      <pivotArea type="data" outline="0" fieldPosition="0">
        <references count="3">
          <reference field="4294967294" count="1" selected="0">
            <x v="0"/>
          </reference>
          <reference field="11" count="1" selected="0">
            <x v="3"/>
          </reference>
          <reference field="12" count="1" selected="0">
            <x v="2"/>
          </reference>
        </references>
      </pivotArea>
    </chartFormat>
    <chartFormat chart="5" format="26">
      <pivotArea type="data" outline="0" fieldPosition="0">
        <references count="3">
          <reference field="4294967294" count="1" selected="0">
            <x v="0"/>
          </reference>
          <reference field="11" count="1" selected="0">
            <x v="5"/>
          </reference>
          <reference field="12" count="1" selected="0">
            <x v="2"/>
          </reference>
        </references>
      </pivotArea>
    </chartFormat>
    <chartFormat chart="5" format="27">
      <pivotArea type="data" outline="0" fieldPosition="0">
        <references count="3">
          <reference field="4294967294" count="1" selected="0">
            <x v="0"/>
          </reference>
          <reference field="11" count="1" selected="0">
            <x v="4"/>
          </reference>
          <reference field="12" count="1" selected="0">
            <x v="2"/>
          </reference>
        </references>
      </pivotArea>
    </chartFormat>
    <chartFormat chart="5" format="28" series="1">
      <pivotArea type="data" outline="0" fieldPosition="0">
        <references count="2">
          <reference field="4294967294" count="1" selected="0">
            <x v="0"/>
          </reference>
          <reference field="12" count="1" selected="0">
            <x v="3"/>
          </reference>
        </references>
      </pivotArea>
    </chartFormat>
    <chartFormat chart="5" format="29">
      <pivotArea type="data" outline="0" fieldPosition="0">
        <references count="3">
          <reference field="4294967294" count="1" selected="0">
            <x v="0"/>
          </reference>
          <reference field="11" count="1" selected="0">
            <x v="2"/>
          </reference>
          <reference field="12" count="1" selected="0">
            <x v="3"/>
          </reference>
        </references>
      </pivotArea>
    </chartFormat>
    <chartFormat chart="5" format="30">
      <pivotArea type="data" outline="0" fieldPosition="0">
        <references count="3">
          <reference field="4294967294" count="1" selected="0">
            <x v="0"/>
          </reference>
          <reference field="11" count="1" selected="0">
            <x v="3"/>
          </reference>
          <reference field="12" count="1" selected="0">
            <x v="3"/>
          </reference>
        </references>
      </pivotArea>
    </chartFormat>
    <chartFormat chart="5" format="31">
      <pivotArea type="data" outline="0" fieldPosition="0">
        <references count="3">
          <reference field="4294967294" count="1" selected="0">
            <x v="0"/>
          </reference>
          <reference field="11" count="1" selected="0">
            <x v="5"/>
          </reference>
          <reference field="12" count="1" selected="0">
            <x v="3"/>
          </reference>
        </references>
      </pivotArea>
    </chartFormat>
    <chartFormat chart="5" format="32">
      <pivotArea type="data" outline="0" fieldPosition="0">
        <references count="3">
          <reference field="4294967294" count="1" selected="0">
            <x v="0"/>
          </reference>
          <reference field="11" count="1" selected="0">
            <x v="4"/>
          </reference>
          <reference field="12" count="1" selected="0">
            <x v="3"/>
          </reference>
        </references>
      </pivotArea>
    </chartFormat>
    <chartFormat chart="7" format="48" series="1">
      <pivotArea type="data" outline="0" fieldPosition="0">
        <references count="2">
          <reference field="4294967294" count="1" selected="0">
            <x v="0"/>
          </reference>
          <reference field="12" count="1" selected="0">
            <x v="0"/>
          </reference>
        </references>
      </pivotArea>
    </chartFormat>
    <chartFormat chart="7" format="49">
      <pivotArea type="data" outline="0" fieldPosition="0">
        <references count="3">
          <reference field="4294967294" count="1" selected="0">
            <x v="0"/>
          </reference>
          <reference field="11" count="1" selected="0">
            <x v="2"/>
          </reference>
          <reference field="12" count="1" selected="0">
            <x v="0"/>
          </reference>
        </references>
      </pivotArea>
    </chartFormat>
    <chartFormat chart="7" format="50">
      <pivotArea type="data" outline="0" fieldPosition="0">
        <references count="3">
          <reference field="4294967294" count="1" selected="0">
            <x v="0"/>
          </reference>
          <reference field="11" count="1" selected="0">
            <x v="3"/>
          </reference>
          <reference field="12" count="1" selected="0">
            <x v="0"/>
          </reference>
        </references>
      </pivotArea>
    </chartFormat>
    <chartFormat chart="7" format="51">
      <pivotArea type="data" outline="0" fieldPosition="0">
        <references count="3">
          <reference field="4294967294" count="1" selected="0">
            <x v="0"/>
          </reference>
          <reference field="11" count="1" selected="0">
            <x v="5"/>
          </reference>
          <reference field="12" count="1" selected="0">
            <x v="0"/>
          </reference>
        </references>
      </pivotArea>
    </chartFormat>
    <chartFormat chart="7" format="52">
      <pivotArea type="data" outline="0" fieldPosition="0">
        <references count="3">
          <reference field="4294967294" count="1" selected="0">
            <x v="0"/>
          </reference>
          <reference field="11" count="1" selected="0">
            <x v="4"/>
          </reference>
          <reference field="12" count="1" selected="0">
            <x v="0"/>
          </reference>
        </references>
      </pivotArea>
    </chartFormat>
    <chartFormat chart="7" format="53" series="1">
      <pivotArea type="data" outline="0" fieldPosition="0">
        <references count="2">
          <reference field="4294967294" count="1" selected="0">
            <x v="0"/>
          </reference>
          <reference field="12" count="1" selected="0">
            <x v="2"/>
          </reference>
        </references>
      </pivotArea>
    </chartFormat>
    <chartFormat chart="7" format="54">
      <pivotArea type="data" outline="0" fieldPosition="0">
        <references count="3">
          <reference field="4294967294" count="1" selected="0">
            <x v="0"/>
          </reference>
          <reference field="11" count="1" selected="0">
            <x v="2"/>
          </reference>
          <reference field="12" count="1" selected="0">
            <x v="2"/>
          </reference>
        </references>
      </pivotArea>
    </chartFormat>
    <chartFormat chart="7" format="55">
      <pivotArea type="data" outline="0" fieldPosition="0">
        <references count="3">
          <reference field="4294967294" count="1" selected="0">
            <x v="0"/>
          </reference>
          <reference field="11" count="1" selected="0">
            <x v="3"/>
          </reference>
          <reference field="12" count="1" selected="0">
            <x v="2"/>
          </reference>
        </references>
      </pivotArea>
    </chartFormat>
    <chartFormat chart="7" format="56">
      <pivotArea type="data" outline="0" fieldPosition="0">
        <references count="3">
          <reference field="4294967294" count="1" selected="0">
            <x v="0"/>
          </reference>
          <reference field="11" count="1" selected="0">
            <x v="5"/>
          </reference>
          <reference field="12" count="1" selected="0">
            <x v="2"/>
          </reference>
        </references>
      </pivotArea>
    </chartFormat>
    <chartFormat chart="7" format="57">
      <pivotArea type="data" outline="0" fieldPosition="0">
        <references count="3">
          <reference field="4294967294" count="1" selected="0">
            <x v="0"/>
          </reference>
          <reference field="11" count="1" selected="0">
            <x v="4"/>
          </reference>
          <reference field="12" count="1" selected="0">
            <x v="2"/>
          </reference>
        </references>
      </pivotArea>
    </chartFormat>
    <chartFormat chart="7" format="58" series="1">
      <pivotArea type="data" outline="0" fieldPosition="0">
        <references count="2">
          <reference field="4294967294" count="1" selected="0">
            <x v="0"/>
          </reference>
          <reference field="12" count="1" selected="0">
            <x v="3"/>
          </reference>
        </references>
      </pivotArea>
    </chartFormat>
    <chartFormat chart="7" format="59">
      <pivotArea type="data" outline="0" fieldPosition="0">
        <references count="3">
          <reference field="4294967294" count="1" selected="0">
            <x v="0"/>
          </reference>
          <reference field="11" count="1" selected="0">
            <x v="2"/>
          </reference>
          <reference field="12" count="1" selected="0">
            <x v="3"/>
          </reference>
        </references>
      </pivotArea>
    </chartFormat>
    <chartFormat chart="7" format="60">
      <pivotArea type="data" outline="0" fieldPosition="0">
        <references count="3">
          <reference field="4294967294" count="1" selected="0">
            <x v="0"/>
          </reference>
          <reference field="11" count="1" selected="0">
            <x v="3"/>
          </reference>
          <reference field="12" count="1" selected="0">
            <x v="3"/>
          </reference>
        </references>
      </pivotArea>
    </chartFormat>
    <chartFormat chart="7" format="61">
      <pivotArea type="data" outline="0" fieldPosition="0">
        <references count="3">
          <reference field="4294967294" count="1" selected="0">
            <x v="0"/>
          </reference>
          <reference field="11" count="1" selected="0">
            <x v="5"/>
          </reference>
          <reference field="12" count="1" selected="0">
            <x v="3"/>
          </reference>
        </references>
      </pivotArea>
    </chartFormat>
    <chartFormat chart="7" format="62">
      <pivotArea type="data" outline="0" fieldPosition="0">
        <references count="3">
          <reference field="4294967294" count="1" selected="0">
            <x v="0"/>
          </reference>
          <reference field="11" count="1" selected="0">
            <x v="4"/>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7DF535-FDB7-4B4E-A8D2-FCCE53BD0EA6}" name="worst_restaurant" cacheId="7"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G5:K17" firstHeaderRow="1" firstDataRow="2" firstDataCol="1"/>
  <pivotFields count="15">
    <pivotField dataField="1" showAll="0"/>
    <pivotField showAll="0"/>
    <pivotField axis="axisRow" showAll="0" sortType="descending">
      <items count="11">
        <item x="9"/>
        <item x="3"/>
        <item x="8"/>
        <item x="4"/>
        <item x="7"/>
        <item x="2"/>
        <item x="5"/>
        <item x="0"/>
        <item x="1"/>
        <item x="6"/>
        <item t="default"/>
      </items>
      <autoSortScope>
        <pivotArea dataOnly="0" outline="0" fieldPosition="0">
          <references count="1">
            <reference field="4294967294" count="1" selected="0">
              <x v="0"/>
            </reference>
          </references>
        </pivotArea>
      </autoSortScope>
    </pivotField>
    <pivotField showAll="0">
      <items count="11">
        <item x="6"/>
        <item x="5"/>
        <item x="9"/>
        <item x="8"/>
        <item x="4"/>
        <item x="0"/>
        <item x="3"/>
        <item x="2"/>
        <item x="1"/>
        <item x="7"/>
        <item t="default"/>
      </items>
    </pivotField>
    <pivotField showAll="0"/>
    <pivotField showAll="0"/>
    <pivotField showAll="0"/>
    <pivotField showAll="0"/>
    <pivotField showAll="0"/>
    <pivotField showAll="0"/>
    <pivotField showAll="0"/>
    <pivotField showAll="0"/>
    <pivotField axis="axisCol" showAll="0">
      <items count="5">
        <item x="2"/>
        <item h="1" x="0"/>
        <item x="1"/>
        <item x="3"/>
        <item t="default"/>
      </items>
    </pivotField>
    <pivotField showAll="0" sortType="ascending">
      <autoSortScope>
        <pivotArea dataOnly="0" outline="0" fieldPosition="0">
          <references count="2">
            <reference field="4294967294" count="1" selected="0">
              <x v="0"/>
            </reference>
            <reference field="12" count="1" selected="0">
              <x v="0"/>
            </reference>
          </references>
        </pivotArea>
      </autoSortScope>
    </pivotField>
    <pivotField showAll="0"/>
  </pivotFields>
  <rowFields count="1">
    <field x="2"/>
  </rowFields>
  <rowItems count="11">
    <i>
      <x v="1"/>
    </i>
    <i>
      <x v="4"/>
    </i>
    <i>
      <x v="8"/>
    </i>
    <i>
      <x v="9"/>
    </i>
    <i>
      <x v="5"/>
    </i>
    <i>
      <x v="3"/>
    </i>
    <i>
      <x/>
    </i>
    <i>
      <x v="6"/>
    </i>
    <i>
      <x v="7"/>
    </i>
    <i>
      <x v="2"/>
    </i>
    <i t="grand">
      <x/>
    </i>
  </rowItems>
  <colFields count="1">
    <field x="12"/>
  </colFields>
  <colItems count="4">
    <i>
      <x/>
    </i>
    <i>
      <x v="2"/>
    </i>
    <i>
      <x v="3"/>
    </i>
    <i t="grand">
      <x/>
    </i>
  </colItems>
  <dataFields count="1">
    <dataField name="Count of Order ID" fld="0" subtotal="count" showDataAs="percentOfTotal" baseField="0" baseItem="0" numFmtId="10"/>
  </dataFields>
  <conditionalFormats count="3">
    <conditionalFormat priority="3">
      <pivotAreas count="1">
        <pivotArea outline="0" fieldPosition="0">
          <references count="1">
            <reference field="12" count="1">
              <x v="0"/>
            </reference>
          </references>
        </pivotArea>
      </pivotAreas>
    </conditionalFormat>
    <conditionalFormat priority="2">
      <pivotAreas count="1">
        <pivotArea outline="0" fieldPosition="0">
          <references count="1">
            <reference field="12" count="1">
              <x v="2"/>
            </reference>
          </references>
        </pivotArea>
      </pivotAreas>
    </conditionalFormat>
    <conditionalFormat priority="1">
      <pivotAreas count="1">
        <pivotArea outline="0" fieldPosition="0">
          <references count="1">
            <reference field="12" count="1">
              <x v="3"/>
            </reference>
          </references>
        </pivotArea>
      </pivotAreas>
    </conditionalFormat>
  </conditionalFormats>
  <chartFormats count="6">
    <chartFormat chart="5" format="9" series="1">
      <pivotArea type="data" outline="0" fieldPosition="0">
        <references count="2">
          <reference field="4294967294" count="1" selected="0">
            <x v="0"/>
          </reference>
          <reference field="12" count="1" selected="0">
            <x v="0"/>
          </reference>
        </references>
      </pivotArea>
    </chartFormat>
    <chartFormat chart="5" format="10" series="1">
      <pivotArea type="data" outline="0" fieldPosition="0">
        <references count="2">
          <reference field="4294967294" count="1" selected="0">
            <x v="0"/>
          </reference>
          <reference field="12" count="1" selected="0">
            <x v="2"/>
          </reference>
        </references>
      </pivotArea>
    </chartFormat>
    <chartFormat chart="5" format="11" series="1">
      <pivotArea type="data" outline="0" fieldPosition="0">
        <references count="2">
          <reference field="4294967294" count="1" selected="0">
            <x v="0"/>
          </reference>
          <reference field="12" count="1" selected="0">
            <x v="3"/>
          </reference>
        </references>
      </pivotArea>
    </chartFormat>
    <chartFormat chart="8" format="15" series="1">
      <pivotArea type="data" outline="0" fieldPosition="0">
        <references count="2">
          <reference field="4294967294" count="1" selected="0">
            <x v="0"/>
          </reference>
          <reference field="12" count="1" selected="0">
            <x v="0"/>
          </reference>
        </references>
      </pivotArea>
    </chartFormat>
    <chartFormat chart="8" format="16" series="1">
      <pivotArea type="data" outline="0" fieldPosition="0">
        <references count="2">
          <reference field="4294967294" count="1" selected="0">
            <x v="0"/>
          </reference>
          <reference field="12" count="1" selected="0">
            <x v="2"/>
          </reference>
        </references>
      </pivotArea>
    </chartFormat>
    <chartFormat chart="8" format="17"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BBCF083-2842-437D-91AD-DDC1F9CE913D}" sourceName="City">
  <pivotTables>
    <pivotTable tabId="5" name="Cites"/>
    <pivotTable tabId="5" name="Overview"/>
    <pivotTable tabId="5" name="Payment&amp;orders"/>
    <pivotTable tabId="5" name="worst_restaurant"/>
    <pivotTable tabId="5" name="#sales over days"/>
  </pivotTables>
  <data>
    <tabular pivotCacheId="1564099244">
      <items count="10">
        <i x="6" s="1"/>
        <i x="5" s="1"/>
        <i x="9" s="1"/>
        <i x="8" s="1"/>
        <i x="4" s="1"/>
        <i x="0" s="1"/>
        <i x="3" s="1"/>
        <i x="2" s="1"/>
        <i x="1" s="1"/>
        <i x="7"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5EA0F2C-BEF3-4319-BA19-693A6148683A}" cache="Slicer_City" caption="C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46E3707F-B444-4F1D-9FDD-CD913ECA6DE3}" cache="Slicer_City" caption="City" columnCount="10" showCaption="0" style="SlicerStyleOther1 2" rowHeight="64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6094C-F30E-4CB8-84A0-F88C7E54CE83}">
  <dimension ref="A1:L1201"/>
  <sheetViews>
    <sheetView workbookViewId="0">
      <selection sqref="A1:XFD1048576"/>
    </sheetView>
  </sheetViews>
  <sheetFormatPr defaultRowHeight="14.25" x14ac:dyDescent="0.2"/>
  <cols>
    <col min="1" max="1" width="9.625" bestFit="1" customWidth="1"/>
    <col min="2" max="2" width="11.375" bestFit="1" customWidth="1"/>
    <col min="3" max="3" width="16.25" bestFit="1" customWidth="1"/>
    <col min="4" max="4" width="13.875" bestFit="1" customWidth="1"/>
    <col min="5" max="6" width="10.5" bestFit="1" customWidth="1"/>
    <col min="7" max="7" width="13.375" bestFit="1" customWidth="1"/>
    <col min="8" max="8" width="13.125" bestFit="1" customWidth="1"/>
    <col min="9" max="9" width="15.875" bestFit="1" customWidth="1"/>
    <col min="11" max="11" width="17.5" bestFit="1" customWidth="1"/>
    <col min="12" max="12" width="6.375" bestFit="1" customWidth="1"/>
  </cols>
  <sheetData>
    <row r="1" spans="1:12" ht="15"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t="s">
        <v>14</v>
      </c>
      <c r="D2" t="s">
        <v>15</v>
      </c>
      <c r="E2" t="s">
        <v>16</v>
      </c>
      <c r="F2" t="s">
        <v>17</v>
      </c>
      <c r="G2" t="s">
        <v>18</v>
      </c>
      <c r="H2">
        <v>201.83</v>
      </c>
      <c r="I2" t="s">
        <v>19</v>
      </c>
      <c r="J2" t="s">
        <v>20</v>
      </c>
      <c r="K2">
        <v>59</v>
      </c>
      <c r="L2">
        <v>5</v>
      </c>
    </row>
    <row r="3" spans="1:12" x14ac:dyDescent="0.2">
      <c r="A3" t="s">
        <v>21</v>
      </c>
      <c r="B3" t="s">
        <v>22</v>
      </c>
      <c r="C3" t="s">
        <v>23</v>
      </c>
      <c r="D3" t="s">
        <v>15</v>
      </c>
      <c r="E3" t="s">
        <v>24</v>
      </c>
      <c r="F3" t="s">
        <v>25</v>
      </c>
      <c r="G3" t="s">
        <v>18</v>
      </c>
      <c r="H3">
        <v>242.96</v>
      </c>
      <c r="I3" t="s">
        <v>19</v>
      </c>
      <c r="J3" t="s">
        <v>26</v>
      </c>
      <c r="K3">
        <v>78</v>
      </c>
      <c r="L3">
        <v>4</v>
      </c>
    </row>
    <row r="4" spans="1:12" x14ac:dyDescent="0.2">
      <c r="A4" t="s">
        <v>27</v>
      </c>
      <c r="B4" t="s">
        <v>28</v>
      </c>
      <c r="C4" t="s">
        <v>29</v>
      </c>
      <c r="D4" t="s">
        <v>30</v>
      </c>
      <c r="E4" t="s">
        <v>31</v>
      </c>
      <c r="F4" t="s">
        <v>32</v>
      </c>
      <c r="G4" t="s">
        <v>33</v>
      </c>
      <c r="H4">
        <v>74.3</v>
      </c>
      <c r="I4" t="s">
        <v>34</v>
      </c>
      <c r="J4" t="s">
        <v>20</v>
      </c>
      <c r="K4">
        <v>36</v>
      </c>
    </row>
    <row r="5" spans="1:12" x14ac:dyDescent="0.2">
      <c r="A5" t="s">
        <v>35</v>
      </c>
      <c r="B5" t="s">
        <v>36</v>
      </c>
      <c r="C5" t="s">
        <v>14</v>
      </c>
      <c r="D5" t="s">
        <v>37</v>
      </c>
      <c r="E5" t="s">
        <v>38</v>
      </c>
      <c r="F5" t="s">
        <v>39</v>
      </c>
      <c r="G5" t="s">
        <v>40</v>
      </c>
      <c r="H5">
        <v>483.22</v>
      </c>
      <c r="I5" t="s">
        <v>19</v>
      </c>
      <c r="J5" t="s">
        <v>41</v>
      </c>
      <c r="K5">
        <v>49</v>
      </c>
      <c r="L5">
        <v>4</v>
      </c>
    </row>
    <row r="6" spans="1:12" x14ac:dyDescent="0.2">
      <c r="A6" t="s">
        <v>42</v>
      </c>
      <c r="B6" t="s">
        <v>43</v>
      </c>
      <c r="C6" t="s">
        <v>44</v>
      </c>
      <c r="D6" t="s">
        <v>45</v>
      </c>
      <c r="E6" t="s">
        <v>46</v>
      </c>
      <c r="F6" t="s">
        <v>47</v>
      </c>
      <c r="G6" t="s">
        <v>48</v>
      </c>
      <c r="H6">
        <v>280.35000000000002</v>
      </c>
      <c r="I6" t="s">
        <v>49</v>
      </c>
      <c r="J6" t="s">
        <v>50</v>
      </c>
      <c r="K6">
        <v>33</v>
      </c>
      <c r="L6">
        <v>2</v>
      </c>
    </row>
    <row r="7" spans="1:12" x14ac:dyDescent="0.2">
      <c r="A7" t="s">
        <v>51</v>
      </c>
      <c r="B7" t="s">
        <v>52</v>
      </c>
      <c r="C7" t="s">
        <v>53</v>
      </c>
      <c r="D7" t="s">
        <v>54</v>
      </c>
      <c r="E7" t="s">
        <v>55</v>
      </c>
      <c r="F7" t="s">
        <v>56</v>
      </c>
      <c r="G7" t="s">
        <v>57</v>
      </c>
      <c r="H7">
        <v>126.35</v>
      </c>
      <c r="I7" t="s">
        <v>19</v>
      </c>
      <c r="J7" t="s">
        <v>20</v>
      </c>
      <c r="K7">
        <v>25</v>
      </c>
      <c r="L7">
        <v>5</v>
      </c>
    </row>
    <row r="8" spans="1:12" x14ac:dyDescent="0.2">
      <c r="A8" t="s">
        <v>58</v>
      </c>
      <c r="B8" t="s">
        <v>59</v>
      </c>
      <c r="C8" t="s">
        <v>60</v>
      </c>
      <c r="D8" t="s">
        <v>61</v>
      </c>
      <c r="E8" t="s">
        <v>62</v>
      </c>
      <c r="F8" t="s">
        <v>63</v>
      </c>
      <c r="G8" t="s">
        <v>64</v>
      </c>
      <c r="H8">
        <v>55.44</v>
      </c>
      <c r="I8" t="s">
        <v>65</v>
      </c>
      <c r="J8" t="s">
        <v>20</v>
      </c>
      <c r="K8">
        <v>20</v>
      </c>
      <c r="L8">
        <v>3</v>
      </c>
    </row>
    <row r="9" spans="1:12" x14ac:dyDescent="0.2">
      <c r="A9" t="s">
        <v>66</v>
      </c>
      <c r="B9" t="s">
        <v>67</v>
      </c>
      <c r="C9" t="s">
        <v>68</v>
      </c>
      <c r="D9" t="s">
        <v>15</v>
      </c>
      <c r="E9" t="s">
        <v>69</v>
      </c>
      <c r="F9" t="s">
        <v>70</v>
      </c>
      <c r="G9" t="s">
        <v>57</v>
      </c>
      <c r="H9">
        <v>68.83</v>
      </c>
      <c r="I9" t="s">
        <v>65</v>
      </c>
      <c r="J9" t="s">
        <v>41</v>
      </c>
      <c r="K9">
        <v>48</v>
      </c>
      <c r="L9">
        <v>3</v>
      </c>
    </row>
    <row r="10" spans="1:12" x14ac:dyDescent="0.2">
      <c r="A10" t="s">
        <v>71</v>
      </c>
      <c r="B10" t="s">
        <v>72</v>
      </c>
      <c r="C10" t="s">
        <v>73</v>
      </c>
      <c r="D10" t="s">
        <v>74</v>
      </c>
      <c r="E10" t="s">
        <v>75</v>
      </c>
      <c r="F10" t="s">
        <v>76</v>
      </c>
      <c r="G10" t="s">
        <v>77</v>
      </c>
      <c r="H10">
        <v>356.45</v>
      </c>
      <c r="I10" t="s">
        <v>49</v>
      </c>
      <c r="J10" t="s">
        <v>50</v>
      </c>
      <c r="K10">
        <v>35</v>
      </c>
      <c r="L10">
        <v>1</v>
      </c>
    </row>
    <row r="11" spans="1:12" x14ac:dyDescent="0.2">
      <c r="A11" t="s">
        <v>78</v>
      </c>
      <c r="B11" t="s">
        <v>79</v>
      </c>
      <c r="C11" t="s">
        <v>23</v>
      </c>
      <c r="D11" t="s">
        <v>80</v>
      </c>
      <c r="E11" t="s">
        <v>81</v>
      </c>
      <c r="F11" t="s">
        <v>82</v>
      </c>
      <c r="G11" t="s">
        <v>77</v>
      </c>
      <c r="H11">
        <v>198.88</v>
      </c>
      <c r="I11" t="s">
        <v>65</v>
      </c>
      <c r="J11" t="s">
        <v>41</v>
      </c>
      <c r="K11">
        <v>30</v>
      </c>
      <c r="L11">
        <v>2</v>
      </c>
    </row>
    <row r="12" spans="1:12" x14ac:dyDescent="0.2">
      <c r="A12" t="s">
        <v>83</v>
      </c>
      <c r="B12" t="s">
        <v>84</v>
      </c>
      <c r="C12" t="s">
        <v>23</v>
      </c>
      <c r="D12" t="s">
        <v>80</v>
      </c>
      <c r="E12" t="s">
        <v>85</v>
      </c>
      <c r="F12" t="s">
        <v>86</v>
      </c>
      <c r="G12" t="s">
        <v>57</v>
      </c>
      <c r="H12">
        <v>138.22999999999999</v>
      </c>
      <c r="I12" t="s">
        <v>49</v>
      </c>
      <c r="J12" t="s">
        <v>26</v>
      </c>
      <c r="K12">
        <v>77</v>
      </c>
      <c r="L12">
        <v>3</v>
      </c>
    </row>
    <row r="13" spans="1:12" x14ac:dyDescent="0.2">
      <c r="A13" t="s">
        <v>87</v>
      </c>
      <c r="B13" t="s">
        <v>88</v>
      </c>
      <c r="C13" t="s">
        <v>68</v>
      </c>
      <c r="D13" t="s">
        <v>89</v>
      </c>
      <c r="E13" t="s">
        <v>38</v>
      </c>
      <c r="F13" t="s">
        <v>90</v>
      </c>
      <c r="G13" t="s">
        <v>91</v>
      </c>
      <c r="H13">
        <v>183</v>
      </c>
      <c r="I13" t="s">
        <v>49</v>
      </c>
      <c r="J13" t="s">
        <v>50</v>
      </c>
      <c r="K13">
        <v>46</v>
      </c>
      <c r="L13">
        <v>2</v>
      </c>
    </row>
    <row r="14" spans="1:12" x14ac:dyDescent="0.2">
      <c r="A14" t="s">
        <v>92</v>
      </c>
      <c r="B14" t="s">
        <v>93</v>
      </c>
      <c r="C14" t="s">
        <v>23</v>
      </c>
      <c r="D14" t="s">
        <v>74</v>
      </c>
      <c r="E14" t="s">
        <v>46</v>
      </c>
      <c r="F14" t="s">
        <v>94</v>
      </c>
      <c r="G14" t="s">
        <v>33</v>
      </c>
      <c r="H14">
        <v>350.51</v>
      </c>
      <c r="I14" t="s">
        <v>49</v>
      </c>
      <c r="J14" t="s">
        <v>26</v>
      </c>
      <c r="K14">
        <v>59</v>
      </c>
      <c r="L14">
        <v>4</v>
      </c>
    </row>
    <row r="15" spans="1:12" x14ac:dyDescent="0.2">
      <c r="A15" t="s">
        <v>95</v>
      </c>
      <c r="B15" t="s">
        <v>96</v>
      </c>
      <c r="C15" t="s">
        <v>23</v>
      </c>
      <c r="D15" t="s">
        <v>80</v>
      </c>
      <c r="E15" t="s">
        <v>97</v>
      </c>
      <c r="F15" t="s">
        <v>98</v>
      </c>
      <c r="G15" t="s">
        <v>91</v>
      </c>
      <c r="H15">
        <v>122.67</v>
      </c>
      <c r="I15" t="s">
        <v>99</v>
      </c>
      <c r="J15" t="s">
        <v>50</v>
      </c>
      <c r="K15">
        <v>62</v>
      </c>
      <c r="L15">
        <v>5</v>
      </c>
    </row>
    <row r="16" spans="1:12" x14ac:dyDescent="0.2">
      <c r="A16" t="s">
        <v>100</v>
      </c>
      <c r="B16" t="s">
        <v>101</v>
      </c>
      <c r="C16" t="s">
        <v>53</v>
      </c>
      <c r="D16" t="s">
        <v>61</v>
      </c>
      <c r="E16" t="s">
        <v>102</v>
      </c>
      <c r="F16" t="s">
        <v>103</v>
      </c>
      <c r="G16" t="s">
        <v>33</v>
      </c>
      <c r="H16">
        <v>214.35</v>
      </c>
      <c r="I16" t="s">
        <v>19</v>
      </c>
      <c r="J16" t="s">
        <v>41</v>
      </c>
      <c r="K16">
        <v>72</v>
      </c>
      <c r="L16">
        <v>1</v>
      </c>
    </row>
    <row r="17" spans="1:12" x14ac:dyDescent="0.2">
      <c r="A17" t="s">
        <v>104</v>
      </c>
      <c r="B17" t="s">
        <v>105</v>
      </c>
      <c r="C17" t="s">
        <v>106</v>
      </c>
      <c r="D17" t="s">
        <v>74</v>
      </c>
      <c r="E17" t="s">
        <v>24</v>
      </c>
      <c r="F17" t="s">
        <v>107</v>
      </c>
      <c r="G17" t="s">
        <v>77</v>
      </c>
      <c r="H17">
        <v>229.92</v>
      </c>
      <c r="I17" t="s">
        <v>49</v>
      </c>
      <c r="J17" t="s">
        <v>41</v>
      </c>
      <c r="K17">
        <v>75</v>
      </c>
      <c r="L17">
        <v>5</v>
      </c>
    </row>
    <row r="18" spans="1:12" x14ac:dyDescent="0.2">
      <c r="A18" t="s">
        <v>108</v>
      </c>
      <c r="B18" t="s">
        <v>109</v>
      </c>
      <c r="C18" t="s">
        <v>73</v>
      </c>
      <c r="D18" t="s">
        <v>37</v>
      </c>
      <c r="E18" t="s">
        <v>75</v>
      </c>
      <c r="F18" t="s">
        <v>110</v>
      </c>
      <c r="G18" t="s">
        <v>57</v>
      </c>
      <c r="H18">
        <v>292.75</v>
      </c>
      <c r="I18" t="s">
        <v>19</v>
      </c>
      <c r="J18" t="s">
        <v>50</v>
      </c>
      <c r="K18">
        <v>63</v>
      </c>
      <c r="L18">
        <v>3</v>
      </c>
    </row>
    <row r="19" spans="1:12" x14ac:dyDescent="0.2">
      <c r="A19" t="s">
        <v>111</v>
      </c>
      <c r="B19" t="s">
        <v>112</v>
      </c>
      <c r="C19" t="s">
        <v>53</v>
      </c>
      <c r="D19" t="s">
        <v>61</v>
      </c>
      <c r="E19" t="s">
        <v>113</v>
      </c>
      <c r="F19" t="s">
        <v>114</v>
      </c>
      <c r="G19" t="s">
        <v>48</v>
      </c>
      <c r="H19">
        <v>294.77</v>
      </c>
      <c r="I19" t="s">
        <v>65</v>
      </c>
      <c r="J19" t="s">
        <v>50</v>
      </c>
      <c r="K19">
        <v>23</v>
      </c>
      <c r="L19">
        <v>4</v>
      </c>
    </row>
    <row r="20" spans="1:12" x14ac:dyDescent="0.2">
      <c r="A20" t="s">
        <v>115</v>
      </c>
      <c r="B20" t="s">
        <v>116</v>
      </c>
      <c r="C20" t="s">
        <v>117</v>
      </c>
      <c r="D20" t="s">
        <v>89</v>
      </c>
      <c r="E20" t="s">
        <v>118</v>
      </c>
      <c r="F20" t="s">
        <v>119</v>
      </c>
      <c r="G20" t="s">
        <v>48</v>
      </c>
      <c r="H20">
        <v>231.59</v>
      </c>
      <c r="I20" t="s">
        <v>19</v>
      </c>
      <c r="J20" t="s">
        <v>41</v>
      </c>
      <c r="K20">
        <v>38</v>
      </c>
      <c r="L20">
        <v>5</v>
      </c>
    </row>
    <row r="21" spans="1:12" x14ac:dyDescent="0.2">
      <c r="A21" t="s">
        <v>120</v>
      </c>
      <c r="B21" t="s">
        <v>121</v>
      </c>
      <c r="C21" t="s">
        <v>14</v>
      </c>
      <c r="D21" t="s">
        <v>89</v>
      </c>
      <c r="E21" t="s">
        <v>55</v>
      </c>
      <c r="F21" t="s">
        <v>76</v>
      </c>
      <c r="G21" t="s">
        <v>40</v>
      </c>
      <c r="H21">
        <v>478.69</v>
      </c>
      <c r="I21" t="s">
        <v>122</v>
      </c>
      <c r="J21" t="s">
        <v>41</v>
      </c>
      <c r="K21">
        <v>20</v>
      </c>
    </row>
    <row r="22" spans="1:12" x14ac:dyDescent="0.2">
      <c r="A22" t="s">
        <v>123</v>
      </c>
      <c r="B22" t="s">
        <v>124</v>
      </c>
      <c r="C22" t="s">
        <v>73</v>
      </c>
      <c r="D22" t="s">
        <v>125</v>
      </c>
      <c r="E22" t="s">
        <v>62</v>
      </c>
      <c r="F22" t="s">
        <v>126</v>
      </c>
      <c r="G22" t="s">
        <v>57</v>
      </c>
      <c r="H22">
        <v>307.2</v>
      </c>
      <c r="I22" t="s">
        <v>49</v>
      </c>
      <c r="J22" t="s">
        <v>26</v>
      </c>
      <c r="K22">
        <v>46</v>
      </c>
      <c r="L22">
        <v>2</v>
      </c>
    </row>
    <row r="23" spans="1:12" x14ac:dyDescent="0.2">
      <c r="A23" t="s">
        <v>127</v>
      </c>
      <c r="B23" t="s">
        <v>128</v>
      </c>
      <c r="C23" t="s">
        <v>68</v>
      </c>
      <c r="D23" t="s">
        <v>45</v>
      </c>
      <c r="E23" t="s">
        <v>129</v>
      </c>
      <c r="F23" t="s">
        <v>17</v>
      </c>
      <c r="G23" t="s">
        <v>77</v>
      </c>
      <c r="H23">
        <v>464.87</v>
      </c>
      <c r="I23" t="s">
        <v>19</v>
      </c>
      <c r="J23" t="s">
        <v>41</v>
      </c>
      <c r="K23">
        <v>59</v>
      </c>
      <c r="L23">
        <v>5</v>
      </c>
    </row>
    <row r="24" spans="1:12" x14ac:dyDescent="0.2">
      <c r="A24" t="s">
        <v>130</v>
      </c>
      <c r="B24" t="s">
        <v>131</v>
      </c>
      <c r="C24" t="s">
        <v>29</v>
      </c>
      <c r="D24" t="s">
        <v>45</v>
      </c>
      <c r="E24" t="s">
        <v>132</v>
      </c>
      <c r="F24" t="s">
        <v>133</v>
      </c>
      <c r="G24" t="s">
        <v>18</v>
      </c>
      <c r="H24">
        <v>249.69</v>
      </c>
      <c r="I24" t="s">
        <v>49</v>
      </c>
      <c r="J24" t="s">
        <v>26</v>
      </c>
      <c r="K24">
        <v>74</v>
      </c>
      <c r="L24">
        <v>4</v>
      </c>
    </row>
    <row r="25" spans="1:12" x14ac:dyDescent="0.2">
      <c r="A25" t="s">
        <v>134</v>
      </c>
      <c r="B25" t="s">
        <v>135</v>
      </c>
      <c r="C25" t="s">
        <v>44</v>
      </c>
      <c r="D25" t="s">
        <v>89</v>
      </c>
      <c r="E25" t="s">
        <v>16</v>
      </c>
      <c r="F25" t="s">
        <v>136</v>
      </c>
      <c r="G25" t="s">
        <v>18</v>
      </c>
      <c r="H25">
        <v>84.96</v>
      </c>
      <c r="I25" t="s">
        <v>19</v>
      </c>
      <c r="J25" t="s">
        <v>20</v>
      </c>
      <c r="K25">
        <v>22</v>
      </c>
    </row>
    <row r="26" spans="1:12" x14ac:dyDescent="0.2">
      <c r="A26" t="s">
        <v>137</v>
      </c>
      <c r="B26" t="s">
        <v>138</v>
      </c>
      <c r="C26" t="s">
        <v>106</v>
      </c>
      <c r="D26" t="s">
        <v>139</v>
      </c>
      <c r="E26" t="s">
        <v>140</v>
      </c>
      <c r="F26" t="s">
        <v>141</v>
      </c>
      <c r="G26" t="s">
        <v>64</v>
      </c>
      <c r="H26">
        <v>267.86</v>
      </c>
      <c r="I26" t="s">
        <v>19</v>
      </c>
      <c r="J26" t="s">
        <v>26</v>
      </c>
      <c r="K26">
        <v>61</v>
      </c>
      <c r="L26">
        <v>2</v>
      </c>
    </row>
    <row r="27" spans="1:12" x14ac:dyDescent="0.2">
      <c r="A27" t="s">
        <v>142</v>
      </c>
      <c r="B27" t="s">
        <v>143</v>
      </c>
      <c r="C27" t="s">
        <v>73</v>
      </c>
      <c r="D27" t="s">
        <v>89</v>
      </c>
      <c r="E27" t="s">
        <v>144</v>
      </c>
      <c r="F27" t="s">
        <v>145</v>
      </c>
      <c r="G27" t="s">
        <v>64</v>
      </c>
      <c r="H27">
        <v>258.16000000000003</v>
      </c>
      <c r="I27" t="s">
        <v>19</v>
      </c>
      <c r="J27" t="s">
        <v>26</v>
      </c>
      <c r="K27">
        <v>72</v>
      </c>
    </row>
    <row r="28" spans="1:12" x14ac:dyDescent="0.2">
      <c r="A28" t="s">
        <v>146</v>
      </c>
      <c r="B28" t="s">
        <v>147</v>
      </c>
      <c r="C28" t="s">
        <v>23</v>
      </c>
      <c r="D28" t="s">
        <v>37</v>
      </c>
      <c r="E28" t="s">
        <v>129</v>
      </c>
      <c r="F28" t="s">
        <v>148</v>
      </c>
      <c r="G28" t="s">
        <v>33</v>
      </c>
      <c r="H28">
        <v>147.65</v>
      </c>
      <c r="I28" t="s">
        <v>122</v>
      </c>
      <c r="J28" t="s">
        <v>50</v>
      </c>
      <c r="K28">
        <v>24</v>
      </c>
      <c r="L28">
        <v>1</v>
      </c>
    </row>
    <row r="29" spans="1:12" x14ac:dyDescent="0.2">
      <c r="A29" t="s">
        <v>149</v>
      </c>
      <c r="B29" t="s">
        <v>150</v>
      </c>
      <c r="C29" t="s">
        <v>14</v>
      </c>
      <c r="D29" t="s">
        <v>74</v>
      </c>
      <c r="E29" t="s">
        <v>118</v>
      </c>
      <c r="F29" t="s">
        <v>151</v>
      </c>
      <c r="G29" t="s">
        <v>48</v>
      </c>
      <c r="H29">
        <v>498</v>
      </c>
      <c r="I29" t="s">
        <v>122</v>
      </c>
      <c r="J29" t="s">
        <v>26</v>
      </c>
      <c r="K29">
        <v>85</v>
      </c>
    </row>
    <row r="30" spans="1:12" x14ac:dyDescent="0.2">
      <c r="A30" t="s">
        <v>152</v>
      </c>
      <c r="B30" t="s">
        <v>153</v>
      </c>
      <c r="C30" t="s">
        <v>73</v>
      </c>
      <c r="D30" t="s">
        <v>15</v>
      </c>
      <c r="E30" t="s">
        <v>154</v>
      </c>
      <c r="F30" t="s">
        <v>155</v>
      </c>
      <c r="G30" t="s">
        <v>91</v>
      </c>
      <c r="H30">
        <v>398.32</v>
      </c>
      <c r="I30" t="s">
        <v>65</v>
      </c>
      <c r="J30" t="s">
        <v>26</v>
      </c>
      <c r="K30">
        <v>20</v>
      </c>
      <c r="L30">
        <v>4</v>
      </c>
    </row>
    <row r="31" spans="1:12" x14ac:dyDescent="0.2">
      <c r="A31" t="s">
        <v>156</v>
      </c>
      <c r="B31" t="s">
        <v>157</v>
      </c>
      <c r="C31" t="s">
        <v>44</v>
      </c>
      <c r="D31" t="s">
        <v>125</v>
      </c>
      <c r="E31" t="s">
        <v>118</v>
      </c>
      <c r="F31" t="s">
        <v>158</v>
      </c>
      <c r="G31" t="s">
        <v>64</v>
      </c>
      <c r="H31">
        <v>109.45</v>
      </c>
      <c r="I31" t="s">
        <v>65</v>
      </c>
      <c r="J31" t="s">
        <v>20</v>
      </c>
      <c r="K31">
        <v>90</v>
      </c>
      <c r="L31">
        <v>5</v>
      </c>
    </row>
    <row r="32" spans="1:12" x14ac:dyDescent="0.2">
      <c r="A32" t="s">
        <v>159</v>
      </c>
      <c r="B32" t="s">
        <v>160</v>
      </c>
      <c r="C32" t="s">
        <v>23</v>
      </c>
      <c r="D32" t="s">
        <v>89</v>
      </c>
      <c r="E32" t="s">
        <v>161</v>
      </c>
      <c r="F32" t="s">
        <v>162</v>
      </c>
      <c r="G32" t="s">
        <v>91</v>
      </c>
      <c r="H32">
        <v>449.27</v>
      </c>
      <c r="I32" t="s">
        <v>19</v>
      </c>
      <c r="J32" t="s">
        <v>50</v>
      </c>
      <c r="K32">
        <v>59</v>
      </c>
      <c r="L32">
        <v>10</v>
      </c>
    </row>
    <row r="33" spans="1:12" x14ac:dyDescent="0.2">
      <c r="A33" t="s">
        <v>163</v>
      </c>
      <c r="B33" t="s">
        <v>164</v>
      </c>
      <c r="C33" t="s">
        <v>23</v>
      </c>
      <c r="D33" t="s">
        <v>45</v>
      </c>
      <c r="E33" t="s">
        <v>102</v>
      </c>
      <c r="F33" t="s">
        <v>165</v>
      </c>
      <c r="G33" t="s">
        <v>57</v>
      </c>
      <c r="H33">
        <v>339.7</v>
      </c>
      <c r="I33" t="s">
        <v>65</v>
      </c>
      <c r="J33" t="s">
        <v>41</v>
      </c>
      <c r="K33">
        <v>44</v>
      </c>
      <c r="L33">
        <v>3</v>
      </c>
    </row>
    <row r="34" spans="1:12" x14ac:dyDescent="0.2">
      <c r="A34" t="s">
        <v>166</v>
      </c>
      <c r="B34" t="s">
        <v>167</v>
      </c>
      <c r="C34" t="s">
        <v>68</v>
      </c>
      <c r="D34" t="s">
        <v>54</v>
      </c>
      <c r="E34" t="s">
        <v>46</v>
      </c>
      <c r="F34" t="s">
        <v>168</v>
      </c>
      <c r="G34" t="s">
        <v>91</v>
      </c>
      <c r="H34">
        <v>141.54</v>
      </c>
      <c r="I34" t="s">
        <v>49</v>
      </c>
      <c r="J34" t="s">
        <v>20</v>
      </c>
      <c r="K34">
        <v>2800</v>
      </c>
    </row>
    <row r="35" spans="1:12" x14ac:dyDescent="0.2">
      <c r="A35" t="s">
        <v>169</v>
      </c>
      <c r="B35" t="s">
        <v>170</v>
      </c>
      <c r="C35" t="s">
        <v>14</v>
      </c>
      <c r="D35" t="s">
        <v>139</v>
      </c>
      <c r="E35" t="s">
        <v>102</v>
      </c>
      <c r="F35" t="s">
        <v>171</v>
      </c>
      <c r="G35" t="s">
        <v>40</v>
      </c>
      <c r="H35">
        <v>387</v>
      </c>
      <c r="I35" t="s">
        <v>122</v>
      </c>
      <c r="J35" t="s">
        <v>50</v>
      </c>
      <c r="K35">
        <v>90</v>
      </c>
      <c r="L35">
        <v>3</v>
      </c>
    </row>
    <row r="36" spans="1:12" x14ac:dyDescent="0.2">
      <c r="A36" t="s">
        <v>172</v>
      </c>
      <c r="B36" t="s">
        <v>173</v>
      </c>
      <c r="C36" t="s">
        <v>29</v>
      </c>
      <c r="D36" t="s">
        <v>45</v>
      </c>
      <c r="E36" t="s">
        <v>69</v>
      </c>
      <c r="F36" t="s">
        <v>174</v>
      </c>
      <c r="G36" t="s">
        <v>64</v>
      </c>
      <c r="H36">
        <v>184</v>
      </c>
      <c r="I36" t="s">
        <v>19</v>
      </c>
      <c r="J36" t="s">
        <v>41</v>
      </c>
      <c r="K36">
        <v>87</v>
      </c>
      <c r="L36">
        <v>2</v>
      </c>
    </row>
    <row r="37" spans="1:12" x14ac:dyDescent="0.2">
      <c r="A37" t="s">
        <v>175</v>
      </c>
      <c r="B37" t="s">
        <v>176</v>
      </c>
      <c r="C37" t="s">
        <v>117</v>
      </c>
      <c r="D37" t="s">
        <v>74</v>
      </c>
      <c r="E37" t="s">
        <v>55</v>
      </c>
      <c r="F37" t="s">
        <v>177</v>
      </c>
      <c r="G37" t="s">
        <v>77</v>
      </c>
      <c r="H37">
        <v>200.97</v>
      </c>
      <c r="I37" t="s">
        <v>65</v>
      </c>
      <c r="J37" t="s">
        <v>26</v>
      </c>
      <c r="K37">
        <v>34</v>
      </c>
    </row>
    <row r="38" spans="1:12" x14ac:dyDescent="0.2">
      <c r="A38" t="s">
        <v>178</v>
      </c>
      <c r="B38" t="s">
        <v>179</v>
      </c>
      <c r="C38" t="s">
        <v>60</v>
      </c>
      <c r="D38" t="s">
        <v>89</v>
      </c>
      <c r="E38" t="s">
        <v>180</v>
      </c>
      <c r="F38" t="s">
        <v>181</v>
      </c>
      <c r="G38" t="s">
        <v>18</v>
      </c>
      <c r="H38">
        <v>196.88</v>
      </c>
      <c r="I38" t="s">
        <v>122</v>
      </c>
      <c r="J38" t="s">
        <v>50</v>
      </c>
      <c r="K38">
        <v>86</v>
      </c>
      <c r="L38">
        <v>2</v>
      </c>
    </row>
    <row r="39" spans="1:12" x14ac:dyDescent="0.2">
      <c r="A39" t="s">
        <v>182</v>
      </c>
      <c r="B39" t="s">
        <v>183</v>
      </c>
      <c r="C39" t="s">
        <v>68</v>
      </c>
      <c r="D39" t="s">
        <v>37</v>
      </c>
      <c r="E39" t="s">
        <v>97</v>
      </c>
      <c r="F39" t="s">
        <v>184</v>
      </c>
      <c r="G39" t="s">
        <v>18</v>
      </c>
      <c r="H39">
        <v>258.04000000000002</v>
      </c>
      <c r="I39" t="s">
        <v>122</v>
      </c>
      <c r="J39" t="s">
        <v>26</v>
      </c>
      <c r="K39">
        <v>34</v>
      </c>
      <c r="L39">
        <v>3</v>
      </c>
    </row>
    <row r="40" spans="1:12" x14ac:dyDescent="0.2">
      <c r="A40" t="s">
        <v>185</v>
      </c>
      <c r="B40" t="s">
        <v>186</v>
      </c>
      <c r="C40" t="s">
        <v>60</v>
      </c>
      <c r="D40" t="s">
        <v>80</v>
      </c>
      <c r="E40" t="s">
        <v>180</v>
      </c>
      <c r="F40" t="s">
        <v>187</v>
      </c>
      <c r="G40" t="s">
        <v>57</v>
      </c>
      <c r="H40">
        <v>399.67</v>
      </c>
      <c r="I40" t="s">
        <v>49</v>
      </c>
      <c r="J40" t="s">
        <v>26</v>
      </c>
      <c r="K40">
        <v>23</v>
      </c>
      <c r="L40">
        <v>1</v>
      </c>
    </row>
    <row r="41" spans="1:12" x14ac:dyDescent="0.2">
      <c r="A41" t="s">
        <v>188</v>
      </c>
      <c r="B41" t="s">
        <v>189</v>
      </c>
      <c r="C41" t="s">
        <v>68</v>
      </c>
      <c r="D41" t="s">
        <v>80</v>
      </c>
      <c r="E41" t="s">
        <v>180</v>
      </c>
      <c r="F41" t="s">
        <v>190</v>
      </c>
      <c r="G41" t="s">
        <v>33</v>
      </c>
      <c r="H41">
        <v>338.47</v>
      </c>
      <c r="I41" t="s">
        <v>19</v>
      </c>
      <c r="J41" t="s">
        <v>26</v>
      </c>
      <c r="K41">
        <v>66</v>
      </c>
      <c r="L41">
        <v>3</v>
      </c>
    </row>
    <row r="42" spans="1:12" x14ac:dyDescent="0.2">
      <c r="A42" t="s">
        <v>191</v>
      </c>
      <c r="B42" t="s">
        <v>192</v>
      </c>
      <c r="C42" t="s">
        <v>53</v>
      </c>
      <c r="D42" t="s">
        <v>125</v>
      </c>
      <c r="E42" t="s">
        <v>144</v>
      </c>
      <c r="F42" t="s">
        <v>25</v>
      </c>
      <c r="G42" t="s">
        <v>77</v>
      </c>
      <c r="H42">
        <v>175.49</v>
      </c>
      <c r="I42" t="s">
        <v>19</v>
      </c>
      <c r="J42" t="s">
        <v>26</v>
      </c>
      <c r="K42">
        <v>52</v>
      </c>
      <c r="L42">
        <v>3</v>
      </c>
    </row>
    <row r="43" spans="1:12" x14ac:dyDescent="0.2">
      <c r="A43" t="s">
        <v>193</v>
      </c>
      <c r="B43" t="s">
        <v>194</v>
      </c>
      <c r="C43" t="s">
        <v>29</v>
      </c>
      <c r="D43" t="s">
        <v>37</v>
      </c>
      <c r="E43" t="s">
        <v>31</v>
      </c>
      <c r="F43" t="s">
        <v>195</v>
      </c>
      <c r="G43" t="s">
        <v>91</v>
      </c>
      <c r="H43">
        <v>211.52</v>
      </c>
      <c r="I43" t="s">
        <v>19</v>
      </c>
      <c r="J43" t="s">
        <v>20</v>
      </c>
      <c r="K43">
        <v>32</v>
      </c>
      <c r="L43">
        <v>5</v>
      </c>
    </row>
    <row r="44" spans="1:12" x14ac:dyDescent="0.2">
      <c r="A44" t="s">
        <v>196</v>
      </c>
      <c r="B44" t="s">
        <v>197</v>
      </c>
      <c r="C44" t="s">
        <v>73</v>
      </c>
      <c r="D44" t="s">
        <v>61</v>
      </c>
      <c r="E44" t="s">
        <v>198</v>
      </c>
      <c r="F44" t="s">
        <v>199</v>
      </c>
      <c r="G44" t="s">
        <v>33</v>
      </c>
      <c r="H44">
        <v>290.18</v>
      </c>
      <c r="I44" t="s">
        <v>65</v>
      </c>
      <c r="J44" t="s">
        <v>41</v>
      </c>
      <c r="K44">
        <v>31</v>
      </c>
      <c r="L44">
        <v>2</v>
      </c>
    </row>
    <row r="45" spans="1:12" x14ac:dyDescent="0.2">
      <c r="A45" t="s">
        <v>200</v>
      </c>
      <c r="B45" t="s">
        <v>201</v>
      </c>
      <c r="C45" t="s">
        <v>29</v>
      </c>
      <c r="D45" t="s">
        <v>54</v>
      </c>
      <c r="E45" t="s">
        <v>198</v>
      </c>
      <c r="F45" t="s">
        <v>202</v>
      </c>
      <c r="G45" t="s">
        <v>91</v>
      </c>
      <c r="H45">
        <v>395.29</v>
      </c>
      <c r="I45" t="s">
        <v>65</v>
      </c>
      <c r="J45" t="s">
        <v>41</v>
      </c>
      <c r="K45">
        <v>43</v>
      </c>
      <c r="L45">
        <v>1</v>
      </c>
    </row>
    <row r="46" spans="1:12" x14ac:dyDescent="0.2">
      <c r="A46" t="s">
        <v>203</v>
      </c>
      <c r="B46" t="s">
        <v>204</v>
      </c>
      <c r="C46" t="s">
        <v>117</v>
      </c>
      <c r="D46" t="s">
        <v>74</v>
      </c>
      <c r="E46" t="s">
        <v>55</v>
      </c>
      <c r="F46" t="s">
        <v>205</v>
      </c>
      <c r="G46" t="s">
        <v>64</v>
      </c>
      <c r="H46">
        <v>332.59</v>
      </c>
      <c r="I46" t="s">
        <v>122</v>
      </c>
      <c r="J46" t="s">
        <v>50</v>
      </c>
      <c r="K46">
        <v>45</v>
      </c>
      <c r="L46">
        <v>3</v>
      </c>
    </row>
    <row r="47" spans="1:12" x14ac:dyDescent="0.2">
      <c r="A47" t="s">
        <v>206</v>
      </c>
      <c r="B47" t="s">
        <v>207</v>
      </c>
      <c r="C47" t="s">
        <v>117</v>
      </c>
      <c r="D47" t="s">
        <v>89</v>
      </c>
      <c r="E47" t="s">
        <v>113</v>
      </c>
      <c r="F47" t="s">
        <v>208</v>
      </c>
      <c r="G47" t="s">
        <v>91</v>
      </c>
      <c r="H47">
        <v>133.55000000000001</v>
      </c>
      <c r="I47" t="s">
        <v>122</v>
      </c>
      <c r="J47" t="s">
        <v>41</v>
      </c>
      <c r="K47">
        <v>54</v>
      </c>
      <c r="L47">
        <v>5</v>
      </c>
    </row>
    <row r="48" spans="1:12" x14ac:dyDescent="0.2">
      <c r="A48" t="s">
        <v>209</v>
      </c>
      <c r="B48" t="s">
        <v>210</v>
      </c>
      <c r="C48" t="s">
        <v>53</v>
      </c>
      <c r="D48" t="s">
        <v>45</v>
      </c>
      <c r="E48" t="s">
        <v>97</v>
      </c>
      <c r="F48" t="s">
        <v>211</v>
      </c>
      <c r="G48" t="s">
        <v>77</v>
      </c>
      <c r="H48">
        <v>423.21</v>
      </c>
      <c r="I48" t="s">
        <v>19</v>
      </c>
      <c r="J48" t="s">
        <v>41</v>
      </c>
      <c r="K48">
        <v>54</v>
      </c>
    </row>
    <row r="49" spans="1:12" x14ac:dyDescent="0.2">
      <c r="A49" t="s">
        <v>212</v>
      </c>
      <c r="B49" t="s">
        <v>213</v>
      </c>
      <c r="C49" t="s">
        <v>23</v>
      </c>
      <c r="D49" t="s">
        <v>74</v>
      </c>
      <c r="E49" t="s">
        <v>129</v>
      </c>
      <c r="F49" t="s">
        <v>214</v>
      </c>
      <c r="G49" t="s">
        <v>40</v>
      </c>
      <c r="H49">
        <v>277.29000000000002</v>
      </c>
      <c r="I49" t="s">
        <v>122</v>
      </c>
      <c r="J49" t="s">
        <v>20</v>
      </c>
      <c r="K49">
        <v>33</v>
      </c>
      <c r="L49">
        <v>5</v>
      </c>
    </row>
    <row r="50" spans="1:12" x14ac:dyDescent="0.2">
      <c r="A50" t="s">
        <v>215</v>
      </c>
      <c r="B50" t="s">
        <v>216</v>
      </c>
      <c r="C50" t="s">
        <v>23</v>
      </c>
      <c r="D50" t="s">
        <v>80</v>
      </c>
      <c r="E50" t="s">
        <v>75</v>
      </c>
      <c r="F50" t="s">
        <v>217</v>
      </c>
      <c r="G50" t="s">
        <v>40</v>
      </c>
      <c r="H50">
        <v>476.45</v>
      </c>
      <c r="I50" t="s">
        <v>65</v>
      </c>
      <c r="J50" t="s">
        <v>50</v>
      </c>
      <c r="K50">
        <v>65</v>
      </c>
      <c r="L50">
        <v>2</v>
      </c>
    </row>
    <row r="51" spans="1:12" x14ac:dyDescent="0.2">
      <c r="A51" t="s">
        <v>218</v>
      </c>
      <c r="B51" t="s">
        <v>219</v>
      </c>
      <c r="C51" t="s">
        <v>106</v>
      </c>
      <c r="D51" t="s">
        <v>45</v>
      </c>
      <c r="E51" t="s">
        <v>69</v>
      </c>
      <c r="F51" t="s">
        <v>220</v>
      </c>
      <c r="G51" t="s">
        <v>64</v>
      </c>
      <c r="H51">
        <v>60.49</v>
      </c>
      <c r="I51" t="s">
        <v>122</v>
      </c>
      <c r="J51" t="s">
        <v>20</v>
      </c>
      <c r="K51">
        <v>62</v>
      </c>
      <c r="L51">
        <v>4</v>
      </c>
    </row>
    <row r="52" spans="1:12" x14ac:dyDescent="0.2">
      <c r="A52" t="s">
        <v>221</v>
      </c>
      <c r="B52" t="s">
        <v>222</v>
      </c>
      <c r="C52" t="s">
        <v>60</v>
      </c>
      <c r="D52" t="s">
        <v>37</v>
      </c>
      <c r="E52" t="s">
        <v>81</v>
      </c>
      <c r="F52" t="s">
        <v>223</v>
      </c>
      <c r="G52" t="s">
        <v>33</v>
      </c>
      <c r="H52">
        <v>397.36</v>
      </c>
      <c r="I52" t="s">
        <v>49</v>
      </c>
      <c r="J52" t="s">
        <v>50</v>
      </c>
      <c r="K52">
        <v>53</v>
      </c>
    </row>
    <row r="53" spans="1:12" x14ac:dyDescent="0.2">
      <c r="A53" t="s">
        <v>224</v>
      </c>
      <c r="B53" t="s">
        <v>225</v>
      </c>
      <c r="C53" t="s">
        <v>73</v>
      </c>
      <c r="D53" t="s">
        <v>54</v>
      </c>
      <c r="E53" t="s">
        <v>129</v>
      </c>
      <c r="F53" t="s">
        <v>226</v>
      </c>
      <c r="G53" t="s">
        <v>33</v>
      </c>
      <c r="H53">
        <v>448.63</v>
      </c>
      <c r="I53" t="s">
        <v>65</v>
      </c>
      <c r="J53" t="s">
        <v>41</v>
      </c>
      <c r="K53">
        <v>70</v>
      </c>
      <c r="L53">
        <v>5</v>
      </c>
    </row>
    <row r="54" spans="1:12" x14ac:dyDescent="0.2">
      <c r="A54" t="s">
        <v>227</v>
      </c>
      <c r="B54" t="s">
        <v>228</v>
      </c>
      <c r="C54" t="s">
        <v>68</v>
      </c>
      <c r="D54" t="s">
        <v>89</v>
      </c>
      <c r="E54" t="s">
        <v>81</v>
      </c>
      <c r="F54" t="s">
        <v>229</v>
      </c>
      <c r="G54" t="s">
        <v>77</v>
      </c>
      <c r="H54">
        <v>478.69</v>
      </c>
      <c r="I54" t="s">
        <v>65</v>
      </c>
      <c r="J54" t="s">
        <v>20</v>
      </c>
      <c r="K54">
        <v>48</v>
      </c>
      <c r="L54">
        <v>5</v>
      </c>
    </row>
    <row r="55" spans="1:12" x14ac:dyDescent="0.2">
      <c r="A55" t="s">
        <v>230</v>
      </c>
      <c r="B55" t="s">
        <v>231</v>
      </c>
      <c r="C55" t="s">
        <v>106</v>
      </c>
      <c r="D55" t="s">
        <v>54</v>
      </c>
      <c r="E55" t="s">
        <v>38</v>
      </c>
      <c r="F55" t="s">
        <v>232</v>
      </c>
      <c r="G55" t="s">
        <v>33</v>
      </c>
      <c r="H55">
        <v>184.16</v>
      </c>
      <c r="I55" t="s">
        <v>65</v>
      </c>
      <c r="J55" t="s">
        <v>41</v>
      </c>
      <c r="K55">
        <v>37</v>
      </c>
      <c r="L55">
        <v>1</v>
      </c>
    </row>
    <row r="56" spans="1:12" x14ac:dyDescent="0.2">
      <c r="A56" t="s">
        <v>233</v>
      </c>
      <c r="B56" t="s">
        <v>234</v>
      </c>
      <c r="C56" t="s">
        <v>14</v>
      </c>
      <c r="D56" t="s">
        <v>80</v>
      </c>
      <c r="E56" t="s">
        <v>62</v>
      </c>
      <c r="F56" t="s">
        <v>235</v>
      </c>
      <c r="G56" t="s">
        <v>57</v>
      </c>
      <c r="H56">
        <v>322.26</v>
      </c>
      <c r="I56" t="s">
        <v>65</v>
      </c>
      <c r="J56" t="s">
        <v>41</v>
      </c>
      <c r="K56">
        <v>40</v>
      </c>
      <c r="L56">
        <v>2</v>
      </c>
    </row>
    <row r="57" spans="1:12" x14ac:dyDescent="0.2">
      <c r="A57" t="s">
        <v>236</v>
      </c>
      <c r="B57" t="s">
        <v>237</v>
      </c>
      <c r="C57" t="s">
        <v>73</v>
      </c>
      <c r="D57" t="s">
        <v>139</v>
      </c>
      <c r="E57" t="s">
        <v>238</v>
      </c>
      <c r="F57" t="s">
        <v>239</v>
      </c>
      <c r="G57" t="s">
        <v>48</v>
      </c>
      <c r="H57">
        <v>374.48</v>
      </c>
      <c r="I57" t="s">
        <v>122</v>
      </c>
      <c r="J57" t="s">
        <v>41</v>
      </c>
      <c r="K57">
        <v>85</v>
      </c>
      <c r="L57">
        <v>5</v>
      </c>
    </row>
    <row r="58" spans="1:12" x14ac:dyDescent="0.2">
      <c r="A58" t="s">
        <v>240</v>
      </c>
      <c r="B58" t="s">
        <v>241</v>
      </c>
      <c r="C58" t="s">
        <v>60</v>
      </c>
      <c r="D58" t="s">
        <v>61</v>
      </c>
      <c r="E58" t="s">
        <v>238</v>
      </c>
      <c r="F58" t="s">
        <v>242</v>
      </c>
      <c r="G58" t="s">
        <v>33</v>
      </c>
      <c r="H58">
        <v>346.2</v>
      </c>
      <c r="I58" t="s">
        <v>122</v>
      </c>
      <c r="J58" t="s">
        <v>26</v>
      </c>
      <c r="K58">
        <v>41</v>
      </c>
      <c r="L58">
        <v>2</v>
      </c>
    </row>
    <row r="59" spans="1:12" x14ac:dyDescent="0.2">
      <c r="A59" t="s">
        <v>243</v>
      </c>
      <c r="B59" t="s">
        <v>244</v>
      </c>
      <c r="C59" t="s">
        <v>106</v>
      </c>
      <c r="D59" t="s">
        <v>37</v>
      </c>
      <c r="E59" t="s">
        <v>24</v>
      </c>
      <c r="F59" t="s">
        <v>245</v>
      </c>
      <c r="G59" t="s">
        <v>18</v>
      </c>
      <c r="H59">
        <v>244.07</v>
      </c>
      <c r="I59" t="s">
        <v>122</v>
      </c>
      <c r="J59" t="s">
        <v>41</v>
      </c>
      <c r="K59">
        <v>77</v>
      </c>
      <c r="L59">
        <v>3</v>
      </c>
    </row>
    <row r="60" spans="1:12" x14ac:dyDescent="0.2">
      <c r="A60" t="s">
        <v>246</v>
      </c>
      <c r="B60" t="s">
        <v>247</v>
      </c>
      <c r="C60" t="s">
        <v>73</v>
      </c>
      <c r="D60" t="s">
        <v>74</v>
      </c>
      <c r="E60" t="s">
        <v>118</v>
      </c>
      <c r="F60" t="s">
        <v>248</v>
      </c>
      <c r="G60" t="s">
        <v>40</v>
      </c>
      <c r="H60">
        <v>239.25</v>
      </c>
      <c r="I60" t="s">
        <v>49</v>
      </c>
      <c r="J60" t="s">
        <v>26</v>
      </c>
      <c r="K60">
        <v>60</v>
      </c>
      <c r="L60">
        <v>1</v>
      </c>
    </row>
    <row r="61" spans="1:12" x14ac:dyDescent="0.2">
      <c r="A61" t="s">
        <v>249</v>
      </c>
      <c r="B61" t="s">
        <v>250</v>
      </c>
      <c r="C61" t="s">
        <v>23</v>
      </c>
      <c r="D61" t="s">
        <v>54</v>
      </c>
      <c r="E61" t="s">
        <v>140</v>
      </c>
      <c r="F61" t="s">
        <v>251</v>
      </c>
      <c r="G61" t="s">
        <v>77</v>
      </c>
      <c r="H61">
        <v>276.91000000000003</v>
      </c>
      <c r="I61" t="s">
        <v>49</v>
      </c>
      <c r="J61" t="s">
        <v>26</v>
      </c>
      <c r="K61">
        <v>18</v>
      </c>
    </row>
    <row r="62" spans="1:12" x14ac:dyDescent="0.2">
      <c r="A62" t="s">
        <v>252</v>
      </c>
      <c r="B62" t="s">
        <v>253</v>
      </c>
      <c r="C62" t="s">
        <v>29</v>
      </c>
      <c r="D62" t="s">
        <v>54</v>
      </c>
      <c r="E62" t="s">
        <v>46</v>
      </c>
      <c r="F62" t="s">
        <v>254</v>
      </c>
      <c r="G62" t="s">
        <v>91</v>
      </c>
      <c r="H62">
        <v>209.26</v>
      </c>
      <c r="I62" t="s">
        <v>65</v>
      </c>
      <c r="J62" t="s">
        <v>26</v>
      </c>
      <c r="K62">
        <v>59</v>
      </c>
      <c r="L62">
        <v>2</v>
      </c>
    </row>
    <row r="63" spans="1:12" x14ac:dyDescent="0.2">
      <c r="A63" t="s">
        <v>255</v>
      </c>
      <c r="B63" t="s">
        <v>256</v>
      </c>
      <c r="C63" t="s">
        <v>53</v>
      </c>
      <c r="D63" t="s">
        <v>45</v>
      </c>
      <c r="E63" t="s">
        <v>257</v>
      </c>
      <c r="F63" t="s">
        <v>258</v>
      </c>
      <c r="G63" t="s">
        <v>40</v>
      </c>
      <c r="H63">
        <v>379.69</v>
      </c>
      <c r="I63" t="s">
        <v>122</v>
      </c>
      <c r="J63" t="s">
        <v>26</v>
      </c>
      <c r="K63">
        <v>31</v>
      </c>
      <c r="L63">
        <v>3</v>
      </c>
    </row>
    <row r="64" spans="1:12" x14ac:dyDescent="0.2">
      <c r="A64" t="s">
        <v>259</v>
      </c>
      <c r="B64" t="s">
        <v>260</v>
      </c>
      <c r="C64" t="s">
        <v>117</v>
      </c>
      <c r="D64" t="s">
        <v>45</v>
      </c>
      <c r="E64" t="s">
        <v>154</v>
      </c>
      <c r="F64" t="s">
        <v>261</v>
      </c>
      <c r="G64" t="s">
        <v>91</v>
      </c>
      <c r="H64">
        <v>327.61</v>
      </c>
      <c r="I64" t="s">
        <v>122</v>
      </c>
      <c r="J64" t="s">
        <v>41</v>
      </c>
      <c r="K64">
        <v>39</v>
      </c>
      <c r="L64">
        <v>4</v>
      </c>
    </row>
    <row r="65" spans="1:12" x14ac:dyDescent="0.2">
      <c r="A65" t="s">
        <v>262</v>
      </c>
      <c r="B65" t="s">
        <v>263</v>
      </c>
      <c r="C65" t="s">
        <v>106</v>
      </c>
      <c r="D65" t="s">
        <v>80</v>
      </c>
      <c r="E65" t="s">
        <v>140</v>
      </c>
      <c r="F65" t="s">
        <v>264</v>
      </c>
      <c r="G65" t="s">
        <v>18</v>
      </c>
      <c r="H65">
        <v>249.96</v>
      </c>
      <c r="I65" t="s">
        <v>122</v>
      </c>
      <c r="J65" t="s">
        <v>41</v>
      </c>
      <c r="K65">
        <v>72</v>
      </c>
      <c r="L65">
        <v>5</v>
      </c>
    </row>
    <row r="66" spans="1:12" x14ac:dyDescent="0.2">
      <c r="A66" t="s">
        <v>265</v>
      </c>
      <c r="B66" t="s">
        <v>266</v>
      </c>
      <c r="C66" t="s">
        <v>44</v>
      </c>
      <c r="D66" t="s">
        <v>80</v>
      </c>
      <c r="E66" t="s">
        <v>55</v>
      </c>
      <c r="F66" t="s">
        <v>202</v>
      </c>
      <c r="G66" t="s">
        <v>40</v>
      </c>
      <c r="H66">
        <v>272.47000000000003</v>
      </c>
      <c r="I66" t="s">
        <v>122</v>
      </c>
      <c r="J66" t="s">
        <v>20</v>
      </c>
      <c r="K66">
        <v>33</v>
      </c>
    </row>
    <row r="67" spans="1:12" x14ac:dyDescent="0.2">
      <c r="A67" t="s">
        <v>267</v>
      </c>
      <c r="B67" t="s">
        <v>268</v>
      </c>
      <c r="C67" t="s">
        <v>53</v>
      </c>
      <c r="D67" t="s">
        <v>61</v>
      </c>
      <c r="E67" t="s">
        <v>132</v>
      </c>
      <c r="F67" t="s">
        <v>269</v>
      </c>
      <c r="G67" t="s">
        <v>77</v>
      </c>
      <c r="H67">
        <v>387.76</v>
      </c>
      <c r="I67" t="s">
        <v>19</v>
      </c>
      <c r="J67" t="s">
        <v>50</v>
      </c>
      <c r="K67">
        <v>85</v>
      </c>
      <c r="L67">
        <v>4</v>
      </c>
    </row>
    <row r="68" spans="1:12" x14ac:dyDescent="0.2">
      <c r="A68" t="s">
        <v>270</v>
      </c>
      <c r="B68" t="s">
        <v>271</v>
      </c>
      <c r="C68" t="s">
        <v>53</v>
      </c>
      <c r="D68" t="s">
        <v>45</v>
      </c>
      <c r="E68" t="s">
        <v>272</v>
      </c>
      <c r="F68" t="s">
        <v>273</v>
      </c>
      <c r="G68" t="s">
        <v>18</v>
      </c>
      <c r="H68">
        <v>271.87</v>
      </c>
      <c r="I68" t="s">
        <v>65</v>
      </c>
      <c r="J68" t="s">
        <v>20</v>
      </c>
      <c r="K68">
        <v>65</v>
      </c>
    </row>
    <row r="69" spans="1:12" x14ac:dyDescent="0.2">
      <c r="A69" t="s">
        <v>274</v>
      </c>
      <c r="B69" t="s">
        <v>275</v>
      </c>
      <c r="C69" t="s">
        <v>106</v>
      </c>
      <c r="D69" t="s">
        <v>89</v>
      </c>
      <c r="E69" t="s">
        <v>118</v>
      </c>
      <c r="F69" t="s">
        <v>276</v>
      </c>
      <c r="G69" t="s">
        <v>48</v>
      </c>
      <c r="H69">
        <v>464.54</v>
      </c>
      <c r="I69" t="s">
        <v>49</v>
      </c>
      <c r="J69" t="s">
        <v>26</v>
      </c>
      <c r="K69">
        <v>27</v>
      </c>
      <c r="L69">
        <v>2</v>
      </c>
    </row>
    <row r="70" spans="1:12" x14ac:dyDescent="0.2">
      <c r="A70" t="s">
        <v>277</v>
      </c>
      <c r="B70" t="s">
        <v>278</v>
      </c>
      <c r="C70" t="s">
        <v>117</v>
      </c>
      <c r="D70" t="s">
        <v>61</v>
      </c>
      <c r="E70" t="s">
        <v>97</v>
      </c>
      <c r="F70" t="s">
        <v>279</v>
      </c>
      <c r="G70" t="s">
        <v>48</v>
      </c>
      <c r="H70">
        <v>486.64</v>
      </c>
      <c r="I70" t="s">
        <v>122</v>
      </c>
      <c r="J70" t="s">
        <v>50</v>
      </c>
      <c r="K70">
        <v>83</v>
      </c>
      <c r="L70">
        <v>2</v>
      </c>
    </row>
    <row r="71" spans="1:12" x14ac:dyDescent="0.2">
      <c r="A71" t="s">
        <v>280</v>
      </c>
      <c r="B71" t="s">
        <v>281</v>
      </c>
      <c r="C71" t="s">
        <v>29</v>
      </c>
      <c r="D71" t="s">
        <v>15</v>
      </c>
      <c r="E71" t="s">
        <v>46</v>
      </c>
      <c r="F71" t="s">
        <v>282</v>
      </c>
      <c r="G71" t="s">
        <v>18</v>
      </c>
      <c r="H71">
        <v>463.87</v>
      </c>
      <c r="I71" t="s">
        <v>19</v>
      </c>
      <c r="J71" t="s">
        <v>26</v>
      </c>
      <c r="K71">
        <v>88</v>
      </c>
      <c r="L71">
        <v>5</v>
      </c>
    </row>
    <row r="72" spans="1:12" x14ac:dyDescent="0.2">
      <c r="A72" t="s">
        <v>283</v>
      </c>
      <c r="B72" t="s">
        <v>284</v>
      </c>
      <c r="C72" t="s">
        <v>44</v>
      </c>
      <c r="D72" t="s">
        <v>89</v>
      </c>
      <c r="E72" t="s">
        <v>161</v>
      </c>
      <c r="F72" t="s">
        <v>285</v>
      </c>
      <c r="G72" t="s">
        <v>64</v>
      </c>
      <c r="H72">
        <v>258.64</v>
      </c>
      <c r="I72" t="s">
        <v>49</v>
      </c>
      <c r="J72" t="s">
        <v>26</v>
      </c>
      <c r="K72">
        <v>58</v>
      </c>
      <c r="L72">
        <v>2</v>
      </c>
    </row>
    <row r="73" spans="1:12" x14ac:dyDescent="0.2">
      <c r="A73" t="s">
        <v>286</v>
      </c>
      <c r="B73" t="s">
        <v>287</v>
      </c>
      <c r="C73" t="s">
        <v>60</v>
      </c>
      <c r="D73" t="s">
        <v>139</v>
      </c>
      <c r="E73" t="s">
        <v>16</v>
      </c>
      <c r="F73" t="s">
        <v>288</v>
      </c>
      <c r="G73" t="s">
        <v>64</v>
      </c>
      <c r="H73">
        <v>365.2</v>
      </c>
      <c r="I73" t="s">
        <v>122</v>
      </c>
      <c r="J73" t="s">
        <v>50</v>
      </c>
      <c r="K73">
        <v>28</v>
      </c>
      <c r="L73">
        <v>5</v>
      </c>
    </row>
    <row r="74" spans="1:12" x14ac:dyDescent="0.2">
      <c r="A74" t="s">
        <v>289</v>
      </c>
      <c r="B74" t="s">
        <v>290</v>
      </c>
      <c r="C74" t="s">
        <v>44</v>
      </c>
      <c r="D74" t="s">
        <v>139</v>
      </c>
      <c r="E74" t="s">
        <v>31</v>
      </c>
      <c r="F74" t="s">
        <v>291</v>
      </c>
      <c r="G74" t="s">
        <v>64</v>
      </c>
      <c r="H74">
        <v>270.56</v>
      </c>
      <c r="I74" t="s">
        <v>49</v>
      </c>
      <c r="J74" t="s">
        <v>41</v>
      </c>
      <c r="K74">
        <v>23</v>
      </c>
      <c r="L74">
        <v>2</v>
      </c>
    </row>
    <row r="75" spans="1:12" x14ac:dyDescent="0.2">
      <c r="A75" t="s">
        <v>292</v>
      </c>
      <c r="B75" t="s">
        <v>293</v>
      </c>
      <c r="C75" t="s">
        <v>106</v>
      </c>
      <c r="D75" t="s">
        <v>139</v>
      </c>
      <c r="E75" t="s">
        <v>46</v>
      </c>
      <c r="F75" t="s">
        <v>190</v>
      </c>
      <c r="G75" t="s">
        <v>48</v>
      </c>
      <c r="H75">
        <v>164.58</v>
      </c>
      <c r="I75" t="s">
        <v>122</v>
      </c>
      <c r="J75" t="s">
        <v>41</v>
      </c>
      <c r="K75">
        <v>28</v>
      </c>
      <c r="L75">
        <v>5</v>
      </c>
    </row>
    <row r="76" spans="1:12" x14ac:dyDescent="0.2">
      <c r="A76" t="s">
        <v>294</v>
      </c>
      <c r="B76" t="s">
        <v>295</v>
      </c>
      <c r="C76" t="s">
        <v>53</v>
      </c>
      <c r="D76" t="s">
        <v>139</v>
      </c>
      <c r="E76" t="s">
        <v>238</v>
      </c>
      <c r="F76" t="s">
        <v>296</v>
      </c>
      <c r="G76" t="s">
        <v>57</v>
      </c>
      <c r="H76">
        <v>106.97</v>
      </c>
      <c r="I76" t="s">
        <v>49</v>
      </c>
      <c r="J76" t="s">
        <v>26</v>
      </c>
      <c r="K76">
        <v>88</v>
      </c>
      <c r="L76">
        <v>2</v>
      </c>
    </row>
    <row r="77" spans="1:12" x14ac:dyDescent="0.2">
      <c r="A77" t="s">
        <v>297</v>
      </c>
      <c r="B77" t="s">
        <v>298</v>
      </c>
      <c r="C77" t="s">
        <v>44</v>
      </c>
      <c r="D77" t="s">
        <v>45</v>
      </c>
      <c r="E77" t="s">
        <v>31</v>
      </c>
      <c r="F77" t="s">
        <v>299</v>
      </c>
      <c r="G77" t="s">
        <v>48</v>
      </c>
      <c r="H77">
        <v>461.99</v>
      </c>
      <c r="I77" t="s">
        <v>19</v>
      </c>
      <c r="J77" t="s">
        <v>41</v>
      </c>
      <c r="K77">
        <v>20</v>
      </c>
      <c r="L77">
        <v>5</v>
      </c>
    </row>
    <row r="78" spans="1:12" x14ac:dyDescent="0.2">
      <c r="A78" t="s">
        <v>300</v>
      </c>
      <c r="B78" t="s">
        <v>301</v>
      </c>
      <c r="C78" t="s">
        <v>14</v>
      </c>
      <c r="D78" t="s">
        <v>37</v>
      </c>
      <c r="E78" t="s">
        <v>302</v>
      </c>
      <c r="F78" t="s">
        <v>303</v>
      </c>
      <c r="G78" t="s">
        <v>64</v>
      </c>
      <c r="H78">
        <v>301.60000000000002</v>
      </c>
      <c r="I78" t="s">
        <v>65</v>
      </c>
      <c r="J78" t="s">
        <v>20</v>
      </c>
      <c r="K78">
        <v>60</v>
      </c>
      <c r="L78">
        <v>5</v>
      </c>
    </row>
    <row r="79" spans="1:12" x14ac:dyDescent="0.2">
      <c r="A79" t="s">
        <v>304</v>
      </c>
      <c r="B79" t="s">
        <v>305</v>
      </c>
      <c r="C79" t="s">
        <v>23</v>
      </c>
      <c r="D79" t="s">
        <v>74</v>
      </c>
      <c r="E79" t="s">
        <v>46</v>
      </c>
      <c r="F79" t="s">
        <v>306</v>
      </c>
      <c r="G79" t="s">
        <v>64</v>
      </c>
      <c r="H79">
        <v>332.92</v>
      </c>
      <c r="I79" t="s">
        <v>19</v>
      </c>
      <c r="J79" t="s">
        <v>50</v>
      </c>
      <c r="K79">
        <v>64</v>
      </c>
      <c r="L79">
        <v>2</v>
      </c>
    </row>
    <row r="80" spans="1:12" x14ac:dyDescent="0.2">
      <c r="A80" t="s">
        <v>307</v>
      </c>
      <c r="B80" t="s">
        <v>308</v>
      </c>
      <c r="C80" t="s">
        <v>73</v>
      </c>
      <c r="D80" t="s">
        <v>74</v>
      </c>
      <c r="E80" t="s">
        <v>24</v>
      </c>
      <c r="F80" t="s">
        <v>309</v>
      </c>
      <c r="G80" t="s">
        <v>91</v>
      </c>
      <c r="H80">
        <v>244.29</v>
      </c>
      <c r="I80" t="s">
        <v>122</v>
      </c>
      <c r="J80" t="s">
        <v>26</v>
      </c>
      <c r="K80">
        <v>84</v>
      </c>
      <c r="L80">
        <v>3</v>
      </c>
    </row>
    <row r="81" spans="1:12" x14ac:dyDescent="0.2">
      <c r="A81" t="s">
        <v>310</v>
      </c>
      <c r="B81" t="s">
        <v>311</v>
      </c>
      <c r="C81" t="s">
        <v>14</v>
      </c>
      <c r="D81" t="s">
        <v>139</v>
      </c>
      <c r="E81" t="s">
        <v>62</v>
      </c>
      <c r="F81" t="s">
        <v>312</v>
      </c>
      <c r="G81" t="s">
        <v>91</v>
      </c>
      <c r="H81">
        <v>337.33</v>
      </c>
      <c r="I81" t="s">
        <v>122</v>
      </c>
      <c r="J81" t="s">
        <v>41</v>
      </c>
      <c r="K81">
        <v>75</v>
      </c>
      <c r="L81">
        <v>4</v>
      </c>
    </row>
    <row r="82" spans="1:12" x14ac:dyDescent="0.2">
      <c r="A82" t="s">
        <v>313</v>
      </c>
      <c r="B82" t="s">
        <v>314</v>
      </c>
      <c r="C82" t="s">
        <v>73</v>
      </c>
      <c r="D82" t="s">
        <v>89</v>
      </c>
      <c r="E82" t="s">
        <v>272</v>
      </c>
      <c r="F82" t="s">
        <v>315</v>
      </c>
      <c r="G82" t="s">
        <v>18</v>
      </c>
      <c r="H82">
        <v>165.31</v>
      </c>
      <c r="I82" t="s">
        <v>65</v>
      </c>
      <c r="J82" t="s">
        <v>20</v>
      </c>
      <c r="K82">
        <v>57</v>
      </c>
    </row>
    <row r="83" spans="1:12" x14ac:dyDescent="0.2">
      <c r="A83" t="s">
        <v>316</v>
      </c>
      <c r="B83" t="s">
        <v>59</v>
      </c>
      <c r="C83" t="s">
        <v>73</v>
      </c>
      <c r="D83" t="s">
        <v>139</v>
      </c>
      <c r="E83" t="s">
        <v>317</v>
      </c>
      <c r="F83" t="s">
        <v>318</v>
      </c>
      <c r="G83" t="s">
        <v>91</v>
      </c>
      <c r="H83">
        <v>233.94</v>
      </c>
      <c r="I83" t="s">
        <v>122</v>
      </c>
      <c r="J83" t="s">
        <v>26</v>
      </c>
      <c r="K83">
        <v>18</v>
      </c>
    </row>
    <row r="84" spans="1:12" x14ac:dyDescent="0.2">
      <c r="A84" t="s">
        <v>319</v>
      </c>
      <c r="B84" t="s">
        <v>320</v>
      </c>
      <c r="C84" t="s">
        <v>44</v>
      </c>
      <c r="D84" t="s">
        <v>45</v>
      </c>
      <c r="E84" t="s">
        <v>132</v>
      </c>
      <c r="F84" t="s">
        <v>110</v>
      </c>
      <c r="G84" t="s">
        <v>64</v>
      </c>
      <c r="H84">
        <v>365.53</v>
      </c>
      <c r="I84" t="s">
        <v>65</v>
      </c>
      <c r="J84" t="s">
        <v>20</v>
      </c>
      <c r="K84">
        <v>31</v>
      </c>
      <c r="L84">
        <v>3</v>
      </c>
    </row>
    <row r="85" spans="1:12" x14ac:dyDescent="0.2">
      <c r="A85" t="s">
        <v>321</v>
      </c>
      <c r="B85" t="s">
        <v>322</v>
      </c>
      <c r="C85" t="s">
        <v>23</v>
      </c>
      <c r="D85" t="s">
        <v>61</v>
      </c>
      <c r="E85" t="s">
        <v>85</v>
      </c>
      <c r="F85" t="s">
        <v>323</v>
      </c>
      <c r="G85" t="s">
        <v>91</v>
      </c>
      <c r="H85">
        <v>383.22</v>
      </c>
      <c r="I85" t="s">
        <v>65</v>
      </c>
      <c r="J85" t="s">
        <v>20</v>
      </c>
      <c r="K85">
        <v>46</v>
      </c>
      <c r="L85">
        <v>2</v>
      </c>
    </row>
    <row r="86" spans="1:12" x14ac:dyDescent="0.2">
      <c r="A86" t="s">
        <v>324</v>
      </c>
      <c r="B86" t="s">
        <v>325</v>
      </c>
      <c r="C86" t="s">
        <v>14</v>
      </c>
      <c r="D86" t="s">
        <v>125</v>
      </c>
      <c r="E86" t="s">
        <v>180</v>
      </c>
      <c r="F86" t="s">
        <v>326</v>
      </c>
      <c r="G86" t="s">
        <v>77</v>
      </c>
      <c r="H86">
        <v>90.93</v>
      </c>
      <c r="I86" t="s">
        <v>122</v>
      </c>
      <c r="J86" t="s">
        <v>50</v>
      </c>
      <c r="K86">
        <v>30</v>
      </c>
      <c r="L86">
        <v>2</v>
      </c>
    </row>
    <row r="87" spans="1:12" x14ac:dyDescent="0.2">
      <c r="A87" t="s">
        <v>327</v>
      </c>
      <c r="B87" t="s">
        <v>328</v>
      </c>
      <c r="C87" t="s">
        <v>68</v>
      </c>
      <c r="D87" t="s">
        <v>125</v>
      </c>
      <c r="E87" t="s">
        <v>154</v>
      </c>
      <c r="F87" t="s">
        <v>329</v>
      </c>
      <c r="G87" t="s">
        <v>18</v>
      </c>
      <c r="H87">
        <v>252.51</v>
      </c>
      <c r="I87" t="s">
        <v>49</v>
      </c>
      <c r="J87" t="s">
        <v>41</v>
      </c>
      <c r="K87">
        <v>78</v>
      </c>
      <c r="L87">
        <v>3</v>
      </c>
    </row>
    <row r="88" spans="1:12" x14ac:dyDescent="0.2">
      <c r="A88" t="s">
        <v>330</v>
      </c>
      <c r="B88" t="s">
        <v>331</v>
      </c>
      <c r="C88" t="s">
        <v>14</v>
      </c>
      <c r="D88" t="s">
        <v>89</v>
      </c>
      <c r="E88" t="s">
        <v>140</v>
      </c>
      <c r="F88" t="s">
        <v>208</v>
      </c>
      <c r="G88" t="s">
        <v>64</v>
      </c>
      <c r="H88">
        <v>245.66</v>
      </c>
      <c r="I88" t="s">
        <v>122</v>
      </c>
      <c r="J88" t="s">
        <v>50</v>
      </c>
      <c r="K88">
        <v>15</v>
      </c>
      <c r="L88">
        <v>3</v>
      </c>
    </row>
    <row r="89" spans="1:12" x14ac:dyDescent="0.2">
      <c r="A89" t="s">
        <v>332</v>
      </c>
      <c r="B89" t="s">
        <v>333</v>
      </c>
      <c r="C89" t="s">
        <v>14</v>
      </c>
      <c r="D89" t="s">
        <v>54</v>
      </c>
      <c r="E89" t="s">
        <v>81</v>
      </c>
      <c r="F89" t="s">
        <v>334</v>
      </c>
      <c r="G89" t="s">
        <v>48</v>
      </c>
      <c r="H89">
        <v>164.73</v>
      </c>
      <c r="I89" t="s">
        <v>19</v>
      </c>
      <c r="J89" t="s">
        <v>26</v>
      </c>
      <c r="K89">
        <v>69</v>
      </c>
      <c r="L89">
        <v>4</v>
      </c>
    </row>
    <row r="90" spans="1:12" x14ac:dyDescent="0.2">
      <c r="A90" t="s">
        <v>335</v>
      </c>
      <c r="B90" t="s">
        <v>336</v>
      </c>
      <c r="C90" t="s">
        <v>44</v>
      </c>
      <c r="D90" t="s">
        <v>45</v>
      </c>
      <c r="E90" t="s">
        <v>31</v>
      </c>
      <c r="F90" t="s">
        <v>337</v>
      </c>
      <c r="G90" t="s">
        <v>48</v>
      </c>
      <c r="H90">
        <v>182.13</v>
      </c>
      <c r="I90" t="s">
        <v>19</v>
      </c>
      <c r="J90" t="s">
        <v>20</v>
      </c>
      <c r="K90">
        <v>61</v>
      </c>
      <c r="L90">
        <v>5</v>
      </c>
    </row>
    <row r="91" spans="1:12" x14ac:dyDescent="0.2">
      <c r="A91" t="s">
        <v>338</v>
      </c>
      <c r="B91" t="s">
        <v>339</v>
      </c>
      <c r="C91" t="s">
        <v>23</v>
      </c>
      <c r="D91" t="s">
        <v>15</v>
      </c>
      <c r="E91" t="s">
        <v>97</v>
      </c>
      <c r="F91" t="s">
        <v>340</v>
      </c>
      <c r="G91" t="s">
        <v>48</v>
      </c>
      <c r="H91">
        <v>115.53</v>
      </c>
      <c r="I91" t="s">
        <v>49</v>
      </c>
      <c r="J91" t="s">
        <v>26</v>
      </c>
      <c r="K91">
        <v>66</v>
      </c>
      <c r="L91">
        <v>1</v>
      </c>
    </row>
    <row r="92" spans="1:12" x14ac:dyDescent="0.2">
      <c r="A92" t="s">
        <v>341</v>
      </c>
      <c r="B92" t="s">
        <v>342</v>
      </c>
      <c r="C92" t="s">
        <v>60</v>
      </c>
      <c r="D92" t="s">
        <v>139</v>
      </c>
      <c r="E92" t="s">
        <v>343</v>
      </c>
      <c r="F92" t="s">
        <v>344</v>
      </c>
      <c r="G92" t="s">
        <v>18</v>
      </c>
      <c r="H92">
        <v>483.28</v>
      </c>
      <c r="I92" t="s">
        <v>65</v>
      </c>
      <c r="J92" t="s">
        <v>20</v>
      </c>
      <c r="K92">
        <v>81</v>
      </c>
    </row>
    <row r="93" spans="1:12" x14ac:dyDescent="0.2">
      <c r="A93" t="s">
        <v>345</v>
      </c>
      <c r="B93" t="s">
        <v>346</v>
      </c>
      <c r="C93" t="s">
        <v>23</v>
      </c>
      <c r="D93" t="s">
        <v>54</v>
      </c>
      <c r="E93" t="s">
        <v>272</v>
      </c>
      <c r="F93" t="s">
        <v>25</v>
      </c>
      <c r="G93" t="s">
        <v>91</v>
      </c>
      <c r="H93">
        <v>115.6</v>
      </c>
      <c r="I93" t="s">
        <v>49</v>
      </c>
      <c r="J93" t="s">
        <v>26</v>
      </c>
      <c r="K93">
        <v>67</v>
      </c>
      <c r="L93">
        <v>4</v>
      </c>
    </row>
    <row r="94" spans="1:12" x14ac:dyDescent="0.2">
      <c r="A94" t="s">
        <v>347</v>
      </c>
      <c r="B94" t="s">
        <v>348</v>
      </c>
      <c r="C94" t="s">
        <v>29</v>
      </c>
      <c r="D94" t="s">
        <v>125</v>
      </c>
      <c r="E94" t="s">
        <v>349</v>
      </c>
      <c r="F94" t="s">
        <v>350</v>
      </c>
      <c r="G94" t="s">
        <v>33</v>
      </c>
      <c r="H94">
        <v>318.14999999999998</v>
      </c>
      <c r="I94" t="s">
        <v>65</v>
      </c>
      <c r="J94" t="s">
        <v>50</v>
      </c>
      <c r="K94">
        <v>81</v>
      </c>
      <c r="L94">
        <v>5</v>
      </c>
    </row>
    <row r="95" spans="1:12" x14ac:dyDescent="0.2">
      <c r="A95" t="s">
        <v>351</v>
      </c>
      <c r="B95" t="s">
        <v>352</v>
      </c>
      <c r="C95" t="s">
        <v>73</v>
      </c>
      <c r="D95" t="s">
        <v>80</v>
      </c>
      <c r="E95" t="s">
        <v>31</v>
      </c>
      <c r="F95" t="s">
        <v>353</v>
      </c>
      <c r="G95" t="s">
        <v>40</v>
      </c>
      <c r="H95">
        <v>94.7</v>
      </c>
      <c r="I95" t="s">
        <v>19</v>
      </c>
      <c r="J95" t="s">
        <v>20</v>
      </c>
      <c r="K95">
        <v>18</v>
      </c>
    </row>
    <row r="96" spans="1:12" x14ac:dyDescent="0.2">
      <c r="A96" t="s">
        <v>354</v>
      </c>
      <c r="B96" t="s">
        <v>355</v>
      </c>
      <c r="C96" t="s">
        <v>14</v>
      </c>
      <c r="D96" t="s">
        <v>15</v>
      </c>
      <c r="E96" t="s">
        <v>62</v>
      </c>
      <c r="F96" t="s">
        <v>356</v>
      </c>
      <c r="G96" t="s">
        <v>18</v>
      </c>
      <c r="H96">
        <v>291.23</v>
      </c>
      <c r="I96" t="s">
        <v>122</v>
      </c>
      <c r="J96" t="s">
        <v>20</v>
      </c>
      <c r="K96">
        <v>47</v>
      </c>
      <c r="L96">
        <v>5</v>
      </c>
    </row>
    <row r="97" spans="1:12" x14ac:dyDescent="0.2">
      <c r="A97" t="s">
        <v>357</v>
      </c>
      <c r="B97" t="s">
        <v>358</v>
      </c>
      <c r="C97" t="s">
        <v>106</v>
      </c>
      <c r="D97" t="s">
        <v>61</v>
      </c>
      <c r="E97" t="s">
        <v>118</v>
      </c>
      <c r="F97" t="s">
        <v>359</v>
      </c>
      <c r="G97" t="s">
        <v>77</v>
      </c>
      <c r="H97">
        <v>237.13</v>
      </c>
      <c r="I97" t="s">
        <v>49</v>
      </c>
      <c r="J97" t="s">
        <v>41</v>
      </c>
      <c r="K97">
        <v>27</v>
      </c>
      <c r="L97">
        <v>3</v>
      </c>
    </row>
    <row r="98" spans="1:12" x14ac:dyDescent="0.2">
      <c r="A98" t="s">
        <v>360</v>
      </c>
      <c r="B98" t="s">
        <v>361</v>
      </c>
      <c r="C98" t="s">
        <v>44</v>
      </c>
      <c r="D98" t="s">
        <v>15</v>
      </c>
      <c r="E98" t="s">
        <v>144</v>
      </c>
      <c r="F98" t="s">
        <v>362</v>
      </c>
      <c r="G98" t="s">
        <v>77</v>
      </c>
      <c r="H98">
        <v>306.05</v>
      </c>
      <c r="I98" t="s">
        <v>49</v>
      </c>
      <c r="J98" t="s">
        <v>50</v>
      </c>
      <c r="K98">
        <v>64</v>
      </c>
      <c r="L98">
        <v>4</v>
      </c>
    </row>
    <row r="99" spans="1:12" x14ac:dyDescent="0.2">
      <c r="A99" t="s">
        <v>363</v>
      </c>
      <c r="B99" t="s">
        <v>364</v>
      </c>
      <c r="C99" t="s">
        <v>44</v>
      </c>
      <c r="D99" t="s">
        <v>80</v>
      </c>
      <c r="E99" t="s">
        <v>113</v>
      </c>
      <c r="F99" t="s">
        <v>365</v>
      </c>
      <c r="G99" t="s">
        <v>40</v>
      </c>
      <c r="H99">
        <v>264.58</v>
      </c>
      <c r="I99" t="s">
        <v>19</v>
      </c>
      <c r="J99" t="s">
        <v>41</v>
      </c>
      <c r="K99">
        <v>40</v>
      </c>
      <c r="L99">
        <v>5</v>
      </c>
    </row>
    <row r="100" spans="1:12" x14ac:dyDescent="0.2">
      <c r="A100" t="s">
        <v>366</v>
      </c>
      <c r="B100" t="s">
        <v>367</v>
      </c>
      <c r="C100" t="s">
        <v>117</v>
      </c>
      <c r="D100" t="s">
        <v>15</v>
      </c>
      <c r="E100" t="s">
        <v>349</v>
      </c>
      <c r="F100" t="s">
        <v>98</v>
      </c>
      <c r="G100" t="s">
        <v>57</v>
      </c>
      <c r="H100">
        <v>136.11000000000001</v>
      </c>
      <c r="I100" t="s">
        <v>122</v>
      </c>
      <c r="J100" t="s">
        <v>41</v>
      </c>
      <c r="K100">
        <v>51</v>
      </c>
      <c r="L100">
        <v>2</v>
      </c>
    </row>
    <row r="101" spans="1:12" x14ac:dyDescent="0.2">
      <c r="A101" t="s">
        <v>368</v>
      </c>
      <c r="B101" t="s">
        <v>369</v>
      </c>
      <c r="C101" t="s">
        <v>53</v>
      </c>
      <c r="D101" t="s">
        <v>89</v>
      </c>
      <c r="E101" t="s">
        <v>238</v>
      </c>
      <c r="F101" t="s">
        <v>370</v>
      </c>
      <c r="G101" t="s">
        <v>91</v>
      </c>
      <c r="H101">
        <v>342.57</v>
      </c>
      <c r="I101" t="s">
        <v>19</v>
      </c>
      <c r="J101" t="s">
        <v>26</v>
      </c>
      <c r="K101">
        <v>32</v>
      </c>
      <c r="L101">
        <v>2</v>
      </c>
    </row>
    <row r="102" spans="1:12" x14ac:dyDescent="0.2">
      <c r="A102" t="s">
        <v>371</v>
      </c>
      <c r="B102" t="s">
        <v>372</v>
      </c>
      <c r="C102" t="s">
        <v>53</v>
      </c>
      <c r="D102" t="s">
        <v>89</v>
      </c>
      <c r="E102" t="s">
        <v>46</v>
      </c>
      <c r="F102" t="s">
        <v>63</v>
      </c>
      <c r="G102" t="s">
        <v>40</v>
      </c>
      <c r="H102">
        <v>455.4</v>
      </c>
      <c r="I102" t="s">
        <v>65</v>
      </c>
      <c r="J102" t="s">
        <v>20</v>
      </c>
      <c r="K102">
        <v>75</v>
      </c>
    </row>
    <row r="103" spans="1:12" x14ac:dyDescent="0.2">
      <c r="A103" t="s">
        <v>373</v>
      </c>
      <c r="B103" t="s">
        <v>374</v>
      </c>
      <c r="C103" t="s">
        <v>23</v>
      </c>
      <c r="D103" t="s">
        <v>74</v>
      </c>
      <c r="E103" t="s">
        <v>24</v>
      </c>
      <c r="F103" t="s">
        <v>334</v>
      </c>
      <c r="G103" t="s">
        <v>40</v>
      </c>
      <c r="H103">
        <v>245.81</v>
      </c>
      <c r="I103" t="s">
        <v>19</v>
      </c>
      <c r="J103" t="s">
        <v>41</v>
      </c>
      <c r="K103">
        <v>81</v>
      </c>
    </row>
    <row r="104" spans="1:12" x14ac:dyDescent="0.2">
      <c r="A104" t="s">
        <v>375</v>
      </c>
      <c r="B104" t="s">
        <v>228</v>
      </c>
      <c r="C104" t="s">
        <v>73</v>
      </c>
      <c r="D104" t="s">
        <v>80</v>
      </c>
      <c r="E104" t="s">
        <v>97</v>
      </c>
      <c r="F104" t="s">
        <v>190</v>
      </c>
      <c r="G104" t="s">
        <v>64</v>
      </c>
      <c r="H104">
        <v>357.48</v>
      </c>
      <c r="I104" t="s">
        <v>49</v>
      </c>
      <c r="J104" t="s">
        <v>20</v>
      </c>
      <c r="K104">
        <v>64</v>
      </c>
      <c r="L104">
        <v>1</v>
      </c>
    </row>
    <row r="105" spans="1:12" x14ac:dyDescent="0.2">
      <c r="A105" t="s">
        <v>376</v>
      </c>
      <c r="B105" t="s">
        <v>377</v>
      </c>
      <c r="C105" t="s">
        <v>73</v>
      </c>
      <c r="D105" t="s">
        <v>80</v>
      </c>
      <c r="E105" t="s">
        <v>129</v>
      </c>
      <c r="F105" t="s">
        <v>378</v>
      </c>
      <c r="G105" t="s">
        <v>64</v>
      </c>
      <c r="H105">
        <v>336.31</v>
      </c>
      <c r="I105" t="s">
        <v>19</v>
      </c>
      <c r="J105" t="s">
        <v>50</v>
      </c>
      <c r="K105">
        <v>90</v>
      </c>
      <c r="L105">
        <v>2</v>
      </c>
    </row>
    <row r="106" spans="1:12" x14ac:dyDescent="0.2">
      <c r="A106" t="s">
        <v>379</v>
      </c>
      <c r="B106" t="s">
        <v>380</v>
      </c>
      <c r="C106" t="s">
        <v>117</v>
      </c>
      <c r="D106" t="s">
        <v>80</v>
      </c>
      <c r="E106" t="s">
        <v>144</v>
      </c>
      <c r="F106" t="s">
        <v>381</v>
      </c>
      <c r="G106" t="s">
        <v>18</v>
      </c>
      <c r="H106">
        <v>207.71</v>
      </c>
      <c r="I106" t="s">
        <v>49</v>
      </c>
      <c r="J106" t="s">
        <v>50</v>
      </c>
      <c r="K106">
        <v>78</v>
      </c>
      <c r="L106">
        <v>1</v>
      </c>
    </row>
    <row r="107" spans="1:12" x14ac:dyDescent="0.2">
      <c r="A107" t="s">
        <v>382</v>
      </c>
      <c r="B107" t="s">
        <v>383</v>
      </c>
      <c r="C107" t="s">
        <v>44</v>
      </c>
      <c r="D107" t="s">
        <v>37</v>
      </c>
      <c r="E107" t="s">
        <v>38</v>
      </c>
      <c r="F107" t="s">
        <v>384</v>
      </c>
      <c r="G107" t="s">
        <v>33</v>
      </c>
      <c r="H107">
        <v>428.84</v>
      </c>
      <c r="I107" t="s">
        <v>65</v>
      </c>
      <c r="J107" t="s">
        <v>50</v>
      </c>
      <c r="K107">
        <v>46</v>
      </c>
      <c r="L107">
        <v>3</v>
      </c>
    </row>
    <row r="108" spans="1:12" x14ac:dyDescent="0.2">
      <c r="A108" t="s">
        <v>385</v>
      </c>
      <c r="B108" t="s">
        <v>386</v>
      </c>
      <c r="C108" t="s">
        <v>60</v>
      </c>
      <c r="D108" t="s">
        <v>74</v>
      </c>
      <c r="E108" t="s">
        <v>144</v>
      </c>
      <c r="F108" t="s">
        <v>387</v>
      </c>
      <c r="G108" t="s">
        <v>48</v>
      </c>
      <c r="H108">
        <v>442.66</v>
      </c>
      <c r="I108" t="s">
        <v>65</v>
      </c>
      <c r="J108" t="s">
        <v>26</v>
      </c>
      <c r="K108">
        <v>64</v>
      </c>
      <c r="L108">
        <v>2</v>
      </c>
    </row>
    <row r="109" spans="1:12" x14ac:dyDescent="0.2">
      <c r="A109" t="s">
        <v>388</v>
      </c>
      <c r="B109" t="s">
        <v>389</v>
      </c>
      <c r="C109" t="s">
        <v>73</v>
      </c>
      <c r="D109" t="s">
        <v>45</v>
      </c>
      <c r="E109" t="s">
        <v>81</v>
      </c>
      <c r="F109" t="s">
        <v>390</v>
      </c>
      <c r="G109" t="s">
        <v>91</v>
      </c>
      <c r="H109">
        <v>216.87</v>
      </c>
      <c r="I109" t="s">
        <v>19</v>
      </c>
      <c r="J109" t="s">
        <v>41</v>
      </c>
      <c r="K109">
        <v>80</v>
      </c>
      <c r="L109">
        <v>1</v>
      </c>
    </row>
    <row r="110" spans="1:12" x14ac:dyDescent="0.2">
      <c r="A110" t="s">
        <v>391</v>
      </c>
      <c r="B110" t="s">
        <v>392</v>
      </c>
      <c r="C110" t="s">
        <v>29</v>
      </c>
      <c r="D110" t="s">
        <v>74</v>
      </c>
      <c r="E110" t="s">
        <v>272</v>
      </c>
      <c r="F110" t="s">
        <v>393</v>
      </c>
      <c r="G110" t="s">
        <v>48</v>
      </c>
      <c r="H110">
        <v>268.2</v>
      </c>
      <c r="I110" t="s">
        <v>122</v>
      </c>
      <c r="J110" t="s">
        <v>50</v>
      </c>
      <c r="K110">
        <v>47</v>
      </c>
      <c r="L110">
        <v>4</v>
      </c>
    </row>
    <row r="111" spans="1:12" x14ac:dyDescent="0.2">
      <c r="A111" t="s">
        <v>394</v>
      </c>
      <c r="B111" t="s">
        <v>395</v>
      </c>
      <c r="C111" t="s">
        <v>44</v>
      </c>
      <c r="D111" t="s">
        <v>139</v>
      </c>
      <c r="E111" t="s">
        <v>140</v>
      </c>
      <c r="F111" t="s">
        <v>396</v>
      </c>
      <c r="G111" t="s">
        <v>33</v>
      </c>
      <c r="H111">
        <v>262.43</v>
      </c>
      <c r="I111" t="s">
        <v>19</v>
      </c>
      <c r="J111" t="s">
        <v>26</v>
      </c>
      <c r="K111">
        <v>39</v>
      </c>
      <c r="L111">
        <v>3</v>
      </c>
    </row>
    <row r="112" spans="1:12" x14ac:dyDescent="0.2">
      <c r="A112" t="s">
        <v>397</v>
      </c>
      <c r="B112" t="s">
        <v>398</v>
      </c>
      <c r="C112" t="s">
        <v>29</v>
      </c>
      <c r="D112" t="s">
        <v>89</v>
      </c>
      <c r="E112" t="s">
        <v>31</v>
      </c>
      <c r="F112" t="s">
        <v>399</v>
      </c>
      <c r="G112" t="s">
        <v>64</v>
      </c>
      <c r="H112">
        <v>331.37</v>
      </c>
      <c r="I112" t="s">
        <v>65</v>
      </c>
      <c r="J112" t="s">
        <v>50</v>
      </c>
      <c r="K112">
        <v>65</v>
      </c>
      <c r="L112">
        <v>5</v>
      </c>
    </row>
    <row r="113" spans="1:12" x14ac:dyDescent="0.2">
      <c r="A113" t="s">
        <v>400</v>
      </c>
      <c r="B113" t="s">
        <v>401</v>
      </c>
      <c r="C113" t="s">
        <v>23</v>
      </c>
      <c r="D113" t="s">
        <v>139</v>
      </c>
      <c r="E113" t="s">
        <v>113</v>
      </c>
      <c r="F113" t="s">
        <v>110</v>
      </c>
      <c r="G113" t="s">
        <v>48</v>
      </c>
      <c r="H113">
        <v>328.86</v>
      </c>
      <c r="I113" t="s">
        <v>65</v>
      </c>
      <c r="J113" t="s">
        <v>41</v>
      </c>
      <c r="K113">
        <v>86</v>
      </c>
    </row>
    <row r="114" spans="1:12" x14ac:dyDescent="0.2">
      <c r="A114" t="s">
        <v>402</v>
      </c>
      <c r="B114" t="s">
        <v>138</v>
      </c>
      <c r="C114" t="s">
        <v>60</v>
      </c>
      <c r="D114" t="s">
        <v>74</v>
      </c>
      <c r="E114" t="s">
        <v>75</v>
      </c>
      <c r="F114" t="s">
        <v>403</v>
      </c>
      <c r="G114" t="s">
        <v>77</v>
      </c>
      <c r="H114">
        <v>118.58</v>
      </c>
      <c r="I114" t="s">
        <v>49</v>
      </c>
      <c r="J114" t="s">
        <v>50</v>
      </c>
      <c r="K114">
        <v>88</v>
      </c>
      <c r="L114">
        <v>3</v>
      </c>
    </row>
    <row r="115" spans="1:12" x14ac:dyDescent="0.2">
      <c r="A115" t="s">
        <v>404</v>
      </c>
      <c r="B115" t="s">
        <v>405</v>
      </c>
      <c r="C115" t="s">
        <v>14</v>
      </c>
      <c r="D115" t="s">
        <v>45</v>
      </c>
      <c r="E115" t="s">
        <v>62</v>
      </c>
      <c r="F115" t="s">
        <v>406</v>
      </c>
      <c r="G115" t="s">
        <v>57</v>
      </c>
      <c r="H115">
        <v>468.27</v>
      </c>
      <c r="I115" t="s">
        <v>122</v>
      </c>
      <c r="J115" t="s">
        <v>41</v>
      </c>
      <c r="K115">
        <v>38</v>
      </c>
    </row>
    <row r="116" spans="1:12" x14ac:dyDescent="0.2">
      <c r="A116" t="s">
        <v>407</v>
      </c>
      <c r="B116" t="s">
        <v>408</v>
      </c>
      <c r="C116" t="s">
        <v>117</v>
      </c>
      <c r="D116" t="s">
        <v>74</v>
      </c>
      <c r="E116" t="s">
        <v>46</v>
      </c>
      <c r="F116" t="s">
        <v>409</v>
      </c>
      <c r="G116" t="s">
        <v>40</v>
      </c>
      <c r="H116">
        <v>190.22</v>
      </c>
      <c r="I116" t="s">
        <v>65</v>
      </c>
      <c r="J116" t="s">
        <v>26</v>
      </c>
      <c r="K116">
        <v>48</v>
      </c>
      <c r="L116">
        <v>1</v>
      </c>
    </row>
    <row r="117" spans="1:12" x14ac:dyDescent="0.2">
      <c r="A117" t="s">
        <v>410</v>
      </c>
      <c r="B117" t="s">
        <v>411</v>
      </c>
      <c r="C117" t="s">
        <v>60</v>
      </c>
      <c r="D117" t="s">
        <v>15</v>
      </c>
      <c r="E117" t="s">
        <v>129</v>
      </c>
      <c r="F117" t="s">
        <v>412</v>
      </c>
      <c r="G117" t="s">
        <v>91</v>
      </c>
      <c r="H117">
        <v>466.95</v>
      </c>
      <c r="I117" t="s">
        <v>19</v>
      </c>
      <c r="J117" t="s">
        <v>50</v>
      </c>
      <c r="K117">
        <v>64</v>
      </c>
      <c r="L117">
        <v>2</v>
      </c>
    </row>
    <row r="118" spans="1:12" x14ac:dyDescent="0.2">
      <c r="A118" t="s">
        <v>413</v>
      </c>
      <c r="B118" t="s">
        <v>414</v>
      </c>
      <c r="C118" t="s">
        <v>73</v>
      </c>
      <c r="D118" t="s">
        <v>45</v>
      </c>
      <c r="E118" t="s">
        <v>317</v>
      </c>
      <c r="F118" t="s">
        <v>415</v>
      </c>
      <c r="G118" t="s">
        <v>18</v>
      </c>
      <c r="H118">
        <v>260.33999999999997</v>
      </c>
      <c r="I118" t="s">
        <v>65</v>
      </c>
      <c r="J118" t="s">
        <v>26</v>
      </c>
      <c r="K118">
        <v>63</v>
      </c>
      <c r="L118">
        <v>2</v>
      </c>
    </row>
    <row r="119" spans="1:12" x14ac:dyDescent="0.2">
      <c r="A119" t="s">
        <v>416</v>
      </c>
      <c r="B119" t="s">
        <v>417</v>
      </c>
      <c r="C119" t="s">
        <v>106</v>
      </c>
      <c r="D119" t="s">
        <v>45</v>
      </c>
      <c r="E119" t="s">
        <v>140</v>
      </c>
      <c r="F119" t="s">
        <v>418</v>
      </c>
      <c r="G119" t="s">
        <v>33</v>
      </c>
      <c r="H119">
        <v>195.64</v>
      </c>
      <c r="I119" t="s">
        <v>65</v>
      </c>
      <c r="J119" t="s">
        <v>20</v>
      </c>
      <c r="K119">
        <v>58</v>
      </c>
      <c r="L119">
        <v>4</v>
      </c>
    </row>
    <row r="120" spans="1:12" x14ac:dyDescent="0.2">
      <c r="A120" t="s">
        <v>419</v>
      </c>
      <c r="B120" t="s">
        <v>420</v>
      </c>
      <c r="C120" t="s">
        <v>53</v>
      </c>
      <c r="D120" t="s">
        <v>45</v>
      </c>
      <c r="E120" t="s">
        <v>38</v>
      </c>
      <c r="F120" t="s">
        <v>421</v>
      </c>
      <c r="G120" t="s">
        <v>33</v>
      </c>
      <c r="H120">
        <v>151.66</v>
      </c>
      <c r="I120" t="s">
        <v>122</v>
      </c>
      <c r="J120" t="s">
        <v>50</v>
      </c>
      <c r="K120">
        <v>35</v>
      </c>
    </row>
    <row r="121" spans="1:12" x14ac:dyDescent="0.2">
      <c r="A121" t="s">
        <v>422</v>
      </c>
      <c r="B121" t="s">
        <v>423</v>
      </c>
      <c r="C121" t="s">
        <v>29</v>
      </c>
      <c r="D121" t="s">
        <v>139</v>
      </c>
      <c r="E121" t="s">
        <v>31</v>
      </c>
      <c r="F121" t="s">
        <v>424</v>
      </c>
      <c r="G121" t="s">
        <v>57</v>
      </c>
      <c r="H121">
        <v>208.83</v>
      </c>
      <c r="I121" t="s">
        <v>122</v>
      </c>
      <c r="J121" t="s">
        <v>20</v>
      </c>
      <c r="K121">
        <v>17</v>
      </c>
      <c r="L121">
        <v>3</v>
      </c>
    </row>
    <row r="122" spans="1:12" x14ac:dyDescent="0.2">
      <c r="A122" t="s">
        <v>425</v>
      </c>
      <c r="B122" t="s">
        <v>426</v>
      </c>
      <c r="C122" t="s">
        <v>68</v>
      </c>
      <c r="D122" t="s">
        <v>15</v>
      </c>
      <c r="E122" t="s">
        <v>118</v>
      </c>
      <c r="F122" t="s">
        <v>162</v>
      </c>
      <c r="G122" t="s">
        <v>64</v>
      </c>
      <c r="H122">
        <v>200.43</v>
      </c>
      <c r="I122" t="s">
        <v>122</v>
      </c>
      <c r="J122" t="s">
        <v>20</v>
      </c>
      <c r="K122">
        <v>46</v>
      </c>
      <c r="L122">
        <v>1</v>
      </c>
    </row>
    <row r="123" spans="1:12" x14ac:dyDescent="0.2">
      <c r="A123" t="s">
        <v>427</v>
      </c>
      <c r="B123" t="s">
        <v>428</v>
      </c>
      <c r="C123" t="s">
        <v>117</v>
      </c>
      <c r="D123" t="s">
        <v>54</v>
      </c>
      <c r="E123" t="s">
        <v>16</v>
      </c>
      <c r="F123" t="s">
        <v>403</v>
      </c>
      <c r="G123" t="s">
        <v>48</v>
      </c>
      <c r="H123">
        <v>180.28</v>
      </c>
      <c r="I123" t="s">
        <v>122</v>
      </c>
      <c r="J123" t="s">
        <v>50</v>
      </c>
      <c r="K123">
        <v>42</v>
      </c>
      <c r="L123">
        <v>5</v>
      </c>
    </row>
    <row r="124" spans="1:12" x14ac:dyDescent="0.2">
      <c r="A124" t="s">
        <v>429</v>
      </c>
      <c r="B124" t="s">
        <v>430</v>
      </c>
      <c r="C124" t="s">
        <v>68</v>
      </c>
      <c r="D124" t="s">
        <v>89</v>
      </c>
      <c r="E124" t="s">
        <v>97</v>
      </c>
      <c r="F124" t="s">
        <v>431</v>
      </c>
      <c r="G124" t="s">
        <v>48</v>
      </c>
      <c r="H124">
        <v>414</v>
      </c>
      <c r="I124" t="s">
        <v>122</v>
      </c>
      <c r="J124" t="s">
        <v>26</v>
      </c>
      <c r="K124">
        <v>46</v>
      </c>
      <c r="L124">
        <v>3</v>
      </c>
    </row>
    <row r="125" spans="1:12" x14ac:dyDescent="0.2">
      <c r="A125" t="s">
        <v>432</v>
      </c>
      <c r="B125" t="s">
        <v>433</v>
      </c>
      <c r="C125" t="s">
        <v>60</v>
      </c>
      <c r="D125" t="s">
        <v>80</v>
      </c>
      <c r="E125" t="s">
        <v>302</v>
      </c>
      <c r="F125" t="s">
        <v>434</v>
      </c>
      <c r="G125" t="s">
        <v>18</v>
      </c>
      <c r="H125">
        <v>347.68</v>
      </c>
      <c r="I125" t="s">
        <v>19</v>
      </c>
      <c r="J125" t="s">
        <v>50</v>
      </c>
      <c r="K125">
        <v>20</v>
      </c>
    </row>
    <row r="126" spans="1:12" x14ac:dyDescent="0.2">
      <c r="A126" t="s">
        <v>435</v>
      </c>
      <c r="B126" t="s">
        <v>436</v>
      </c>
      <c r="C126" t="s">
        <v>117</v>
      </c>
      <c r="D126" t="s">
        <v>37</v>
      </c>
      <c r="E126" t="s">
        <v>118</v>
      </c>
      <c r="F126" t="s">
        <v>437</v>
      </c>
      <c r="G126" t="s">
        <v>18</v>
      </c>
      <c r="H126">
        <v>327.78</v>
      </c>
      <c r="I126" t="s">
        <v>49</v>
      </c>
      <c r="J126" t="s">
        <v>20</v>
      </c>
      <c r="K126">
        <v>16</v>
      </c>
      <c r="L126">
        <v>2</v>
      </c>
    </row>
    <row r="127" spans="1:12" x14ac:dyDescent="0.2">
      <c r="A127" t="s">
        <v>438</v>
      </c>
      <c r="B127" t="s">
        <v>439</v>
      </c>
      <c r="C127" t="s">
        <v>44</v>
      </c>
      <c r="D127" t="s">
        <v>125</v>
      </c>
      <c r="E127" t="s">
        <v>85</v>
      </c>
      <c r="F127" t="s">
        <v>440</v>
      </c>
      <c r="G127" t="s">
        <v>77</v>
      </c>
      <c r="H127">
        <v>381.05</v>
      </c>
      <c r="I127" t="s">
        <v>122</v>
      </c>
      <c r="J127" t="s">
        <v>50</v>
      </c>
      <c r="K127">
        <v>16</v>
      </c>
      <c r="L127">
        <v>3</v>
      </c>
    </row>
    <row r="128" spans="1:12" x14ac:dyDescent="0.2">
      <c r="A128" t="s">
        <v>441</v>
      </c>
      <c r="B128" t="s">
        <v>442</v>
      </c>
      <c r="C128" t="s">
        <v>14</v>
      </c>
      <c r="D128" t="s">
        <v>89</v>
      </c>
      <c r="E128" t="s">
        <v>31</v>
      </c>
      <c r="F128" t="s">
        <v>443</v>
      </c>
      <c r="G128" t="s">
        <v>57</v>
      </c>
      <c r="H128">
        <v>340.09</v>
      </c>
      <c r="I128" t="s">
        <v>19</v>
      </c>
      <c r="J128" t="s">
        <v>41</v>
      </c>
      <c r="K128">
        <v>48</v>
      </c>
      <c r="L128">
        <v>4</v>
      </c>
    </row>
    <row r="129" spans="1:12" x14ac:dyDescent="0.2">
      <c r="A129" t="s">
        <v>444</v>
      </c>
      <c r="B129" t="s">
        <v>445</v>
      </c>
      <c r="C129" t="s">
        <v>117</v>
      </c>
      <c r="D129" t="s">
        <v>15</v>
      </c>
      <c r="E129" t="s">
        <v>238</v>
      </c>
      <c r="F129" t="s">
        <v>446</v>
      </c>
      <c r="G129" t="s">
        <v>91</v>
      </c>
      <c r="H129">
        <v>286.14</v>
      </c>
      <c r="I129" t="s">
        <v>19</v>
      </c>
      <c r="J129" t="s">
        <v>41</v>
      </c>
      <c r="K129">
        <v>72</v>
      </c>
      <c r="L129">
        <v>4</v>
      </c>
    </row>
    <row r="130" spans="1:12" x14ac:dyDescent="0.2">
      <c r="A130" t="s">
        <v>447</v>
      </c>
      <c r="B130" t="s">
        <v>448</v>
      </c>
      <c r="C130" t="s">
        <v>60</v>
      </c>
      <c r="D130" t="s">
        <v>89</v>
      </c>
      <c r="E130" t="s">
        <v>75</v>
      </c>
      <c r="F130" t="s">
        <v>449</v>
      </c>
      <c r="G130" t="s">
        <v>77</v>
      </c>
      <c r="H130">
        <v>465.68</v>
      </c>
      <c r="I130" t="s">
        <v>65</v>
      </c>
      <c r="J130" t="s">
        <v>50</v>
      </c>
      <c r="K130">
        <v>84</v>
      </c>
    </row>
    <row r="131" spans="1:12" x14ac:dyDescent="0.2">
      <c r="A131" t="s">
        <v>450</v>
      </c>
      <c r="B131" t="s">
        <v>451</v>
      </c>
      <c r="C131" t="s">
        <v>68</v>
      </c>
      <c r="D131" t="s">
        <v>61</v>
      </c>
      <c r="E131" t="s">
        <v>317</v>
      </c>
      <c r="F131" t="s">
        <v>452</v>
      </c>
      <c r="G131" t="s">
        <v>57</v>
      </c>
      <c r="H131">
        <v>61.16</v>
      </c>
      <c r="I131" t="s">
        <v>65</v>
      </c>
      <c r="J131" t="s">
        <v>50</v>
      </c>
      <c r="K131">
        <v>16</v>
      </c>
    </row>
    <row r="132" spans="1:12" x14ac:dyDescent="0.2">
      <c r="A132" t="s">
        <v>453</v>
      </c>
      <c r="B132" t="s">
        <v>454</v>
      </c>
      <c r="C132" t="s">
        <v>23</v>
      </c>
      <c r="D132" t="s">
        <v>15</v>
      </c>
      <c r="E132" t="s">
        <v>75</v>
      </c>
      <c r="F132" t="s">
        <v>126</v>
      </c>
      <c r="G132" t="s">
        <v>77</v>
      </c>
      <c r="H132">
        <v>213.14</v>
      </c>
      <c r="I132" t="s">
        <v>49</v>
      </c>
      <c r="J132" t="s">
        <v>26</v>
      </c>
      <c r="K132">
        <v>16</v>
      </c>
      <c r="L132">
        <v>2</v>
      </c>
    </row>
    <row r="133" spans="1:12" x14ac:dyDescent="0.2">
      <c r="A133" t="s">
        <v>455</v>
      </c>
      <c r="B133" t="s">
        <v>456</v>
      </c>
      <c r="C133" t="s">
        <v>29</v>
      </c>
      <c r="D133" t="s">
        <v>139</v>
      </c>
      <c r="E133" t="s">
        <v>132</v>
      </c>
      <c r="F133" t="s">
        <v>457</v>
      </c>
      <c r="G133" t="s">
        <v>91</v>
      </c>
      <c r="H133">
        <v>299</v>
      </c>
      <c r="I133" t="s">
        <v>65</v>
      </c>
      <c r="J133" t="s">
        <v>26</v>
      </c>
      <c r="K133">
        <v>57</v>
      </c>
      <c r="L133">
        <v>3</v>
      </c>
    </row>
    <row r="134" spans="1:12" x14ac:dyDescent="0.2">
      <c r="A134" t="s">
        <v>458</v>
      </c>
      <c r="B134" t="s">
        <v>459</v>
      </c>
      <c r="C134" t="s">
        <v>60</v>
      </c>
      <c r="D134" t="s">
        <v>61</v>
      </c>
      <c r="E134" t="s">
        <v>85</v>
      </c>
      <c r="F134" t="s">
        <v>202</v>
      </c>
      <c r="G134" t="s">
        <v>57</v>
      </c>
      <c r="H134">
        <v>239.12</v>
      </c>
      <c r="I134" t="s">
        <v>19</v>
      </c>
      <c r="J134" t="s">
        <v>20</v>
      </c>
      <c r="K134">
        <v>42</v>
      </c>
      <c r="L134">
        <v>1</v>
      </c>
    </row>
    <row r="135" spans="1:12" x14ac:dyDescent="0.2">
      <c r="A135" t="s">
        <v>460</v>
      </c>
      <c r="B135" t="s">
        <v>461</v>
      </c>
      <c r="C135" t="s">
        <v>29</v>
      </c>
      <c r="D135" t="s">
        <v>45</v>
      </c>
      <c r="E135" t="s">
        <v>343</v>
      </c>
      <c r="F135" t="s">
        <v>462</v>
      </c>
      <c r="G135" t="s">
        <v>40</v>
      </c>
      <c r="H135">
        <v>50.94</v>
      </c>
      <c r="I135" t="s">
        <v>65</v>
      </c>
      <c r="J135" t="s">
        <v>50</v>
      </c>
      <c r="K135">
        <v>36</v>
      </c>
      <c r="L135">
        <v>5</v>
      </c>
    </row>
    <row r="136" spans="1:12" x14ac:dyDescent="0.2">
      <c r="A136" t="s">
        <v>463</v>
      </c>
      <c r="B136" t="s">
        <v>464</v>
      </c>
      <c r="C136" t="s">
        <v>73</v>
      </c>
      <c r="D136" t="s">
        <v>45</v>
      </c>
      <c r="E136" t="s">
        <v>272</v>
      </c>
      <c r="F136" t="s">
        <v>465</v>
      </c>
      <c r="G136" t="s">
        <v>40</v>
      </c>
      <c r="H136">
        <v>467.24</v>
      </c>
      <c r="I136" t="s">
        <v>49</v>
      </c>
      <c r="J136" t="s">
        <v>50</v>
      </c>
      <c r="K136">
        <v>78</v>
      </c>
      <c r="L136">
        <v>2</v>
      </c>
    </row>
    <row r="137" spans="1:12" x14ac:dyDescent="0.2">
      <c r="A137" t="s">
        <v>466</v>
      </c>
      <c r="B137" t="s">
        <v>467</v>
      </c>
      <c r="C137" t="s">
        <v>73</v>
      </c>
      <c r="D137" t="s">
        <v>80</v>
      </c>
      <c r="E137" t="s">
        <v>161</v>
      </c>
      <c r="F137" t="s">
        <v>359</v>
      </c>
      <c r="G137" t="s">
        <v>91</v>
      </c>
      <c r="H137">
        <v>96.49</v>
      </c>
      <c r="I137" t="s">
        <v>65</v>
      </c>
      <c r="J137" t="s">
        <v>26</v>
      </c>
      <c r="K137">
        <v>27</v>
      </c>
      <c r="L137">
        <v>4</v>
      </c>
    </row>
    <row r="138" spans="1:12" x14ac:dyDescent="0.2">
      <c r="A138" t="s">
        <v>468</v>
      </c>
      <c r="B138" t="s">
        <v>469</v>
      </c>
      <c r="C138" t="s">
        <v>68</v>
      </c>
      <c r="D138" t="s">
        <v>54</v>
      </c>
      <c r="E138" t="s">
        <v>140</v>
      </c>
      <c r="F138" t="s">
        <v>470</v>
      </c>
      <c r="G138" t="s">
        <v>77</v>
      </c>
      <c r="H138">
        <v>300.44</v>
      </c>
      <c r="I138" t="s">
        <v>49</v>
      </c>
      <c r="J138" t="s">
        <v>50</v>
      </c>
      <c r="K138">
        <v>74</v>
      </c>
      <c r="L138">
        <v>3</v>
      </c>
    </row>
    <row r="139" spans="1:12" x14ac:dyDescent="0.2">
      <c r="A139" t="s">
        <v>471</v>
      </c>
      <c r="B139" t="s">
        <v>472</v>
      </c>
      <c r="C139" t="s">
        <v>68</v>
      </c>
      <c r="D139" t="s">
        <v>74</v>
      </c>
      <c r="E139" t="s">
        <v>473</v>
      </c>
      <c r="F139" t="s">
        <v>76</v>
      </c>
      <c r="G139" t="s">
        <v>91</v>
      </c>
      <c r="H139">
        <v>98.53</v>
      </c>
      <c r="I139" t="s">
        <v>65</v>
      </c>
      <c r="J139" t="s">
        <v>26</v>
      </c>
      <c r="K139">
        <v>68</v>
      </c>
      <c r="L139">
        <v>3</v>
      </c>
    </row>
    <row r="140" spans="1:12" x14ac:dyDescent="0.2">
      <c r="A140" t="s">
        <v>474</v>
      </c>
      <c r="B140" t="s">
        <v>475</v>
      </c>
      <c r="C140" t="s">
        <v>73</v>
      </c>
      <c r="D140" t="s">
        <v>45</v>
      </c>
      <c r="E140" t="s">
        <v>97</v>
      </c>
      <c r="F140" t="s">
        <v>476</v>
      </c>
      <c r="G140" t="s">
        <v>91</v>
      </c>
      <c r="H140">
        <v>404.26</v>
      </c>
      <c r="I140" t="s">
        <v>65</v>
      </c>
      <c r="J140" t="s">
        <v>50</v>
      </c>
      <c r="K140">
        <v>79</v>
      </c>
    </row>
    <row r="141" spans="1:12" x14ac:dyDescent="0.2">
      <c r="A141" t="s">
        <v>477</v>
      </c>
      <c r="B141" t="s">
        <v>478</v>
      </c>
      <c r="C141" t="s">
        <v>117</v>
      </c>
      <c r="D141" t="s">
        <v>37</v>
      </c>
      <c r="E141" t="s">
        <v>38</v>
      </c>
      <c r="F141" t="s">
        <v>479</v>
      </c>
      <c r="G141" t="s">
        <v>64</v>
      </c>
      <c r="H141">
        <v>120.23</v>
      </c>
      <c r="I141" t="s">
        <v>49</v>
      </c>
      <c r="J141" t="s">
        <v>41</v>
      </c>
      <c r="K141">
        <v>16</v>
      </c>
      <c r="L141">
        <v>3</v>
      </c>
    </row>
    <row r="142" spans="1:12" x14ac:dyDescent="0.2">
      <c r="A142" t="s">
        <v>480</v>
      </c>
      <c r="B142" t="s">
        <v>481</v>
      </c>
      <c r="C142" t="s">
        <v>14</v>
      </c>
      <c r="D142" t="s">
        <v>80</v>
      </c>
      <c r="E142" t="s">
        <v>198</v>
      </c>
      <c r="F142" t="s">
        <v>482</v>
      </c>
      <c r="G142" t="s">
        <v>48</v>
      </c>
      <c r="H142">
        <v>187.43</v>
      </c>
      <c r="I142" t="s">
        <v>49</v>
      </c>
      <c r="J142" t="s">
        <v>50</v>
      </c>
      <c r="K142">
        <v>15</v>
      </c>
    </row>
    <row r="143" spans="1:12" x14ac:dyDescent="0.2">
      <c r="A143" t="s">
        <v>483</v>
      </c>
      <c r="B143" t="s">
        <v>484</v>
      </c>
      <c r="C143" t="s">
        <v>23</v>
      </c>
      <c r="D143" t="s">
        <v>139</v>
      </c>
      <c r="E143" t="s">
        <v>75</v>
      </c>
      <c r="F143" t="s">
        <v>326</v>
      </c>
      <c r="G143" t="s">
        <v>57</v>
      </c>
      <c r="H143">
        <v>343.79</v>
      </c>
      <c r="I143" t="s">
        <v>19</v>
      </c>
      <c r="J143" t="s">
        <v>26</v>
      </c>
      <c r="K143">
        <v>62</v>
      </c>
      <c r="L143">
        <v>1</v>
      </c>
    </row>
    <row r="144" spans="1:12" x14ac:dyDescent="0.2">
      <c r="A144" t="s">
        <v>485</v>
      </c>
      <c r="B144" t="s">
        <v>486</v>
      </c>
      <c r="C144" t="s">
        <v>117</v>
      </c>
      <c r="D144" t="s">
        <v>15</v>
      </c>
      <c r="E144" t="s">
        <v>102</v>
      </c>
      <c r="F144" t="s">
        <v>155</v>
      </c>
      <c r="G144" t="s">
        <v>91</v>
      </c>
      <c r="H144">
        <v>298.39999999999998</v>
      </c>
      <c r="I144" t="s">
        <v>65</v>
      </c>
      <c r="J144" t="s">
        <v>20</v>
      </c>
      <c r="K144">
        <v>64</v>
      </c>
      <c r="L144">
        <v>5</v>
      </c>
    </row>
    <row r="145" spans="1:12" x14ac:dyDescent="0.2">
      <c r="A145" t="s">
        <v>487</v>
      </c>
      <c r="B145" t="s">
        <v>488</v>
      </c>
      <c r="C145" t="s">
        <v>23</v>
      </c>
      <c r="D145" t="s">
        <v>89</v>
      </c>
      <c r="E145" t="s">
        <v>81</v>
      </c>
      <c r="F145" t="s">
        <v>489</v>
      </c>
      <c r="G145" t="s">
        <v>57</v>
      </c>
      <c r="H145">
        <v>187.88</v>
      </c>
      <c r="I145" t="s">
        <v>49</v>
      </c>
      <c r="J145" t="s">
        <v>41</v>
      </c>
      <c r="K145">
        <v>62</v>
      </c>
      <c r="L145">
        <v>3</v>
      </c>
    </row>
    <row r="146" spans="1:12" x14ac:dyDescent="0.2">
      <c r="A146" t="s">
        <v>490</v>
      </c>
      <c r="B146" t="s">
        <v>491</v>
      </c>
      <c r="C146" t="s">
        <v>44</v>
      </c>
      <c r="D146" t="s">
        <v>80</v>
      </c>
      <c r="E146" t="s">
        <v>85</v>
      </c>
      <c r="F146" t="s">
        <v>285</v>
      </c>
      <c r="G146" t="s">
        <v>40</v>
      </c>
      <c r="H146">
        <v>345.07</v>
      </c>
      <c r="I146" t="s">
        <v>49</v>
      </c>
      <c r="J146" t="s">
        <v>26</v>
      </c>
      <c r="K146">
        <v>32</v>
      </c>
      <c r="L146">
        <v>4</v>
      </c>
    </row>
    <row r="147" spans="1:12" x14ac:dyDescent="0.2">
      <c r="A147" t="s">
        <v>492</v>
      </c>
      <c r="B147" t="s">
        <v>493</v>
      </c>
      <c r="C147" t="s">
        <v>60</v>
      </c>
      <c r="D147" t="s">
        <v>37</v>
      </c>
      <c r="E147" t="s">
        <v>140</v>
      </c>
      <c r="F147" t="s">
        <v>494</v>
      </c>
      <c r="G147" t="s">
        <v>33</v>
      </c>
      <c r="H147">
        <v>130.16</v>
      </c>
      <c r="I147" t="s">
        <v>65</v>
      </c>
      <c r="J147" t="s">
        <v>20</v>
      </c>
      <c r="K147">
        <v>79</v>
      </c>
    </row>
    <row r="148" spans="1:12" x14ac:dyDescent="0.2">
      <c r="A148" t="s">
        <v>495</v>
      </c>
      <c r="B148" t="s">
        <v>496</v>
      </c>
      <c r="C148" t="s">
        <v>44</v>
      </c>
      <c r="D148" t="s">
        <v>139</v>
      </c>
      <c r="E148" t="s">
        <v>154</v>
      </c>
      <c r="F148" t="s">
        <v>497</v>
      </c>
      <c r="G148" t="s">
        <v>64</v>
      </c>
      <c r="H148">
        <v>391.25</v>
      </c>
      <c r="I148" t="s">
        <v>122</v>
      </c>
      <c r="J148" t="s">
        <v>50</v>
      </c>
      <c r="K148">
        <v>57</v>
      </c>
      <c r="L148">
        <v>4</v>
      </c>
    </row>
    <row r="149" spans="1:12" x14ac:dyDescent="0.2">
      <c r="A149" t="s">
        <v>498</v>
      </c>
      <c r="B149" t="s">
        <v>499</v>
      </c>
      <c r="C149" t="s">
        <v>44</v>
      </c>
      <c r="D149" t="s">
        <v>37</v>
      </c>
      <c r="E149" t="s">
        <v>129</v>
      </c>
      <c r="F149" t="s">
        <v>165</v>
      </c>
      <c r="G149" t="s">
        <v>40</v>
      </c>
      <c r="H149">
        <v>77.02</v>
      </c>
      <c r="I149" t="s">
        <v>65</v>
      </c>
      <c r="J149" t="s">
        <v>50</v>
      </c>
      <c r="K149">
        <v>30</v>
      </c>
      <c r="L149">
        <v>5</v>
      </c>
    </row>
    <row r="150" spans="1:12" x14ac:dyDescent="0.2">
      <c r="A150" t="s">
        <v>500</v>
      </c>
      <c r="B150" t="s">
        <v>501</v>
      </c>
      <c r="C150" t="s">
        <v>68</v>
      </c>
      <c r="D150" t="s">
        <v>80</v>
      </c>
      <c r="E150" t="s">
        <v>38</v>
      </c>
      <c r="F150" t="s">
        <v>502</v>
      </c>
      <c r="G150" t="s">
        <v>57</v>
      </c>
      <c r="H150">
        <v>178</v>
      </c>
      <c r="I150" t="s">
        <v>122</v>
      </c>
      <c r="J150" t="s">
        <v>50</v>
      </c>
      <c r="K150">
        <v>89</v>
      </c>
      <c r="L150">
        <v>3</v>
      </c>
    </row>
    <row r="151" spans="1:12" x14ac:dyDescent="0.2">
      <c r="A151" t="s">
        <v>503</v>
      </c>
      <c r="B151" t="s">
        <v>504</v>
      </c>
      <c r="C151" t="s">
        <v>23</v>
      </c>
      <c r="D151" t="s">
        <v>89</v>
      </c>
      <c r="E151" t="s">
        <v>46</v>
      </c>
      <c r="F151" t="s">
        <v>421</v>
      </c>
      <c r="G151" t="s">
        <v>57</v>
      </c>
      <c r="H151">
        <v>228.79</v>
      </c>
      <c r="I151" t="s">
        <v>49</v>
      </c>
      <c r="J151" t="s">
        <v>50</v>
      </c>
      <c r="K151">
        <v>43</v>
      </c>
      <c r="L151">
        <v>1</v>
      </c>
    </row>
    <row r="152" spans="1:12" x14ac:dyDescent="0.2">
      <c r="A152" t="s">
        <v>505</v>
      </c>
      <c r="B152" t="s">
        <v>506</v>
      </c>
      <c r="C152" t="s">
        <v>73</v>
      </c>
      <c r="D152" t="s">
        <v>37</v>
      </c>
      <c r="E152" t="s">
        <v>257</v>
      </c>
      <c r="F152" t="s">
        <v>507</v>
      </c>
      <c r="G152" t="s">
        <v>57</v>
      </c>
      <c r="H152">
        <v>461.65</v>
      </c>
      <c r="I152" t="s">
        <v>49</v>
      </c>
      <c r="J152" t="s">
        <v>26</v>
      </c>
      <c r="K152">
        <v>85</v>
      </c>
      <c r="L152">
        <v>1</v>
      </c>
    </row>
    <row r="153" spans="1:12" x14ac:dyDescent="0.2">
      <c r="A153" t="s">
        <v>508</v>
      </c>
      <c r="B153" t="s">
        <v>509</v>
      </c>
      <c r="C153" t="s">
        <v>44</v>
      </c>
      <c r="D153" t="s">
        <v>139</v>
      </c>
      <c r="E153" t="s">
        <v>31</v>
      </c>
      <c r="F153" t="s">
        <v>510</v>
      </c>
      <c r="G153" t="s">
        <v>48</v>
      </c>
      <c r="H153">
        <v>152.05000000000001</v>
      </c>
      <c r="I153" t="s">
        <v>122</v>
      </c>
      <c r="J153" t="s">
        <v>41</v>
      </c>
      <c r="K153">
        <v>83</v>
      </c>
      <c r="L153">
        <v>4</v>
      </c>
    </row>
    <row r="154" spans="1:12" x14ac:dyDescent="0.2">
      <c r="A154" t="s">
        <v>511</v>
      </c>
      <c r="B154" t="s">
        <v>512</v>
      </c>
      <c r="C154" t="s">
        <v>29</v>
      </c>
      <c r="D154" t="s">
        <v>89</v>
      </c>
      <c r="E154" t="s">
        <v>272</v>
      </c>
      <c r="F154" t="s">
        <v>513</v>
      </c>
      <c r="G154" t="s">
        <v>64</v>
      </c>
      <c r="H154">
        <v>490.9</v>
      </c>
      <c r="I154" t="s">
        <v>122</v>
      </c>
      <c r="J154" t="s">
        <v>50</v>
      </c>
      <c r="K154">
        <v>29</v>
      </c>
    </row>
    <row r="155" spans="1:12" x14ac:dyDescent="0.2">
      <c r="A155" t="s">
        <v>514</v>
      </c>
      <c r="B155" t="s">
        <v>515</v>
      </c>
      <c r="C155" t="s">
        <v>68</v>
      </c>
      <c r="D155" t="s">
        <v>61</v>
      </c>
      <c r="E155" t="s">
        <v>81</v>
      </c>
      <c r="F155" t="s">
        <v>516</v>
      </c>
      <c r="G155" t="s">
        <v>48</v>
      </c>
      <c r="H155">
        <v>171.97</v>
      </c>
      <c r="I155" t="s">
        <v>122</v>
      </c>
      <c r="J155" t="s">
        <v>41</v>
      </c>
      <c r="K155">
        <v>64</v>
      </c>
      <c r="L155">
        <v>2</v>
      </c>
    </row>
    <row r="156" spans="1:12" x14ac:dyDescent="0.2">
      <c r="A156" t="s">
        <v>517</v>
      </c>
      <c r="B156" t="s">
        <v>518</v>
      </c>
      <c r="C156" t="s">
        <v>117</v>
      </c>
      <c r="D156" t="s">
        <v>80</v>
      </c>
      <c r="E156" t="s">
        <v>69</v>
      </c>
      <c r="F156" t="s">
        <v>519</v>
      </c>
      <c r="G156" t="s">
        <v>18</v>
      </c>
      <c r="H156">
        <v>432.83</v>
      </c>
      <c r="I156" t="s">
        <v>65</v>
      </c>
      <c r="J156" t="s">
        <v>41</v>
      </c>
      <c r="K156">
        <v>50</v>
      </c>
    </row>
    <row r="157" spans="1:12" x14ac:dyDescent="0.2">
      <c r="A157" t="s">
        <v>520</v>
      </c>
      <c r="B157" t="s">
        <v>521</v>
      </c>
      <c r="C157" t="s">
        <v>29</v>
      </c>
      <c r="D157" t="s">
        <v>45</v>
      </c>
      <c r="E157" t="s">
        <v>97</v>
      </c>
      <c r="F157" t="s">
        <v>522</v>
      </c>
      <c r="G157" t="s">
        <v>91</v>
      </c>
      <c r="H157">
        <v>265.64999999999998</v>
      </c>
      <c r="I157" t="s">
        <v>19</v>
      </c>
      <c r="J157" t="s">
        <v>41</v>
      </c>
      <c r="K157">
        <v>15</v>
      </c>
      <c r="L157">
        <v>2</v>
      </c>
    </row>
    <row r="158" spans="1:12" x14ac:dyDescent="0.2">
      <c r="A158" t="s">
        <v>523</v>
      </c>
      <c r="B158" t="s">
        <v>524</v>
      </c>
      <c r="C158" t="s">
        <v>14</v>
      </c>
      <c r="D158" t="s">
        <v>125</v>
      </c>
      <c r="E158" t="s">
        <v>198</v>
      </c>
      <c r="F158" t="s">
        <v>525</v>
      </c>
      <c r="G158" t="s">
        <v>18</v>
      </c>
      <c r="H158">
        <v>466.32</v>
      </c>
      <c r="I158" t="s">
        <v>19</v>
      </c>
      <c r="J158" t="s">
        <v>20</v>
      </c>
      <c r="K158">
        <v>47</v>
      </c>
      <c r="L158">
        <v>4</v>
      </c>
    </row>
    <row r="159" spans="1:12" x14ac:dyDescent="0.2">
      <c r="A159" t="s">
        <v>526</v>
      </c>
      <c r="B159" t="s">
        <v>527</v>
      </c>
      <c r="C159" t="s">
        <v>53</v>
      </c>
      <c r="D159" t="s">
        <v>15</v>
      </c>
      <c r="E159" t="s">
        <v>302</v>
      </c>
      <c r="F159" t="s">
        <v>528</v>
      </c>
      <c r="G159" t="s">
        <v>77</v>
      </c>
      <c r="H159">
        <v>499.89</v>
      </c>
      <c r="I159" t="s">
        <v>49</v>
      </c>
      <c r="J159" t="s">
        <v>26</v>
      </c>
      <c r="K159">
        <v>83</v>
      </c>
      <c r="L159">
        <v>2</v>
      </c>
    </row>
    <row r="160" spans="1:12" x14ac:dyDescent="0.2">
      <c r="A160" t="s">
        <v>529</v>
      </c>
      <c r="B160" t="s">
        <v>530</v>
      </c>
      <c r="C160" t="s">
        <v>106</v>
      </c>
      <c r="D160" t="s">
        <v>139</v>
      </c>
      <c r="E160" t="s">
        <v>38</v>
      </c>
      <c r="F160" t="s">
        <v>531</v>
      </c>
      <c r="G160" t="s">
        <v>48</v>
      </c>
      <c r="H160">
        <v>222.02</v>
      </c>
      <c r="I160" t="s">
        <v>122</v>
      </c>
      <c r="J160" t="s">
        <v>20</v>
      </c>
      <c r="K160">
        <v>71</v>
      </c>
      <c r="L160">
        <v>2</v>
      </c>
    </row>
    <row r="161" spans="1:12" x14ac:dyDescent="0.2">
      <c r="A161" t="s">
        <v>532</v>
      </c>
      <c r="B161" t="s">
        <v>533</v>
      </c>
      <c r="C161" t="s">
        <v>29</v>
      </c>
      <c r="D161" t="s">
        <v>15</v>
      </c>
      <c r="E161" t="s">
        <v>317</v>
      </c>
      <c r="F161" t="s">
        <v>534</v>
      </c>
      <c r="G161" t="s">
        <v>91</v>
      </c>
      <c r="H161">
        <v>323.92</v>
      </c>
      <c r="I161" t="s">
        <v>19</v>
      </c>
      <c r="J161" t="s">
        <v>50</v>
      </c>
      <c r="K161">
        <v>82</v>
      </c>
    </row>
    <row r="162" spans="1:12" x14ac:dyDescent="0.2">
      <c r="A162" t="s">
        <v>535</v>
      </c>
      <c r="B162" t="s">
        <v>536</v>
      </c>
      <c r="C162" t="s">
        <v>23</v>
      </c>
      <c r="D162" t="s">
        <v>54</v>
      </c>
      <c r="E162" t="s">
        <v>16</v>
      </c>
      <c r="F162" t="s">
        <v>537</v>
      </c>
      <c r="G162" t="s">
        <v>64</v>
      </c>
      <c r="H162">
        <v>436.86</v>
      </c>
      <c r="I162" t="s">
        <v>49</v>
      </c>
      <c r="J162" t="s">
        <v>20</v>
      </c>
      <c r="K162">
        <v>87</v>
      </c>
      <c r="L162">
        <v>5</v>
      </c>
    </row>
    <row r="163" spans="1:12" x14ac:dyDescent="0.2">
      <c r="A163" t="s">
        <v>538</v>
      </c>
      <c r="B163" t="s">
        <v>539</v>
      </c>
      <c r="C163" t="s">
        <v>29</v>
      </c>
      <c r="D163" t="s">
        <v>139</v>
      </c>
      <c r="E163" t="s">
        <v>113</v>
      </c>
      <c r="F163" t="s">
        <v>540</v>
      </c>
      <c r="G163" t="s">
        <v>40</v>
      </c>
      <c r="H163">
        <v>437.15</v>
      </c>
      <c r="I163" t="s">
        <v>122</v>
      </c>
      <c r="J163" t="s">
        <v>50</v>
      </c>
      <c r="K163">
        <v>60</v>
      </c>
      <c r="L163">
        <v>5</v>
      </c>
    </row>
    <row r="164" spans="1:12" x14ac:dyDescent="0.2">
      <c r="A164" t="s">
        <v>541</v>
      </c>
      <c r="B164" t="s">
        <v>542</v>
      </c>
      <c r="C164" t="s">
        <v>23</v>
      </c>
      <c r="D164" t="s">
        <v>54</v>
      </c>
      <c r="E164" t="s">
        <v>55</v>
      </c>
      <c r="F164" t="s">
        <v>205</v>
      </c>
      <c r="G164" t="s">
        <v>40</v>
      </c>
      <c r="H164">
        <v>433.73</v>
      </c>
      <c r="I164" t="s">
        <v>122</v>
      </c>
      <c r="J164" t="s">
        <v>41</v>
      </c>
      <c r="K164">
        <v>75</v>
      </c>
      <c r="L164">
        <v>1</v>
      </c>
    </row>
    <row r="165" spans="1:12" x14ac:dyDescent="0.2">
      <c r="A165" t="s">
        <v>543</v>
      </c>
      <c r="B165" t="s">
        <v>544</v>
      </c>
      <c r="C165" t="s">
        <v>14</v>
      </c>
      <c r="D165" t="s">
        <v>15</v>
      </c>
      <c r="E165" t="s">
        <v>113</v>
      </c>
      <c r="F165" t="s">
        <v>545</v>
      </c>
      <c r="G165" t="s">
        <v>18</v>
      </c>
      <c r="H165">
        <v>105.31</v>
      </c>
      <c r="I165" t="s">
        <v>49</v>
      </c>
      <c r="J165" t="s">
        <v>20</v>
      </c>
      <c r="K165">
        <v>80</v>
      </c>
      <c r="L165">
        <v>3</v>
      </c>
    </row>
    <row r="166" spans="1:12" x14ac:dyDescent="0.2">
      <c r="A166" t="s">
        <v>546</v>
      </c>
      <c r="B166" t="s">
        <v>547</v>
      </c>
      <c r="C166" t="s">
        <v>117</v>
      </c>
      <c r="D166" t="s">
        <v>74</v>
      </c>
      <c r="E166" t="s">
        <v>38</v>
      </c>
      <c r="F166" t="s">
        <v>323</v>
      </c>
      <c r="G166" t="s">
        <v>57</v>
      </c>
      <c r="H166">
        <v>276.56</v>
      </c>
      <c r="I166" t="s">
        <v>19</v>
      </c>
      <c r="J166" t="s">
        <v>26</v>
      </c>
      <c r="K166">
        <v>31</v>
      </c>
      <c r="L166">
        <v>4</v>
      </c>
    </row>
    <row r="167" spans="1:12" x14ac:dyDescent="0.2">
      <c r="A167" t="s">
        <v>548</v>
      </c>
      <c r="B167" t="s">
        <v>549</v>
      </c>
      <c r="C167" t="s">
        <v>14</v>
      </c>
      <c r="D167" t="s">
        <v>74</v>
      </c>
      <c r="E167" t="s">
        <v>38</v>
      </c>
      <c r="F167" t="s">
        <v>550</v>
      </c>
      <c r="G167" t="s">
        <v>57</v>
      </c>
      <c r="H167">
        <v>240.27</v>
      </c>
      <c r="I167" t="s">
        <v>49</v>
      </c>
      <c r="J167" t="s">
        <v>26</v>
      </c>
      <c r="K167">
        <v>28</v>
      </c>
      <c r="L167">
        <v>4</v>
      </c>
    </row>
    <row r="168" spans="1:12" x14ac:dyDescent="0.2">
      <c r="A168" t="s">
        <v>551</v>
      </c>
      <c r="B168" t="s">
        <v>552</v>
      </c>
      <c r="C168" t="s">
        <v>44</v>
      </c>
      <c r="D168" t="s">
        <v>125</v>
      </c>
      <c r="E168" t="s">
        <v>46</v>
      </c>
      <c r="F168" t="s">
        <v>553</v>
      </c>
      <c r="G168" t="s">
        <v>18</v>
      </c>
      <c r="H168">
        <v>377.78</v>
      </c>
      <c r="I168" t="s">
        <v>65</v>
      </c>
      <c r="J168" t="s">
        <v>41</v>
      </c>
      <c r="K168">
        <v>89</v>
      </c>
      <c r="L168">
        <v>4</v>
      </c>
    </row>
    <row r="169" spans="1:12" x14ac:dyDescent="0.2">
      <c r="A169" t="s">
        <v>554</v>
      </c>
      <c r="B169" t="s">
        <v>555</v>
      </c>
      <c r="C169" t="s">
        <v>23</v>
      </c>
      <c r="D169" t="s">
        <v>45</v>
      </c>
      <c r="E169" t="s">
        <v>38</v>
      </c>
      <c r="F169" t="s">
        <v>412</v>
      </c>
      <c r="G169" t="s">
        <v>57</v>
      </c>
      <c r="H169">
        <v>139.66</v>
      </c>
      <c r="I169" t="s">
        <v>122</v>
      </c>
      <c r="J169" t="s">
        <v>41</v>
      </c>
      <c r="K169">
        <v>39</v>
      </c>
      <c r="L169">
        <v>2</v>
      </c>
    </row>
    <row r="170" spans="1:12" x14ac:dyDescent="0.2">
      <c r="A170" t="s">
        <v>556</v>
      </c>
      <c r="B170" t="s">
        <v>557</v>
      </c>
      <c r="C170" t="s">
        <v>73</v>
      </c>
      <c r="D170" t="s">
        <v>45</v>
      </c>
      <c r="E170" t="s">
        <v>118</v>
      </c>
      <c r="F170" t="s">
        <v>558</v>
      </c>
      <c r="G170" t="s">
        <v>40</v>
      </c>
      <c r="H170">
        <v>197.87</v>
      </c>
      <c r="I170" t="s">
        <v>49</v>
      </c>
      <c r="J170" t="s">
        <v>50</v>
      </c>
      <c r="K170">
        <v>31</v>
      </c>
    </row>
    <row r="171" spans="1:12" x14ac:dyDescent="0.2">
      <c r="A171" t="s">
        <v>559</v>
      </c>
      <c r="B171" t="s">
        <v>560</v>
      </c>
      <c r="C171" t="s">
        <v>68</v>
      </c>
      <c r="D171" t="s">
        <v>80</v>
      </c>
      <c r="E171" t="s">
        <v>317</v>
      </c>
      <c r="F171" t="s">
        <v>561</v>
      </c>
      <c r="G171" t="s">
        <v>33</v>
      </c>
      <c r="H171">
        <v>158.26</v>
      </c>
      <c r="I171" t="s">
        <v>19</v>
      </c>
      <c r="J171" t="s">
        <v>41</v>
      </c>
      <c r="K171">
        <v>82</v>
      </c>
      <c r="L171">
        <v>2</v>
      </c>
    </row>
    <row r="172" spans="1:12" x14ac:dyDescent="0.2">
      <c r="A172" t="s">
        <v>562</v>
      </c>
      <c r="B172" t="s">
        <v>563</v>
      </c>
      <c r="C172" t="s">
        <v>23</v>
      </c>
      <c r="D172" t="s">
        <v>37</v>
      </c>
      <c r="E172" t="s">
        <v>317</v>
      </c>
      <c r="F172" t="s">
        <v>254</v>
      </c>
      <c r="G172" t="s">
        <v>18</v>
      </c>
      <c r="H172">
        <v>387.16</v>
      </c>
      <c r="I172" t="s">
        <v>122</v>
      </c>
      <c r="J172" t="s">
        <v>20</v>
      </c>
      <c r="K172">
        <v>82</v>
      </c>
      <c r="L172">
        <v>5</v>
      </c>
    </row>
    <row r="173" spans="1:12" x14ac:dyDescent="0.2">
      <c r="A173" t="s">
        <v>564</v>
      </c>
      <c r="B173" t="s">
        <v>565</v>
      </c>
      <c r="C173" t="s">
        <v>106</v>
      </c>
      <c r="D173" t="s">
        <v>125</v>
      </c>
      <c r="E173" t="s">
        <v>302</v>
      </c>
      <c r="F173" t="s">
        <v>282</v>
      </c>
      <c r="G173" t="s">
        <v>77</v>
      </c>
      <c r="H173">
        <v>424.79</v>
      </c>
      <c r="I173" t="s">
        <v>65</v>
      </c>
      <c r="J173" t="s">
        <v>41</v>
      </c>
      <c r="K173">
        <v>40</v>
      </c>
      <c r="L173">
        <v>1</v>
      </c>
    </row>
    <row r="174" spans="1:12" x14ac:dyDescent="0.2">
      <c r="A174" t="s">
        <v>566</v>
      </c>
      <c r="B174" t="s">
        <v>567</v>
      </c>
      <c r="C174" t="s">
        <v>44</v>
      </c>
      <c r="D174" t="s">
        <v>125</v>
      </c>
      <c r="E174" t="s">
        <v>16</v>
      </c>
      <c r="F174" t="s">
        <v>568</v>
      </c>
      <c r="G174" t="s">
        <v>57</v>
      </c>
      <c r="H174">
        <v>127.87</v>
      </c>
      <c r="I174" t="s">
        <v>49</v>
      </c>
      <c r="J174" t="s">
        <v>26</v>
      </c>
      <c r="K174">
        <v>44</v>
      </c>
      <c r="L174">
        <v>5</v>
      </c>
    </row>
    <row r="175" spans="1:12" x14ac:dyDescent="0.2">
      <c r="A175" t="s">
        <v>569</v>
      </c>
      <c r="B175" t="s">
        <v>570</v>
      </c>
      <c r="C175" t="s">
        <v>73</v>
      </c>
      <c r="D175" t="s">
        <v>139</v>
      </c>
      <c r="E175" t="s">
        <v>132</v>
      </c>
      <c r="F175" t="s">
        <v>571</v>
      </c>
      <c r="G175" t="s">
        <v>48</v>
      </c>
      <c r="H175">
        <v>78.81</v>
      </c>
      <c r="I175" t="s">
        <v>65</v>
      </c>
      <c r="J175" t="s">
        <v>50</v>
      </c>
      <c r="K175">
        <v>49</v>
      </c>
      <c r="L175">
        <v>1</v>
      </c>
    </row>
    <row r="176" spans="1:12" x14ac:dyDescent="0.2">
      <c r="A176" t="s">
        <v>572</v>
      </c>
      <c r="B176" t="s">
        <v>573</v>
      </c>
      <c r="C176" t="s">
        <v>14</v>
      </c>
      <c r="D176" t="s">
        <v>74</v>
      </c>
      <c r="E176" t="s">
        <v>473</v>
      </c>
      <c r="F176" t="s">
        <v>574</v>
      </c>
      <c r="G176" t="s">
        <v>77</v>
      </c>
      <c r="H176">
        <v>294.58</v>
      </c>
      <c r="I176" t="s">
        <v>19</v>
      </c>
      <c r="J176" t="s">
        <v>20</v>
      </c>
      <c r="K176">
        <v>21</v>
      </c>
      <c r="L176">
        <v>2</v>
      </c>
    </row>
    <row r="177" spans="1:12" x14ac:dyDescent="0.2">
      <c r="A177" t="s">
        <v>575</v>
      </c>
      <c r="B177" t="s">
        <v>576</v>
      </c>
      <c r="C177" t="s">
        <v>44</v>
      </c>
      <c r="D177" t="s">
        <v>45</v>
      </c>
      <c r="E177" t="s">
        <v>38</v>
      </c>
      <c r="F177" t="s">
        <v>577</v>
      </c>
      <c r="G177" t="s">
        <v>18</v>
      </c>
      <c r="H177">
        <v>268.94</v>
      </c>
      <c r="I177" t="s">
        <v>65</v>
      </c>
      <c r="J177" t="s">
        <v>26</v>
      </c>
      <c r="K177">
        <v>52</v>
      </c>
      <c r="L177">
        <v>3</v>
      </c>
    </row>
    <row r="178" spans="1:12" x14ac:dyDescent="0.2">
      <c r="A178" t="s">
        <v>578</v>
      </c>
      <c r="B178" t="s">
        <v>579</v>
      </c>
      <c r="C178" t="s">
        <v>29</v>
      </c>
      <c r="D178" t="s">
        <v>15</v>
      </c>
      <c r="E178" t="s">
        <v>118</v>
      </c>
      <c r="F178" t="s">
        <v>580</v>
      </c>
      <c r="G178" t="s">
        <v>18</v>
      </c>
      <c r="H178">
        <v>188.44</v>
      </c>
      <c r="I178" t="s">
        <v>49</v>
      </c>
      <c r="J178" t="s">
        <v>50</v>
      </c>
      <c r="K178">
        <v>39</v>
      </c>
      <c r="L178">
        <v>1</v>
      </c>
    </row>
    <row r="179" spans="1:12" x14ac:dyDescent="0.2">
      <c r="A179" t="s">
        <v>581</v>
      </c>
      <c r="B179" t="s">
        <v>582</v>
      </c>
      <c r="C179" t="s">
        <v>23</v>
      </c>
      <c r="D179" t="s">
        <v>37</v>
      </c>
      <c r="E179" t="s">
        <v>198</v>
      </c>
      <c r="F179" t="s">
        <v>583</v>
      </c>
      <c r="G179" t="s">
        <v>18</v>
      </c>
      <c r="H179">
        <v>471.22</v>
      </c>
      <c r="I179" t="s">
        <v>19</v>
      </c>
      <c r="J179" t="s">
        <v>41</v>
      </c>
      <c r="K179">
        <v>85</v>
      </c>
      <c r="L179">
        <v>5</v>
      </c>
    </row>
    <row r="180" spans="1:12" x14ac:dyDescent="0.2">
      <c r="A180" t="s">
        <v>584</v>
      </c>
      <c r="B180" t="s">
        <v>585</v>
      </c>
      <c r="C180" t="s">
        <v>23</v>
      </c>
      <c r="D180" t="s">
        <v>15</v>
      </c>
      <c r="E180" t="s">
        <v>343</v>
      </c>
      <c r="F180" t="s">
        <v>586</v>
      </c>
      <c r="G180" t="s">
        <v>18</v>
      </c>
      <c r="H180">
        <v>308.33999999999997</v>
      </c>
      <c r="I180" t="s">
        <v>19</v>
      </c>
      <c r="J180" t="s">
        <v>41</v>
      </c>
      <c r="K180">
        <v>61</v>
      </c>
      <c r="L180">
        <v>3</v>
      </c>
    </row>
    <row r="181" spans="1:12" x14ac:dyDescent="0.2">
      <c r="A181" t="s">
        <v>587</v>
      </c>
      <c r="B181" t="s">
        <v>588</v>
      </c>
      <c r="C181" t="s">
        <v>73</v>
      </c>
      <c r="D181" t="s">
        <v>74</v>
      </c>
      <c r="E181" t="s">
        <v>473</v>
      </c>
      <c r="F181" t="s">
        <v>39</v>
      </c>
      <c r="G181" t="s">
        <v>57</v>
      </c>
      <c r="H181">
        <v>211.65</v>
      </c>
      <c r="I181" t="s">
        <v>65</v>
      </c>
      <c r="J181" t="s">
        <v>50</v>
      </c>
      <c r="K181">
        <v>75</v>
      </c>
      <c r="L181">
        <v>3</v>
      </c>
    </row>
    <row r="182" spans="1:12" x14ac:dyDescent="0.2">
      <c r="A182" t="s">
        <v>589</v>
      </c>
      <c r="B182" t="s">
        <v>590</v>
      </c>
      <c r="C182" t="s">
        <v>29</v>
      </c>
      <c r="D182" t="s">
        <v>15</v>
      </c>
      <c r="E182" t="s">
        <v>62</v>
      </c>
      <c r="F182" t="s">
        <v>591</v>
      </c>
      <c r="G182" t="s">
        <v>18</v>
      </c>
      <c r="H182">
        <v>478.04</v>
      </c>
      <c r="I182" t="s">
        <v>49</v>
      </c>
      <c r="J182" t="s">
        <v>20</v>
      </c>
      <c r="K182">
        <v>87</v>
      </c>
      <c r="L182">
        <v>2</v>
      </c>
    </row>
    <row r="183" spans="1:12" x14ac:dyDescent="0.2">
      <c r="A183" t="s">
        <v>592</v>
      </c>
      <c r="B183" t="s">
        <v>593</v>
      </c>
      <c r="C183" t="s">
        <v>117</v>
      </c>
      <c r="D183" t="s">
        <v>15</v>
      </c>
      <c r="E183" t="s">
        <v>198</v>
      </c>
      <c r="F183" t="s">
        <v>594</v>
      </c>
      <c r="G183" t="s">
        <v>33</v>
      </c>
      <c r="H183">
        <v>210.78</v>
      </c>
      <c r="I183" t="s">
        <v>122</v>
      </c>
      <c r="J183" t="s">
        <v>41</v>
      </c>
      <c r="K183">
        <v>55</v>
      </c>
      <c r="L183">
        <v>1</v>
      </c>
    </row>
    <row r="184" spans="1:12" x14ac:dyDescent="0.2">
      <c r="A184" t="s">
        <v>595</v>
      </c>
      <c r="B184" t="s">
        <v>596</v>
      </c>
      <c r="C184" t="s">
        <v>14</v>
      </c>
      <c r="D184" t="s">
        <v>80</v>
      </c>
      <c r="E184" t="s">
        <v>317</v>
      </c>
      <c r="F184" t="s">
        <v>597</v>
      </c>
      <c r="G184" t="s">
        <v>48</v>
      </c>
      <c r="H184">
        <v>263.83999999999997</v>
      </c>
      <c r="I184" t="s">
        <v>65</v>
      </c>
      <c r="J184" t="s">
        <v>41</v>
      </c>
      <c r="K184">
        <v>28</v>
      </c>
      <c r="L184">
        <v>2</v>
      </c>
    </row>
    <row r="185" spans="1:12" x14ac:dyDescent="0.2">
      <c r="A185" t="s">
        <v>598</v>
      </c>
      <c r="B185" t="s">
        <v>599</v>
      </c>
      <c r="C185" t="s">
        <v>117</v>
      </c>
      <c r="D185" t="s">
        <v>139</v>
      </c>
      <c r="E185" t="s">
        <v>69</v>
      </c>
      <c r="F185" t="s">
        <v>600</v>
      </c>
      <c r="G185" t="s">
        <v>91</v>
      </c>
      <c r="H185">
        <v>131.84</v>
      </c>
      <c r="I185" t="s">
        <v>65</v>
      </c>
      <c r="J185" t="s">
        <v>26</v>
      </c>
      <c r="K185">
        <v>85</v>
      </c>
      <c r="L185">
        <v>1</v>
      </c>
    </row>
    <row r="186" spans="1:12" x14ac:dyDescent="0.2">
      <c r="A186" t="s">
        <v>601</v>
      </c>
      <c r="B186" t="s">
        <v>602</v>
      </c>
      <c r="C186" t="s">
        <v>68</v>
      </c>
      <c r="D186" t="s">
        <v>15</v>
      </c>
      <c r="E186" t="s">
        <v>69</v>
      </c>
      <c r="F186" t="s">
        <v>285</v>
      </c>
      <c r="G186" t="s">
        <v>64</v>
      </c>
      <c r="H186">
        <v>221.32</v>
      </c>
      <c r="I186" t="s">
        <v>122</v>
      </c>
      <c r="J186" t="s">
        <v>41</v>
      </c>
      <c r="K186">
        <v>26</v>
      </c>
      <c r="L186">
        <v>1</v>
      </c>
    </row>
    <row r="187" spans="1:12" x14ac:dyDescent="0.2">
      <c r="A187" t="s">
        <v>603</v>
      </c>
      <c r="B187" t="s">
        <v>604</v>
      </c>
      <c r="C187" t="s">
        <v>73</v>
      </c>
      <c r="D187" t="s">
        <v>15</v>
      </c>
      <c r="E187" t="s">
        <v>144</v>
      </c>
      <c r="F187" t="s">
        <v>605</v>
      </c>
      <c r="G187" t="s">
        <v>57</v>
      </c>
      <c r="H187">
        <v>399.73</v>
      </c>
      <c r="I187" t="s">
        <v>65</v>
      </c>
      <c r="J187" t="s">
        <v>50</v>
      </c>
      <c r="K187">
        <v>52</v>
      </c>
      <c r="L187">
        <v>5</v>
      </c>
    </row>
    <row r="188" spans="1:12" x14ac:dyDescent="0.2">
      <c r="A188" t="s">
        <v>606</v>
      </c>
      <c r="B188" t="s">
        <v>607</v>
      </c>
      <c r="C188" t="s">
        <v>73</v>
      </c>
      <c r="D188" t="s">
        <v>15</v>
      </c>
      <c r="E188" t="s">
        <v>317</v>
      </c>
      <c r="F188" t="s">
        <v>608</v>
      </c>
      <c r="G188" t="s">
        <v>18</v>
      </c>
      <c r="H188">
        <v>118.63</v>
      </c>
      <c r="I188" t="s">
        <v>49</v>
      </c>
      <c r="J188" t="s">
        <v>41</v>
      </c>
      <c r="K188">
        <v>54</v>
      </c>
    </row>
    <row r="189" spans="1:12" x14ac:dyDescent="0.2">
      <c r="A189" t="s">
        <v>609</v>
      </c>
      <c r="B189" t="s">
        <v>610</v>
      </c>
      <c r="C189" t="s">
        <v>29</v>
      </c>
      <c r="D189" t="s">
        <v>125</v>
      </c>
      <c r="E189" t="s">
        <v>129</v>
      </c>
      <c r="F189" t="s">
        <v>574</v>
      </c>
      <c r="G189" t="s">
        <v>33</v>
      </c>
      <c r="H189">
        <v>176.64</v>
      </c>
      <c r="I189" t="s">
        <v>49</v>
      </c>
      <c r="J189" t="s">
        <v>20</v>
      </c>
      <c r="K189">
        <v>53</v>
      </c>
      <c r="L189">
        <v>5</v>
      </c>
    </row>
    <row r="190" spans="1:12" x14ac:dyDescent="0.2">
      <c r="A190" t="s">
        <v>611</v>
      </c>
      <c r="B190" t="s">
        <v>612</v>
      </c>
      <c r="C190" t="s">
        <v>73</v>
      </c>
      <c r="D190" t="s">
        <v>80</v>
      </c>
      <c r="E190" t="s">
        <v>16</v>
      </c>
      <c r="F190" t="s">
        <v>613</v>
      </c>
      <c r="G190" t="s">
        <v>57</v>
      </c>
      <c r="H190">
        <v>186.96</v>
      </c>
      <c r="I190" t="s">
        <v>19</v>
      </c>
      <c r="J190" t="s">
        <v>41</v>
      </c>
      <c r="K190">
        <v>64</v>
      </c>
      <c r="L190">
        <v>3</v>
      </c>
    </row>
    <row r="191" spans="1:12" x14ac:dyDescent="0.2">
      <c r="A191" t="s">
        <v>614</v>
      </c>
      <c r="B191" t="s">
        <v>615</v>
      </c>
      <c r="C191" t="s">
        <v>68</v>
      </c>
      <c r="D191" t="s">
        <v>45</v>
      </c>
      <c r="E191" t="s">
        <v>38</v>
      </c>
      <c r="F191" t="s">
        <v>616</v>
      </c>
      <c r="G191" t="s">
        <v>48</v>
      </c>
      <c r="H191">
        <v>124.13</v>
      </c>
      <c r="I191" t="s">
        <v>122</v>
      </c>
      <c r="J191" t="s">
        <v>41</v>
      </c>
      <c r="K191">
        <v>24</v>
      </c>
      <c r="L191">
        <v>5</v>
      </c>
    </row>
    <row r="192" spans="1:12" x14ac:dyDescent="0.2">
      <c r="A192" t="s">
        <v>617</v>
      </c>
      <c r="B192" t="s">
        <v>96</v>
      </c>
      <c r="C192" t="s">
        <v>44</v>
      </c>
      <c r="D192" t="s">
        <v>125</v>
      </c>
      <c r="E192" t="s">
        <v>272</v>
      </c>
      <c r="F192" t="s">
        <v>618</v>
      </c>
      <c r="G192" t="s">
        <v>48</v>
      </c>
      <c r="H192">
        <v>220.49</v>
      </c>
      <c r="I192" t="s">
        <v>65</v>
      </c>
      <c r="J192" t="s">
        <v>20</v>
      </c>
      <c r="K192">
        <v>25</v>
      </c>
      <c r="L192">
        <v>3</v>
      </c>
    </row>
    <row r="193" spans="1:12" x14ac:dyDescent="0.2">
      <c r="A193" t="s">
        <v>619</v>
      </c>
      <c r="B193" t="s">
        <v>620</v>
      </c>
      <c r="C193" t="s">
        <v>106</v>
      </c>
      <c r="D193" t="s">
        <v>37</v>
      </c>
      <c r="E193" t="s">
        <v>69</v>
      </c>
      <c r="F193" t="s">
        <v>621</v>
      </c>
      <c r="G193" t="s">
        <v>33</v>
      </c>
      <c r="H193">
        <v>65.47</v>
      </c>
      <c r="I193" t="s">
        <v>49</v>
      </c>
      <c r="J193" t="s">
        <v>50</v>
      </c>
      <c r="K193">
        <v>54</v>
      </c>
      <c r="L193">
        <v>1</v>
      </c>
    </row>
    <row r="194" spans="1:12" x14ac:dyDescent="0.2">
      <c r="A194" t="s">
        <v>622</v>
      </c>
      <c r="B194" t="s">
        <v>623</v>
      </c>
      <c r="C194" t="s">
        <v>60</v>
      </c>
      <c r="D194" t="s">
        <v>37</v>
      </c>
      <c r="E194" t="s">
        <v>129</v>
      </c>
      <c r="F194" t="s">
        <v>624</v>
      </c>
      <c r="G194" t="s">
        <v>40</v>
      </c>
      <c r="H194">
        <v>364.76</v>
      </c>
      <c r="I194" t="s">
        <v>49</v>
      </c>
      <c r="J194" t="s">
        <v>50</v>
      </c>
      <c r="K194">
        <v>20</v>
      </c>
      <c r="L194">
        <v>4</v>
      </c>
    </row>
    <row r="195" spans="1:12" x14ac:dyDescent="0.2">
      <c r="A195" t="s">
        <v>625</v>
      </c>
      <c r="B195" t="s">
        <v>626</v>
      </c>
      <c r="C195" t="s">
        <v>44</v>
      </c>
      <c r="D195" t="s">
        <v>37</v>
      </c>
      <c r="E195" t="s">
        <v>46</v>
      </c>
      <c r="F195" t="s">
        <v>627</v>
      </c>
      <c r="G195" t="s">
        <v>40</v>
      </c>
      <c r="H195">
        <v>492.92</v>
      </c>
      <c r="I195" t="s">
        <v>122</v>
      </c>
      <c r="J195" t="s">
        <v>26</v>
      </c>
      <c r="K195">
        <v>73</v>
      </c>
      <c r="L195">
        <v>4</v>
      </c>
    </row>
    <row r="196" spans="1:12" x14ac:dyDescent="0.2">
      <c r="A196" t="s">
        <v>628</v>
      </c>
      <c r="B196" t="s">
        <v>629</v>
      </c>
      <c r="C196" t="s">
        <v>14</v>
      </c>
      <c r="D196" t="s">
        <v>45</v>
      </c>
      <c r="E196" t="s">
        <v>140</v>
      </c>
      <c r="F196" t="s">
        <v>630</v>
      </c>
      <c r="G196" t="s">
        <v>48</v>
      </c>
      <c r="H196">
        <v>51.12</v>
      </c>
      <c r="I196" t="s">
        <v>122</v>
      </c>
      <c r="J196" t="s">
        <v>20</v>
      </c>
      <c r="K196">
        <v>22</v>
      </c>
      <c r="L196">
        <v>5</v>
      </c>
    </row>
    <row r="197" spans="1:12" x14ac:dyDescent="0.2">
      <c r="A197" t="s">
        <v>631</v>
      </c>
      <c r="B197" t="s">
        <v>170</v>
      </c>
      <c r="C197" t="s">
        <v>29</v>
      </c>
      <c r="D197" t="s">
        <v>80</v>
      </c>
      <c r="E197" t="s">
        <v>144</v>
      </c>
      <c r="F197" t="s">
        <v>632</v>
      </c>
      <c r="G197" t="s">
        <v>77</v>
      </c>
      <c r="H197">
        <v>226.63</v>
      </c>
      <c r="I197" t="s">
        <v>19</v>
      </c>
      <c r="J197" t="s">
        <v>50</v>
      </c>
      <c r="K197">
        <v>72</v>
      </c>
      <c r="L197">
        <v>3</v>
      </c>
    </row>
    <row r="198" spans="1:12" x14ac:dyDescent="0.2">
      <c r="A198" t="s">
        <v>633</v>
      </c>
      <c r="B198" t="s">
        <v>634</v>
      </c>
      <c r="C198" t="s">
        <v>23</v>
      </c>
      <c r="D198" t="s">
        <v>139</v>
      </c>
      <c r="E198" t="s">
        <v>46</v>
      </c>
      <c r="F198" t="s">
        <v>158</v>
      </c>
      <c r="G198" t="s">
        <v>77</v>
      </c>
      <c r="H198">
        <v>82.4</v>
      </c>
      <c r="I198" t="s">
        <v>19</v>
      </c>
      <c r="J198" t="s">
        <v>26</v>
      </c>
      <c r="K198">
        <v>72</v>
      </c>
      <c r="L198">
        <v>1</v>
      </c>
    </row>
    <row r="199" spans="1:12" x14ac:dyDescent="0.2">
      <c r="A199" t="s">
        <v>635</v>
      </c>
      <c r="B199" t="s">
        <v>636</v>
      </c>
      <c r="C199" t="s">
        <v>44</v>
      </c>
      <c r="D199" t="s">
        <v>61</v>
      </c>
      <c r="E199" t="s">
        <v>55</v>
      </c>
      <c r="F199" t="s">
        <v>637</v>
      </c>
      <c r="G199" t="s">
        <v>18</v>
      </c>
      <c r="H199">
        <v>442.37</v>
      </c>
      <c r="I199" t="s">
        <v>65</v>
      </c>
      <c r="J199" t="s">
        <v>26</v>
      </c>
      <c r="K199">
        <v>53</v>
      </c>
      <c r="L199">
        <v>2</v>
      </c>
    </row>
    <row r="200" spans="1:12" x14ac:dyDescent="0.2">
      <c r="A200" t="s">
        <v>638</v>
      </c>
      <c r="B200" t="s">
        <v>639</v>
      </c>
      <c r="C200" t="s">
        <v>73</v>
      </c>
      <c r="D200" t="s">
        <v>139</v>
      </c>
      <c r="E200" t="s">
        <v>154</v>
      </c>
      <c r="F200" t="s">
        <v>214</v>
      </c>
      <c r="G200" t="s">
        <v>48</v>
      </c>
      <c r="H200">
        <v>416.9</v>
      </c>
      <c r="I200" t="s">
        <v>19</v>
      </c>
      <c r="J200" t="s">
        <v>26</v>
      </c>
      <c r="K200">
        <v>90</v>
      </c>
      <c r="L200">
        <v>4</v>
      </c>
    </row>
    <row r="201" spans="1:12" x14ac:dyDescent="0.2">
      <c r="A201" t="s">
        <v>640</v>
      </c>
      <c r="B201" t="s">
        <v>641</v>
      </c>
      <c r="C201" t="s">
        <v>60</v>
      </c>
      <c r="D201" t="s">
        <v>15</v>
      </c>
      <c r="E201" t="s">
        <v>31</v>
      </c>
      <c r="F201" t="s">
        <v>642</v>
      </c>
      <c r="G201" t="s">
        <v>33</v>
      </c>
      <c r="H201">
        <v>384.51</v>
      </c>
      <c r="I201" t="s">
        <v>122</v>
      </c>
      <c r="J201" t="s">
        <v>50</v>
      </c>
      <c r="K201">
        <v>36</v>
      </c>
      <c r="L201">
        <v>3</v>
      </c>
    </row>
    <row r="202" spans="1:12" x14ac:dyDescent="0.2">
      <c r="A202" t="s">
        <v>643</v>
      </c>
      <c r="B202" t="s">
        <v>644</v>
      </c>
      <c r="C202" t="s">
        <v>44</v>
      </c>
      <c r="D202" t="s">
        <v>45</v>
      </c>
      <c r="E202" t="s">
        <v>129</v>
      </c>
      <c r="F202" t="s">
        <v>148</v>
      </c>
      <c r="G202" t="s">
        <v>77</v>
      </c>
      <c r="H202">
        <v>314.06</v>
      </c>
      <c r="I202" t="s">
        <v>49</v>
      </c>
      <c r="J202" t="s">
        <v>50</v>
      </c>
      <c r="K202">
        <v>83</v>
      </c>
      <c r="L202">
        <v>3</v>
      </c>
    </row>
    <row r="203" spans="1:12" x14ac:dyDescent="0.2">
      <c r="A203" t="s">
        <v>645</v>
      </c>
      <c r="B203" t="s">
        <v>646</v>
      </c>
      <c r="C203" t="s">
        <v>73</v>
      </c>
      <c r="D203" t="s">
        <v>37</v>
      </c>
      <c r="E203" t="s">
        <v>102</v>
      </c>
      <c r="F203" t="s">
        <v>647</v>
      </c>
      <c r="G203" t="s">
        <v>18</v>
      </c>
      <c r="H203">
        <v>91.31</v>
      </c>
      <c r="I203" t="s">
        <v>122</v>
      </c>
      <c r="J203" t="s">
        <v>20</v>
      </c>
      <c r="K203">
        <v>55</v>
      </c>
      <c r="L203">
        <v>3</v>
      </c>
    </row>
    <row r="204" spans="1:12" x14ac:dyDescent="0.2">
      <c r="A204" t="s">
        <v>648</v>
      </c>
      <c r="B204" t="s">
        <v>649</v>
      </c>
      <c r="C204" t="s">
        <v>117</v>
      </c>
      <c r="D204" t="s">
        <v>74</v>
      </c>
      <c r="E204" t="s">
        <v>132</v>
      </c>
      <c r="F204" t="s">
        <v>353</v>
      </c>
      <c r="G204" t="s">
        <v>40</v>
      </c>
      <c r="H204">
        <v>275.22000000000003</v>
      </c>
      <c r="I204" t="s">
        <v>65</v>
      </c>
      <c r="J204" t="s">
        <v>41</v>
      </c>
      <c r="K204">
        <v>40</v>
      </c>
      <c r="L204">
        <v>1</v>
      </c>
    </row>
    <row r="205" spans="1:12" x14ac:dyDescent="0.2">
      <c r="A205" t="s">
        <v>650</v>
      </c>
      <c r="B205" t="s">
        <v>651</v>
      </c>
      <c r="C205" t="s">
        <v>60</v>
      </c>
      <c r="D205" t="s">
        <v>61</v>
      </c>
      <c r="E205" t="s">
        <v>102</v>
      </c>
      <c r="F205" t="s">
        <v>279</v>
      </c>
      <c r="G205" t="s">
        <v>18</v>
      </c>
      <c r="H205">
        <v>258.54000000000002</v>
      </c>
      <c r="I205" t="s">
        <v>65</v>
      </c>
      <c r="J205" t="s">
        <v>20</v>
      </c>
      <c r="K205">
        <v>52</v>
      </c>
      <c r="L205">
        <v>2</v>
      </c>
    </row>
    <row r="206" spans="1:12" x14ac:dyDescent="0.2">
      <c r="A206" t="s">
        <v>652</v>
      </c>
      <c r="B206" t="s">
        <v>653</v>
      </c>
      <c r="C206" t="s">
        <v>44</v>
      </c>
      <c r="D206" t="s">
        <v>125</v>
      </c>
      <c r="E206" t="s">
        <v>16</v>
      </c>
      <c r="F206" t="s">
        <v>654</v>
      </c>
      <c r="G206" t="s">
        <v>64</v>
      </c>
      <c r="H206">
        <v>329.12</v>
      </c>
      <c r="I206" t="s">
        <v>122</v>
      </c>
      <c r="J206" t="s">
        <v>50</v>
      </c>
      <c r="K206">
        <v>31</v>
      </c>
      <c r="L206">
        <v>2</v>
      </c>
    </row>
    <row r="207" spans="1:12" x14ac:dyDescent="0.2">
      <c r="A207" t="s">
        <v>655</v>
      </c>
      <c r="B207" t="s">
        <v>656</v>
      </c>
      <c r="C207" t="s">
        <v>53</v>
      </c>
      <c r="D207" t="s">
        <v>139</v>
      </c>
      <c r="E207" t="s">
        <v>198</v>
      </c>
      <c r="F207" t="s">
        <v>586</v>
      </c>
      <c r="G207" t="s">
        <v>91</v>
      </c>
      <c r="H207">
        <v>342.29</v>
      </c>
      <c r="I207" t="s">
        <v>49</v>
      </c>
      <c r="J207" t="s">
        <v>50</v>
      </c>
      <c r="K207">
        <v>48</v>
      </c>
    </row>
    <row r="208" spans="1:12" x14ac:dyDescent="0.2">
      <c r="A208" t="s">
        <v>657</v>
      </c>
      <c r="B208" t="s">
        <v>658</v>
      </c>
      <c r="C208" t="s">
        <v>29</v>
      </c>
      <c r="D208" t="s">
        <v>15</v>
      </c>
      <c r="E208" t="s">
        <v>24</v>
      </c>
      <c r="F208" t="s">
        <v>659</v>
      </c>
      <c r="G208" t="s">
        <v>57</v>
      </c>
      <c r="H208">
        <v>301.22000000000003</v>
      </c>
      <c r="I208" t="s">
        <v>122</v>
      </c>
      <c r="J208" t="s">
        <v>41</v>
      </c>
      <c r="K208">
        <v>21</v>
      </c>
    </row>
    <row r="209" spans="1:12" x14ac:dyDescent="0.2">
      <c r="A209" t="s">
        <v>660</v>
      </c>
      <c r="B209" t="s">
        <v>661</v>
      </c>
      <c r="C209" t="s">
        <v>44</v>
      </c>
      <c r="D209" t="s">
        <v>89</v>
      </c>
      <c r="E209" t="s">
        <v>349</v>
      </c>
      <c r="F209" t="s">
        <v>662</v>
      </c>
      <c r="G209" t="s">
        <v>77</v>
      </c>
      <c r="H209">
        <v>289.14999999999998</v>
      </c>
      <c r="I209" t="s">
        <v>65</v>
      </c>
      <c r="J209" t="s">
        <v>41</v>
      </c>
      <c r="K209">
        <v>65</v>
      </c>
    </row>
    <row r="210" spans="1:12" x14ac:dyDescent="0.2">
      <c r="A210" t="s">
        <v>663</v>
      </c>
      <c r="B210" t="s">
        <v>664</v>
      </c>
      <c r="C210" t="s">
        <v>44</v>
      </c>
      <c r="D210" t="s">
        <v>139</v>
      </c>
      <c r="E210" t="s">
        <v>132</v>
      </c>
      <c r="F210" t="s">
        <v>665</v>
      </c>
      <c r="G210" t="s">
        <v>48</v>
      </c>
      <c r="H210">
        <v>98.15</v>
      </c>
      <c r="I210" t="s">
        <v>122</v>
      </c>
      <c r="J210" t="s">
        <v>26</v>
      </c>
      <c r="K210">
        <v>18</v>
      </c>
      <c r="L210">
        <v>3</v>
      </c>
    </row>
    <row r="211" spans="1:12" x14ac:dyDescent="0.2">
      <c r="A211" t="s">
        <v>666</v>
      </c>
      <c r="B211" t="s">
        <v>667</v>
      </c>
      <c r="C211" t="s">
        <v>117</v>
      </c>
      <c r="D211" t="s">
        <v>45</v>
      </c>
      <c r="E211" t="s">
        <v>75</v>
      </c>
      <c r="F211" t="s">
        <v>668</v>
      </c>
      <c r="G211" t="s">
        <v>91</v>
      </c>
      <c r="H211">
        <v>425.1</v>
      </c>
      <c r="I211" t="s">
        <v>19</v>
      </c>
      <c r="J211" t="s">
        <v>26</v>
      </c>
      <c r="K211">
        <v>66</v>
      </c>
      <c r="L211">
        <v>2</v>
      </c>
    </row>
    <row r="212" spans="1:12" x14ac:dyDescent="0.2">
      <c r="A212" t="s">
        <v>669</v>
      </c>
      <c r="B212" t="s">
        <v>670</v>
      </c>
      <c r="C212" t="s">
        <v>68</v>
      </c>
      <c r="D212" t="s">
        <v>45</v>
      </c>
      <c r="E212" t="s">
        <v>16</v>
      </c>
      <c r="F212" t="s">
        <v>671</v>
      </c>
      <c r="G212" t="s">
        <v>18</v>
      </c>
      <c r="H212">
        <v>472.48</v>
      </c>
      <c r="I212" t="s">
        <v>122</v>
      </c>
      <c r="J212" t="s">
        <v>20</v>
      </c>
      <c r="K212">
        <v>29</v>
      </c>
      <c r="L212">
        <v>2</v>
      </c>
    </row>
    <row r="213" spans="1:12" x14ac:dyDescent="0.2">
      <c r="A213" t="s">
        <v>672</v>
      </c>
      <c r="B213" t="s">
        <v>673</v>
      </c>
      <c r="C213" t="s">
        <v>29</v>
      </c>
      <c r="D213" t="s">
        <v>139</v>
      </c>
      <c r="E213" t="s">
        <v>302</v>
      </c>
      <c r="F213" t="s">
        <v>674</v>
      </c>
      <c r="G213" t="s">
        <v>33</v>
      </c>
      <c r="H213">
        <v>225.29</v>
      </c>
      <c r="I213" t="s">
        <v>49</v>
      </c>
      <c r="J213" t="s">
        <v>50</v>
      </c>
      <c r="K213">
        <v>23</v>
      </c>
      <c r="L213">
        <v>2</v>
      </c>
    </row>
    <row r="214" spans="1:12" x14ac:dyDescent="0.2">
      <c r="A214" t="s">
        <v>675</v>
      </c>
      <c r="B214" t="s">
        <v>676</v>
      </c>
      <c r="C214" t="s">
        <v>117</v>
      </c>
      <c r="D214" t="s">
        <v>37</v>
      </c>
      <c r="E214" t="s">
        <v>302</v>
      </c>
      <c r="F214" t="s">
        <v>70</v>
      </c>
      <c r="G214" t="s">
        <v>77</v>
      </c>
      <c r="H214">
        <v>69.86</v>
      </c>
      <c r="I214" t="s">
        <v>19</v>
      </c>
      <c r="J214" t="s">
        <v>20</v>
      </c>
      <c r="K214">
        <v>63</v>
      </c>
      <c r="L214">
        <v>3</v>
      </c>
    </row>
    <row r="215" spans="1:12" x14ac:dyDescent="0.2">
      <c r="A215" t="s">
        <v>677</v>
      </c>
      <c r="B215" t="s">
        <v>678</v>
      </c>
      <c r="C215" t="s">
        <v>68</v>
      </c>
      <c r="D215" t="s">
        <v>37</v>
      </c>
      <c r="E215" t="s">
        <v>154</v>
      </c>
      <c r="F215" t="s">
        <v>184</v>
      </c>
      <c r="G215" t="s">
        <v>91</v>
      </c>
      <c r="H215">
        <v>460.03</v>
      </c>
      <c r="I215" t="s">
        <v>65</v>
      </c>
      <c r="J215" t="s">
        <v>50</v>
      </c>
      <c r="K215">
        <v>16</v>
      </c>
      <c r="L215">
        <v>2</v>
      </c>
    </row>
    <row r="216" spans="1:12" x14ac:dyDescent="0.2">
      <c r="A216" t="s">
        <v>679</v>
      </c>
      <c r="B216" t="s">
        <v>680</v>
      </c>
      <c r="C216" t="s">
        <v>29</v>
      </c>
      <c r="D216" t="s">
        <v>15</v>
      </c>
      <c r="E216" t="s">
        <v>16</v>
      </c>
      <c r="F216" t="s">
        <v>681</v>
      </c>
      <c r="G216" t="s">
        <v>64</v>
      </c>
      <c r="H216">
        <v>302.33</v>
      </c>
      <c r="I216" t="s">
        <v>19</v>
      </c>
      <c r="J216" t="s">
        <v>20</v>
      </c>
      <c r="K216">
        <v>46</v>
      </c>
      <c r="L216">
        <v>3</v>
      </c>
    </row>
    <row r="217" spans="1:12" x14ac:dyDescent="0.2">
      <c r="A217" t="s">
        <v>682</v>
      </c>
      <c r="B217" t="s">
        <v>683</v>
      </c>
      <c r="C217" t="s">
        <v>53</v>
      </c>
      <c r="D217" t="s">
        <v>125</v>
      </c>
      <c r="E217" t="s">
        <v>161</v>
      </c>
      <c r="F217" t="s">
        <v>223</v>
      </c>
      <c r="G217" t="s">
        <v>40</v>
      </c>
      <c r="H217">
        <v>464.61</v>
      </c>
      <c r="I217" t="s">
        <v>19</v>
      </c>
      <c r="J217" t="s">
        <v>41</v>
      </c>
      <c r="K217">
        <v>89</v>
      </c>
      <c r="L217">
        <v>1</v>
      </c>
    </row>
    <row r="218" spans="1:12" x14ac:dyDescent="0.2">
      <c r="A218" t="s">
        <v>684</v>
      </c>
      <c r="B218" t="s">
        <v>685</v>
      </c>
      <c r="C218" t="s">
        <v>60</v>
      </c>
      <c r="D218" t="s">
        <v>54</v>
      </c>
      <c r="E218" t="s">
        <v>180</v>
      </c>
      <c r="F218" t="s">
        <v>686</v>
      </c>
      <c r="G218" t="s">
        <v>91</v>
      </c>
      <c r="H218">
        <v>437.2</v>
      </c>
      <c r="I218" t="s">
        <v>122</v>
      </c>
      <c r="J218" t="s">
        <v>50</v>
      </c>
      <c r="K218">
        <v>34</v>
      </c>
      <c r="L218">
        <v>2</v>
      </c>
    </row>
    <row r="219" spans="1:12" x14ac:dyDescent="0.2">
      <c r="A219" t="s">
        <v>687</v>
      </c>
      <c r="B219" t="s">
        <v>688</v>
      </c>
      <c r="C219" t="s">
        <v>14</v>
      </c>
      <c r="D219" t="s">
        <v>54</v>
      </c>
      <c r="E219" t="s">
        <v>317</v>
      </c>
      <c r="F219" t="s">
        <v>689</v>
      </c>
      <c r="G219" t="s">
        <v>40</v>
      </c>
      <c r="H219">
        <v>96.87</v>
      </c>
      <c r="I219" t="s">
        <v>65</v>
      </c>
      <c r="J219" t="s">
        <v>26</v>
      </c>
      <c r="K219">
        <v>82</v>
      </c>
      <c r="L219">
        <v>2</v>
      </c>
    </row>
    <row r="220" spans="1:12" x14ac:dyDescent="0.2">
      <c r="A220" t="s">
        <v>690</v>
      </c>
      <c r="B220" t="s">
        <v>691</v>
      </c>
      <c r="C220" t="s">
        <v>106</v>
      </c>
      <c r="D220" t="s">
        <v>139</v>
      </c>
      <c r="E220" t="s">
        <v>55</v>
      </c>
      <c r="F220" t="s">
        <v>692</v>
      </c>
      <c r="G220" t="s">
        <v>40</v>
      </c>
      <c r="H220">
        <v>59.24</v>
      </c>
      <c r="I220" t="s">
        <v>122</v>
      </c>
      <c r="J220" t="s">
        <v>26</v>
      </c>
      <c r="K220">
        <v>90</v>
      </c>
      <c r="L220">
        <v>5</v>
      </c>
    </row>
    <row r="221" spans="1:12" x14ac:dyDescent="0.2">
      <c r="A221" t="s">
        <v>693</v>
      </c>
      <c r="B221" t="s">
        <v>694</v>
      </c>
      <c r="C221" t="s">
        <v>23</v>
      </c>
      <c r="D221" t="s">
        <v>89</v>
      </c>
      <c r="E221" t="s">
        <v>343</v>
      </c>
      <c r="F221" t="s">
        <v>695</v>
      </c>
      <c r="G221" t="s">
        <v>40</v>
      </c>
      <c r="H221">
        <v>201.78</v>
      </c>
      <c r="I221" t="s">
        <v>65</v>
      </c>
      <c r="J221" t="s">
        <v>26</v>
      </c>
      <c r="K221">
        <v>74</v>
      </c>
      <c r="L221">
        <v>3</v>
      </c>
    </row>
    <row r="222" spans="1:12" x14ac:dyDescent="0.2">
      <c r="A222" t="s">
        <v>696</v>
      </c>
      <c r="B222" t="s">
        <v>697</v>
      </c>
      <c r="C222" t="s">
        <v>44</v>
      </c>
      <c r="D222" t="s">
        <v>61</v>
      </c>
      <c r="E222" t="s">
        <v>113</v>
      </c>
      <c r="F222" t="s">
        <v>698</v>
      </c>
      <c r="G222" t="s">
        <v>33</v>
      </c>
      <c r="H222">
        <v>354.19</v>
      </c>
      <c r="I222" t="s">
        <v>65</v>
      </c>
      <c r="J222" t="s">
        <v>50</v>
      </c>
      <c r="K222">
        <v>34</v>
      </c>
      <c r="L222">
        <v>4</v>
      </c>
    </row>
    <row r="223" spans="1:12" x14ac:dyDescent="0.2">
      <c r="A223" t="s">
        <v>699</v>
      </c>
      <c r="B223" t="s">
        <v>700</v>
      </c>
      <c r="C223" t="s">
        <v>117</v>
      </c>
      <c r="D223" t="s">
        <v>74</v>
      </c>
      <c r="E223" t="s">
        <v>129</v>
      </c>
      <c r="F223" t="s">
        <v>701</v>
      </c>
      <c r="G223" t="s">
        <v>57</v>
      </c>
      <c r="H223">
        <v>218.38</v>
      </c>
      <c r="I223" t="s">
        <v>65</v>
      </c>
      <c r="J223" t="s">
        <v>20</v>
      </c>
      <c r="K223">
        <v>45</v>
      </c>
      <c r="L223">
        <v>2</v>
      </c>
    </row>
    <row r="224" spans="1:12" x14ac:dyDescent="0.2">
      <c r="A224" t="s">
        <v>702</v>
      </c>
      <c r="B224" t="s">
        <v>703</v>
      </c>
      <c r="C224" t="s">
        <v>29</v>
      </c>
      <c r="D224" t="s">
        <v>54</v>
      </c>
      <c r="E224" t="s">
        <v>343</v>
      </c>
      <c r="F224" t="s">
        <v>659</v>
      </c>
      <c r="G224" t="s">
        <v>57</v>
      </c>
      <c r="H224">
        <v>242.63</v>
      </c>
      <c r="I224" t="s">
        <v>19</v>
      </c>
      <c r="J224" t="s">
        <v>41</v>
      </c>
      <c r="K224">
        <v>52</v>
      </c>
      <c r="L224">
        <v>2</v>
      </c>
    </row>
    <row r="225" spans="1:12" x14ac:dyDescent="0.2">
      <c r="A225" t="s">
        <v>704</v>
      </c>
      <c r="B225" t="s">
        <v>705</v>
      </c>
      <c r="C225" t="s">
        <v>14</v>
      </c>
      <c r="D225" t="s">
        <v>89</v>
      </c>
      <c r="E225" t="s">
        <v>473</v>
      </c>
      <c r="F225" t="s">
        <v>706</v>
      </c>
      <c r="G225" t="s">
        <v>48</v>
      </c>
      <c r="H225">
        <v>164.96</v>
      </c>
      <c r="I225" t="s">
        <v>65</v>
      </c>
      <c r="J225" t="s">
        <v>20</v>
      </c>
      <c r="K225">
        <v>75</v>
      </c>
      <c r="L225">
        <v>2</v>
      </c>
    </row>
    <row r="226" spans="1:12" x14ac:dyDescent="0.2">
      <c r="A226" t="s">
        <v>707</v>
      </c>
      <c r="B226" t="s">
        <v>708</v>
      </c>
      <c r="C226" t="s">
        <v>44</v>
      </c>
      <c r="D226" t="s">
        <v>139</v>
      </c>
      <c r="E226" t="s">
        <v>113</v>
      </c>
      <c r="F226" t="s">
        <v>709</v>
      </c>
      <c r="G226" t="s">
        <v>91</v>
      </c>
      <c r="H226">
        <v>157.85</v>
      </c>
      <c r="I226" t="s">
        <v>122</v>
      </c>
      <c r="J226" t="s">
        <v>26</v>
      </c>
      <c r="K226">
        <v>66</v>
      </c>
    </row>
    <row r="227" spans="1:12" x14ac:dyDescent="0.2">
      <c r="A227" t="s">
        <v>710</v>
      </c>
      <c r="B227" t="s">
        <v>711</v>
      </c>
      <c r="C227" t="s">
        <v>14</v>
      </c>
      <c r="D227" t="s">
        <v>54</v>
      </c>
      <c r="E227" t="s">
        <v>349</v>
      </c>
      <c r="F227" t="s">
        <v>712</v>
      </c>
      <c r="G227" t="s">
        <v>48</v>
      </c>
      <c r="H227">
        <v>85.67</v>
      </c>
      <c r="I227" t="s">
        <v>65</v>
      </c>
      <c r="J227" t="s">
        <v>26</v>
      </c>
      <c r="K227">
        <v>54</v>
      </c>
      <c r="L227">
        <v>4</v>
      </c>
    </row>
    <row r="228" spans="1:12" x14ac:dyDescent="0.2">
      <c r="A228" t="s">
        <v>713</v>
      </c>
      <c r="B228" t="s">
        <v>714</v>
      </c>
      <c r="C228" t="s">
        <v>60</v>
      </c>
      <c r="D228" t="s">
        <v>37</v>
      </c>
      <c r="E228" t="s">
        <v>81</v>
      </c>
      <c r="F228" t="s">
        <v>712</v>
      </c>
      <c r="G228" t="s">
        <v>77</v>
      </c>
      <c r="H228">
        <v>136.16</v>
      </c>
      <c r="I228" t="s">
        <v>65</v>
      </c>
      <c r="J228" t="s">
        <v>26</v>
      </c>
      <c r="K228">
        <v>71</v>
      </c>
      <c r="L228">
        <v>3</v>
      </c>
    </row>
    <row r="229" spans="1:12" x14ac:dyDescent="0.2">
      <c r="A229" t="s">
        <v>715</v>
      </c>
      <c r="B229" t="s">
        <v>716</v>
      </c>
      <c r="C229" t="s">
        <v>14</v>
      </c>
      <c r="D229" t="s">
        <v>125</v>
      </c>
      <c r="E229" t="s">
        <v>161</v>
      </c>
      <c r="F229" t="s">
        <v>25</v>
      </c>
      <c r="G229" t="s">
        <v>64</v>
      </c>
      <c r="H229">
        <v>87.64</v>
      </c>
      <c r="I229" t="s">
        <v>65</v>
      </c>
      <c r="J229" t="s">
        <v>50</v>
      </c>
      <c r="K229">
        <v>82</v>
      </c>
      <c r="L229">
        <v>2</v>
      </c>
    </row>
    <row r="230" spans="1:12" x14ac:dyDescent="0.2">
      <c r="A230" t="s">
        <v>717</v>
      </c>
      <c r="B230" t="s">
        <v>718</v>
      </c>
      <c r="C230" t="s">
        <v>53</v>
      </c>
      <c r="D230" t="s">
        <v>80</v>
      </c>
      <c r="E230" t="s">
        <v>16</v>
      </c>
      <c r="F230" t="s">
        <v>285</v>
      </c>
      <c r="G230" t="s">
        <v>91</v>
      </c>
      <c r="H230">
        <v>200.42</v>
      </c>
      <c r="I230" t="s">
        <v>122</v>
      </c>
      <c r="J230" t="s">
        <v>41</v>
      </c>
      <c r="K230">
        <v>67</v>
      </c>
      <c r="L230">
        <v>5</v>
      </c>
    </row>
    <row r="231" spans="1:12" x14ac:dyDescent="0.2">
      <c r="A231" t="s">
        <v>719</v>
      </c>
      <c r="B231" t="s">
        <v>720</v>
      </c>
      <c r="C231" t="s">
        <v>29</v>
      </c>
      <c r="D231" t="s">
        <v>125</v>
      </c>
      <c r="E231" t="s">
        <v>55</v>
      </c>
      <c r="F231" t="s">
        <v>721</v>
      </c>
      <c r="G231" t="s">
        <v>40</v>
      </c>
      <c r="H231">
        <v>338.03</v>
      </c>
      <c r="I231" t="s">
        <v>19</v>
      </c>
      <c r="J231" t="s">
        <v>20</v>
      </c>
      <c r="K231">
        <v>17</v>
      </c>
      <c r="L231">
        <v>1</v>
      </c>
    </row>
    <row r="232" spans="1:12" x14ac:dyDescent="0.2">
      <c r="A232" t="s">
        <v>722</v>
      </c>
      <c r="B232" t="s">
        <v>723</v>
      </c>
      <c r="C232" t="s">
        <v>106</v>
      </c>
      <c r="D232" t="s">
        <v>61</v>
      </c>
      <c r="E232" t="s">
        <v>154</v>
      </c>
      <c r="F232" t="s">
        <v>724</v>
      </c>
      <c r="G232" t="s">
        <v>33</v>
      </c>
      <c r="H232">
        <v>72.209999999999994</v>
      </c>
      <c r="I232" t="s">
        <v>65</v>
      </c>
      <c r="J232" t="s">
        <v>26</v>
      </c>
      <c r="K232">
        <v>22</v>
      </c>
      <c r="L232">
        <v>3</v>
      </c>
    </row>
    <row r="233" spans="1:12" x14ac:dyDescent="0.2">
      <c r="A233" t="s">
        <v>725</v>
      </c>
      <c r="B233" t="s">
        <v>726</v>
      </c>
      <c r="C233" t="s">
        <v>14</v>
      </c>
      <c r="D233" t="s">
        <v>37</v>
      </c>
      <c r="E233" t="s">
        <v>257</v>
      </c>
      <c r="F233" t="s">
        <v>727</v>
      </c>
      <c r="G233" t="s">
        <v>64</v>
      </c>
      <c r="H233">
        <v>138.32</v>
      </c>
      <c r="I233" t="s">
        <v>19</v>
      </c>
      <c r="J233" t="s">
        <v>26</v>
      </c>
      <c r="K233">
        <v>63</v>
      </c>
      <c r="L233">
        <v>3</v>
      </c>
    </row>
    <row r="234" spans="1:12" x14ac:dyDescent="0.2">
      <c r="A234" t="s">
        <v>728</v>
      </c>
      <c r="B234" t="s">
        <v>729</v>
      </c>
      <c r="C234" t="s">
        <v>23</v>
      </c>
      <c r="D234" t="s">
        <v>80</v>
      </c>
      <c r="E234" t="s">
        <v>198</v>
      </c>
      <c r="F234" t="s">
        <v>730</v>
      </c>
      <c r="G234" t="s">
        <v>77</v>
      </c>
      <c r="H234">
        <v>316.31</v>
      </c>
      <c r="I234" t="s">
        <v>122</v>
      </c>
      <c r="J234" t="s">
        <v>50</v>
      </c>
      <c r="K234">
        <v>84</v>
      </c>
      <c r="L234">
        <v>1</v>
      </c>
    </row>
    <row r="235" spans="1:12" x14ac:dyDescent="0.2">
      <c r="A235" t="s">
        <v>731</v>
      </c>
      <c r="B235" t="s">
        <v>732</v>
      </c>
      <c r="C235" t="s">
        <v>23</v>
      </c>
      <c r="D235" t="s">
        <v>74</v>
      </c>
      <c r="E235" t="s">
        <v>302</v>
      </c>
      <c r="F235" t="s">
        <v>733</v>
      </c>
      <c r="G235" t="s">
        <v>91</v>
      </c>
      <c r="H235">
        <v>431.43</v>
      </c>
      <c r="I235" t="s">
        <v>122</v>
      </c>
      <c r="J235" t="s">
        <v>26</v>
      </c>
      <c r="K235">
        <v>85</v>
      </c>
      <c r="L235">
        <v>4</v>
      </c>
    </row>
    <row r="236" spans="1:12" x14ac:dyDescent="0.2">
      <c r="A236" t="s">
        <v>734</v>
      </c>
      <c r="B236" t="s">
        <v>735</v>
      </c>
      <c r="C236" t="s">
        <v>60</v>
      </c>
      <c r="D236" t="s">
        <v>37</v>
      </c>
      <c r="E236" t="s">
        <v>16</v>
      </c>
      <c r="F236" t="s">
        <v>736</v>
      </c>
      <c r="G236" t="s">
        <v>91</v>
      </c>
      <c r="H236">
        <v>400.93</v>
      </c>
      <c r="I236" t="s">
        <v>122</v>
      </c>
      <c r="J236" t="s">
        <v>20</v>
      </c>
      <c r="K236">
        <v>50</v>
      </c>
      <c r="L236">
        <v>5</v>
      </c>
    </row>
    <row r="237" spans="1:12" x14ac:dyDescent="0.2">
      <c r="A237" t="s">
        <v>737</v>
      </c>
      <c r="B237" t="s">
        <v>738</v>
      </c>
      <c r="C237" t="s">
        <v>68</v>
      </c>
      <c r="D237" t="s">
        <v>74</v>
      </c>
      <c r="E237" t="s">
        <v>272</v>
      </c>
      <c r="F237" t="s">
        <v>739</v>
      </c>
      <c r="G237" t="s">
        <v>48</v>
      </c>
      <c r="H237">
        <v>133.76</v>
      </c>
      <c r="I237" t="s">
        <v>49</v>
      </c>
      <c r="J237" t="s">
        <v>26</v>
      </c>
      <c r="K237">
        <v>70</v>
      </c>
      <c r="L237">
        <v>4</v>
      </c>
    </row>
    <row r="238" spans="1:12" x14ac:dyDescent="0.2">
      <c r="A238" t="s">
        <v>740</v>
      </c>
      <c r="B238" t="s">
        <v>741</v>
      </c>
      <c r="C238" t="s">
        <v>60</v>
      </c>
      <c r="D238" t="s">
        <v>89</v>
      </c>
      <c r="E238" t="s">
        <v>132</v>
      </c>
      <c r="F238" t="s">
        <v>742</v>
      </c>
      <c r="G238" t="s">
        <v>91</v>
      </c>
      <c r="H238">
        <v>387.8</v>
      </c>
      <c r="I238" t="s">
        <v>65</v>
      </c>
      <c r="J238" t="s">
        <v>26</v>
      </c>
      <c r="K238">
        <v>75</v>
      </c>
      <c r="L238">
        <v>2</v>
      </c>
    </row>
    <row r="239" spans="1:12" x14ac:dyDescent="0.2">
      <c r="A239" t="s">
        <v>743</v>
      </c>
      <c r="B239" t="s">
        <v>744</v>
      </c>
      <c r="C239" t="s">
        <v>29</v>
      </c>
      <c r="D239" t="s">
        <v>61</v>
      </c>
      <c r="E239" t="s">
        <v>349</v>
      </c>
      <c r="F239" t="s">
        <v>745</v>
      </c>
      <c r="G239" t="s">
        <v>77</v>
      </c>
      <c r="H239">
        <v>337.51</v>
      </c>
      <c r="I239" t="s">
        <v>122</v>
      </c>
      <c r="J239" t="s">
        <v>50</v>
      </c>
      <c r="K239">
        <v>75</v>
      </c>
      <c r="L239">
        <v>2</v>
      </c>
    </row>
    <row r="240" spans="1:12" x14ac:dyDescent="0.2">
      <c r="A240" t="s">
        <v>746</v>
      </c>
      <c r="B240" t="s">
        <v>747</v>
      </c>
      <c r="C240" t="s">
        <v>117</v>
      </c>
      <c r="D240" t="s">
        <v>61</v>
      </c>
      <c r="E240" t="s">
        <v>31</v>
      </c>
      <c r="F240" t="s">
        <v>577</v>
      </c>
      <c r="G240" t="s">
        <v>33</v>
      </c>
      <c r="H240">
        <v>278.51</v>
      </c>
      <c r="I240" t="s">
        <v>65</v>
      </c>
      <c r="J240" t="s">
        <v>20</v>
      </c>
      <c r="K240">
        <v>25</v>
      </c>
      <c r="L240">
        <v>3</v>
      </c>
    </row>
    <row r="241" spans="1:12" x14ac:dyDescent="0.2">
      <c r="A241" t="s">
        <v>748</v>
      </c>
      <c r="B241" t="s">
        <v>729</v>
      </c>
      <c r="C241" t="s">
        <v>68</v>
      </c>
      <c r="D241" t="s">
        <v>15</v>
      </c>
      <c r="E241" t="s">
        <v>75</v>
      </c>
      <c r="F241" t="s">
        <v>749</v>
      </c>
      <c r="G241" t="s">
        <v>40</v>
      </c>
      <c r="H241">
        <v>138.78</v>
      </c>
      <c r="I241" t="s">
        <v>49</v>
      </c>
      <c r="J241" t="s">
        <v>26</v>
      </c>
      <c r="K241">
        <v>90</v>
      </c>
      <c r="L241">
        <v>2</v>
      </c>
    </row>
    <row r="242" spans="1:12" x14ac:dyDescent="0.2">
      <c r="A242" t="s">
        <v>750</v>
      </c>
      <c r="B242" t="s">
        <v>751</v>
      </c>
      <c r="C242" t="s">
        <v>106</v>
      </c>
      <c r="D242" t="s">
        <v>80</v>
      </c>
      <c r="E242" t="s">
        <v>69</v>
      </c>
      <c r="F242" t="s">
        <v>390</v>
      </c>
      <c r="G242" t="s">
        <v>91</v>
      </c>
      <c r="H242">
        <v>342.65</v>
      </c>
      <c r="I242" t="s">
        <v>19</v>
      </c>
      <c r="J242" t="s">
        <v>26</v>
      </c>
      <c r="K242">
        <v>59</v>
      </c>
      <c r="L242">
        <v>1</v>
      </c>
    </row>
    <row r="243" spans="1:12" x14ac:dyDescent="0.2">
      <c r="A243" t="s">
        <v>752</v>
      </c>
      <c r="B243" t="s">
        <v>753</v>
      </c>
      <c r="C243" t="s">
        <v>73</v>
      </c>
      <c r="D243" t="s">
        <v>37</v>
      </c>
      <c r="E243" t="s">
        <v>272</v>
      </c>
      <c r="F243" t="s">
        <v>288</v>
      </c>
      <c r="G243" t="s">
        <v>57</v>
      </c>
      <c r="H243">
        <v>238.6</v>
      </c>
      <c r="I243" t="s">
        <v>19</v>
      </c>
      <c r="J243" t="s">
        <v>26</v>
      </c>
      <c r="K243">
        <v>38</v>
      </c>
      <c r="L243">
        <v>3</v>
      </c>
    </row>
    <row r="244" spans="1:12" x14ac:dyDescent="0.2">
      <c r="A244" t="s">
        <v>754</v>
      </c>
      <c r="B244" t="s">
        <v>755</v>
      </c>
      <c r="C244" t="s">
        <v>60</v>
      </c>
      <c r="D244" t="s">
        <v>45</v>
      </c>
      <c r="E244" t="s">
        <v>24</v>
      </c>
      <c r="F244" t="s">
        <v>756</v>
      </c>
      <c r="G244" t="s">
        <v>48</v>
      </c>
      <c r="H244">
        <v>221.37</v>
      </c>
      <c r="I244" t="s">
        <v>49</v>
      </c>
      <c r="J244" t="s">
        <v>41</v>
      </c>
      <c r="K244">
        <v>59</v>
      </c>
      <c r="L244">
        <v>4</v>
      </c>
    </row>
    <row r="245" spans="1:12" x14ac:dyDescent="0.2">
      <c r="A245" t="s">
        <v>757</v>
      </c>
      <c r="B245" t="s">
        <v>758</v>
      </c>
      <c r="C245" t="s">
        <v>44</v>
      </c>
      <c r="D245" t="s">
        <v>74</v>
      </c>
      <c r="E245" t="s">
        <v>55</v>
      </c>
      <c r="F245" t="s">
        <v>296</v>
      </c>
      <c r="G245" t="s">
        <v>91</v>
      </c>
      <c r="H245">
        <v>421.39</v>
      </c>
      <c r="I245" t="s">
        <v>65</v>
      </c>
      <c r="J245" t="s">
        <v>20</v>
      </c>
      <c r="K245">
        <v>22</v>
      </c>
      <c r="L245">
        <v>2</v>
      </c>
    </row>
    <row r="246" spans="1:12" x14ac:dyDescent="0.2">
      <c r="A246" t="s">
        <v>759</v>
      </c>
      <c r="B246" t="s">
        <v>760</v>
      </c>
      <c r="C246" t="s">
        <v>29</v>
      </c>
      <c r="D246" t="s">
        <v>80</v>
      </c>
      <c r="E246" t="s">
        <v>102</v>
      </c>
      <c r="F246" t="s">
        <v>761</v>
      </c>
      <c r="G246" t="s">
        <v>48</v>
      </c>
      <c r="H246">
        <v>299.06</v>
      </c>
      <c r="I246" t="s">
        <v>122</v>
      </c>
      <c r="J246" t="s">
        <v>20</v>
      </c>
      <c r="K246">
        <v>65</v>
      </c>
      <c r="L246">
        <v>1</v>
      </c>
    </row>
    <row r="247" spans="1:12" x14ac:dyDescent="0.2">
      <c r="A247" t="s">
        <v>762</v>
      </c>
      <c r="B247" t="s">
        <v>763</v>
      </c>
      <c r="C247" t="s">
        <v>44</v>
      </c>
      <c r="D247" t="s">
        <v>45</v>
      </c>
      <c r="E247" t="s">
        <v>69</v>
      </c>
      <c r="F247" t="s">
        <v>764</v>
      </c>
      <c r="G247" t="s">
        <v>33</v>
      </c>
      <c r="H247">
        <v>90.51</v>
      </c>
      <c r="I247" t="s">
        <v>49</v>
      </c>
      <c r="J247" t="s">
        <v>50</v>
      </c>
      <c r="K247">
        <v>55</v>
      </c>
      <c r="L247">
        <v>4</v>
      </c>
    </row>
    <row r="248" spans="1:12" x14ac:dyDescent="0.2">
      <c r="A248" t="s">
        <v>765</v>
      </c>
      <c r="B248" t="s">
        <v>766</v>
      </c>
      <c r="C248" t="s">
        <v>60</v>
      </c>
      <c r="D248" t="s">
        <v>89</v>
      </c>
      <c r="E248" t="s">
        <v>161</v>
      </c>
      <c r="F248" t="s">
        <v>767</v>
      </c>
      <c r="G248" t="s">
        <v>91</v>
      </c>
      <c r="H248">
        <v>116.51</v>
      </c>
      <c r="I248" t="s">
        <v>19</v>
      </c>
      <c r="J248" t="s">
        <v>41</v>
      </c>
      <c r="K248">
        <v>22</v>
      </c>
      <c r="L248">
        <v>2</v>
      </c>
    </row>
    <row r="249" spans="1:12" x14ac:dyDescent="0.2">
      <c r="A249" t="s">
        <v>768</v>
      </c>
      <c r="B249" t="s">
        <v>769</v>
      </c>
      <c r="C249" t="s">
        <v>44</v>
      </c>
      <c r="D249" t="s">
        <v>54</v>
      </c>
      <c r="E249" t="s">
        <v>180</v>
      </c>
      <c r="F249" t="s">
        <v>770</v>
      </c>
      <c r="G249" t="s">
        <v>48</v>
      </c>
      <c r="H249">
        <v>281.75</v>
      </c>
      <c r="I249" t="s">
        <v>49</v>
      </c>
      <c r="J249" t="s">
        <v>20</v>
      </c>
      <c r="K249">
        <v>67</v>
      </c>
      <c r="L249">
        <v>4</v>
      </c>
    </row>
    <row r="250" spans="1:12" x14ac:dyDescent="0.2">
      <c r="A250" t="s">
        <v>771</v>
      </c>
      <c r="B250" t="s">
        <v>772</v>
      </c>
      <c r="C250" t="s">
        <v>68</v>
      </c>
      <c r="D250" t="s">
        <v>45</v>
      </c>
      <c r="E250" t="s">
        <v>102</v>
      </c>
      <c r="F250" t="s">
        <v>773</v>
      </c>
      <c r="G250" t="s">
        <v>77</v>
      </c>
      <c r="H250">
        <v>250.93</v>
      </c>
      <c r="I250" t="s">
        <v>49</v>
      </c>
      <c r="J250" t="s">
        <v>20</v>
      </c>
      <c r="K250">
        <v>82</v>
      </c>
      <c r="L250">
        <v>3</v>
      </c>
    </row>
    <row r="251" spans="1:12" x14ac:dyDescent="0.2">
      <c r="A251" t="s">
        <v>774</v>
      </c>
      <c r="B251" t="s">
        <v>775</v>
      </c>
      <c r="C251" t="s">
        <v>60</v>
      </c>
      <c r="D251" t="s">
        <v>139</v>
      </c>
      <c r="E251" t="s">
        <v>349</v>
      </c>
      <c r="F251" t="s">
        <v>776</v>
      </c>
      <c r="G251" t="s">
        <v>77</v>
      </c>
      <c r="H251">
        <v>329.34</v>
      </c>
      <c r="I251" t="s">
        <v>65</v>
      </c>
      <c r="J251" t="s">
        <v>20</v>
      </c>
      <c r="K251">
        <v>35</v>
      </c>
      <c r="L251">
        <v>2</v>
      </c>
    </row>
    <row r="252" spans="1:12" x14ac:dyDescent="0.2">
      <c r="A252" t="s">
        <v>777</v>
      </c>
      <c r="B252" t="s">
        <v>778</v>
      </c>
      <c r="C252" t="s">
        <v>117</v>
      </c>
      <c r="D252" t="s">
        <v>125</v>
      </c>
      <c r="E252" t="s">
        <v>198</v>
      </c>
      <c r="F252" t="s">
        <v>779</v>
      </c>
      <c r="G252" t="s">
        <v>64</v>
      </c>
      <c r="H252">
        <v>266.60000000000002</v>
      </c>
      <c r="I252" t="s">
        <v>65</v>
      </c>
      <c r="J252" t="s">
        <v>26</v>
      </c>
      <c r="K252">
        <v>78</v>
      </c>
      <c r="L252">
        <v>3</v>
      </c>
    </row>
    <row r="253" spans="1:12" x14ac:dyDescent="0.2">
      <c r="A253" t="s">
        <v>780</v>
      </c>
      <c r="B253" t="s">
        <v>781</v>
      </c>
      <c r="C253" t="s">
        <v>29</v>
      </c>
      <c r="D253" t="s">
        <v>45</v>
      </c>
      <c r="E253" t="s">
        <v>38</v>
      </c>
      <c r="F253" t="s">
        <v>782</v>
      </c>
      <c r="G253" t="s">
        <v>91</v>
      </c>
      <c r="H253">
        <v>103.55</v>
      </c>
      <c r="I253" t="s">
        <v>19</v>
      </c>
      <c r="J253" t="s">
        <v>41</v>
      </c>
      <c r="K253">
        <v>84</v>
      </c>
      <c r="L253">
        <v>3</v>
      </c>
    </row>
    <row r="254" spans="1:12" x14ac:dyDescent="0.2">
      <c r="A254" t="s">
        <v>783</v>
      </c>
      <c r="B254" t="s">
        <v>784</v>
      </c>
      <c r="C254" t="s">
        <v>73</v>
      </c>
      <c r="D254" t="s">
        <v>61</v>
      </c>
      <c r="E254" t="s">
        <v>16</v>
      </c>
      <c r="F254" t="s">
        <v>785</v>
      </c>
      <c r="G254" t="s">
        <v>91</v>
      </c>
      <c r="H254">
        <v>432.3</v>
      </c>
      <c r="I254" t="s">
        <v>19</v>
      </c>
      <c r="J254" t="s">
        <v>20</v>
      </c>
      <c r="K254">
        <v>69</v>
      </c>
      <c r="L254">
        <v>4</v>
      </c>
    </row>
    <row r="255" spans="1:12" x14ac:dyDescent="0.2">
      <c r="A255" t="s">
        <v>786</v>
      </c>
      <c r="B255" t="s">
        <v>787</v>
      </c>
      <c r="C255" t="s">
        <v>29</v>
      </c>
      <c r="D255" t="s">
        <v>37</v>
      </c>
      <c r="E255" t="s">
        <v>473</v>
      </c>
      <c r="F255" t="s">
        <v>681</v>
      </c>
      <c r="G255" t="s">
        <v>18</v>
      </c>
      <c r="H255">
        <v>291.62</v>
      </c>
      <c r="I255" t="s">
        <v>19</v>
      </c>
      <c r="J255" t="s">
        <v>50</v>
      </c>
      <c r="K255">
        <v>15</v>
      </c>
      <c r="L255">
        <v>1</v>
      </c>
    </row>
    <row r="256" spans="1:12" x14ac:dyDescent="0.2">
      <c r="A256" t="s">
        <v>788</v>
      </c>
      <c r="B256" t="s">
        <v>789</v>
      </c>
      <c r="C256" t="s">
        <v>29</v>
      </c>
      <c r="D256" t="s">
        <v>61</v>
      </c>
      <c r="E256" t="s">
        <v>129</v>
      </c>
      <c r="F256" t="s">
        <v>790</v>
      </c>
      <c r="G256" t="s">
        <v>33</v>
      </c>
      <c r="H256">
        <v>438.3</v>
      </c>
      <c r="I256" t="s">
        <v>19</v>
      </c>
      <c r="J256" t="s">
        <v>41</v>
      </c>
      <c r="K256">
        <v>56</v>
      </c>
      <c r="L256">
        <v>5</v>
      </c>
    </row>
    <row r="257" spans="1:12" x14ac:dyDescent="0.2">
      <c r="A257" t="s">
        <v>791</v>
      </c>
      <c r="B257" t="s">
        <v>792</v>
      </c>
      <c r="C257" t="s">
        <v>44</v>
      </c>
      <c r="D257" t="s">
        <v>89</v>
      </c>
      <c r="E257" t="s">
        <v>317</v>
      </c>
      <c r="F257" t="s">
        <v>340</v>
      </c>
      <c r="G257" t="s">
        <v>40</v>
      </c>
      <c r="H257">
        <v>53.35</v>
      </c>
      <c r="I257" t="s">
        <v>122</v>
      </c>
      <c r="J257" t="s">
        <v>20</v>
      </c>
      <c r="K257">
        <v>17</v>
      </c>
      <c r="L257">
        <v>4</v>
      </c>
    </row>
    <row r="258" spans="1:12" x14ac:dyDescent="0.2">
      <c r="A258" t="s">
        <v>793</v>
      </c>
      <c r="B258" t="s">
        <v>794</v>
      </c>
      <c r="C258" t="s">
        <v>23</v>
      </c>
      <c r="D258" t="s">
        <v>37</v>
      </c>
      <c r="E258" t="s">
        <v>113</v>
      </c>
      <c r="F258" t="s">
        <v>795</v>
      </c>
      <c r="G258" t="s">
        <v>33</v>
      </c>
      <c r="H258">
        <v>365.58</v>
      </c>
      <c r="I258" t="s">
        <v>122</v>
      </c>
      <c r="J258" t="s">
        <v>26</v>
      </c>
      <c r="K258">
        <v>78</v>
      </c>
      <c r="L258">
        <v>3</v>
      </c>
    </row>
    <row r="259" spans="1:12" x14ac:dyDescent="0.2">
      <c r="A259" t="s">
        <v>796</v>
      </c>
      <c r="B259" t="s">
        <v>797</v>
      </c>
      <c r="C259" t="s">
        <v>29</v>
      </c>
      <c r="D259" t="s">
        <v>74</v>
      </c>
      <c r="E259" t="s">
        <v>55</v>
      </c>
      <c r="F259" t="s">
        <v>798</v>
      </c>
      <c r="G259" t="s">
        <v>33</v>
      </c>
      <c r="H259">
        <v>192.74</v>
      </c>
      <c r="I259" t="s">
        <v>49</v>
      </c>
      <c r="J259" t="s">
        <v>41</v>
      </c>
      <c r="K259">
        <v>52</v>
      </c>
      <c r="L259">
        <v>5</v>
      </c>
    </row>
    <row r="260" spans="1:12" x14ac:dyDescent="0.2">
      <c r="A260" t="s">
        <v>799</v>
      </c>
      <c r="B260" t="s">
        <v>800</v>
      </c>
      <c r="C260" t="s">
        <v>29</v>
      </c>
      <c r="D260" t="s">
        <v>125</v>
      </c>
      <c r="E260" t="s">
        <v>140</v>
      </c>
      <c r="F260" t="s">
        <v>801</v>
      </c>
      <c r="G260" t="s">
        <v>91</v>
      </c>
      <c r="H260">
        <v>288.33999999999997</v>
      </c>
      <c r="I260" t="s">
        <v>19</v>
      </c>
      <c r="J260" t="s">
        <v>41</v>
      </c>
      <c r="K260">
        <v>17</v>
      </c>
      <c r="L260">
        <v>4</v>
      </c>
    </row>
    <row r="261" spans="1:12" x14ac:dyDescent="0.2">
      <c r="A261" t="s">
        <v>802</v>
      </c>
      <c r="B261" t="s">
        <v>803</v>
      </c>
      <c r="C261" t="s">
        <v>14</v>
      </c>
      <c r="D261" t="s">
        <v>125</v>
      </c>
      <c r="E261" t="s">
        <v>75</v>
      </c>
      <c r="F261" t="s">
        <v>353</v>
      </c>
      <c r="G261" t="s">
        <v>77</v>
      </c>
      <c r="H261">
        <v>207.67</v>
      </c>
      <c r="I261" t="s">
        <v>49</v>
      </c>
      <c r="J261" t="s">
        <v>50</v>
      </c>
      <c r="K261">
        <v>67</v>
      </c>
      <c r="L261">
        <v>2</v>
      </c>
    </row>
    <row r="262" spans="1:12" x14ac:dyDescent="0.2">
      <c r="A262" t="s">
        <v>804</v>
      </c>
      <c r="B262" t="s">
        <v>805</v>
      </c>
      <c r="C262" t="s">
        <v>23</v>
      </c>
      <c r="D262" t="s">
        <v>125</v>
      </c>
      <c r="E262" t="s">
        <v>343</v>
      </c>
      <c r="F262" t="s">
        <v>806</v>
      </c>
      <c r="G262" t="s">
        <v>57</v>
      </c>
      <c r="H262">
        <v>258.2</v>
      </c>
      <c r="I262" t="s">
        <v>65</v>
      </c>
      <c r="J262" t="s">
        <v>20</v>
      </c>
      <c r="K262">
        <v>65</v>
      </c>
      <c r="L262">
        <v>4</v>
      </c>
    </row>
    <row r="263" spans="1:12" x14ac:dyDescent="0.2">
      <c r="A263" t="s">
        <v>807</v>
      </c>
      <c r="B263" t="s">
        <v>808</v>
      </c>
      <c r="C263" t="s">
        <v>53</v>
      </c>
      <c r="D263" t="s">
        <v>89</v>
      </c>
      <c r="E263" t="s">
        <v>180</v>
      </c>
      <c r="F263" t="s">
        <v>63</v>
      </c>
      <c r="G263" t="s">
        <v>18</v>
      </c>
      <c r="H263">
        <v>424.24</v>
      </c>
      <c r="I263" t="s">
        <v>122</v>
      </c>
      <c r="J263" t="s">
        <v>41</v>
      </c>
      <c r="K263">
        <v>71</v>
      </c>
      <c r="L263">
        <v>1</v>
      </c>
    </row>
    <row r="264" spans="1:12" x14ac:dyDescent="0.2">
      <c r="A264" t="s">
        <v>809</v>
      </c>
      <c r="B264" t="s">
        <v>810</v>
      </c>
      <c r="C264" t="s">
        <v>23</v>
      </c>
      <c r="D264" t="s">
        <v>89</v>
      </c>
      <c r="E264" t="s">
        <v>31</v>
      </c>
      <c r="F264" t="s">
        <v>811</v>
      </c>
      <c r="G264" t="s">
        <v>91</v>
      </c>
      <c r="H264">
        <v>111.67</v>
      </c>
      <c r="I264" t="s">
        <v>19</v>
      </c>
      <c r="J264" t="s">
        <v>41</v>
      </c>
      <c r="K264">
        <v>50</v>
      </c>
      <c r="L264">
        <v>2</v>
      </c>
    </row>
    <row r="265" spans="1:12" x14ac:dyDescent="0.2">
      <c r="A265" t="s">
        <v>812</v>
      </c>
      <c r="B265" t="s">
        <v>813</v>
      </c>
      <c r="C265" t="s">
        <v>44</v>
      </c>
      <c r="D265" t="s">
        <v>74</v>
      </c>
      <c r="E265" t="s">
        <v>55</v>
      </c>
      <c r="F265" t="s">
        <v>814</v>
      </c>
      <c r="G265" t="s">
        <v>57</v>
      </c>
      <c r="H265">
        <v>360.85</v>
      </c>
      <c r="I265" t="s">
        <v>49</v>
      </c>
      <c r="J265" t="s">
        <v>20</v>
      </c>
      <c r="K265">
        <v>87</v>
      </c>
      <c r="L265">
        <v>5</v>
      </c>
    </row>
    <row r="266" spans="1:12" x14ac:dyDescent="0.2">
      <c r="A266" t="s">
        <v>815</v>
      </c>
      <c r="B266" t="s">
        <v>816</v>
      </c>
      <c r="C266" t="s">
        <v>44</v>
      </c>
      <c r="D266" t="s">
        <v>139</v>
      </c>
      <c r="E266" t="s">
        <v>180</v>
      </c>
      <c r="F266" t="s">
        <v>817</v>
      </c>
      <c r="G266" t="s">
        <v>33</v>
      </c>
      <c r="H266">
        <v>221.96</v>
      </c>
      <c r="I266" t="s">
        <v>19</v>
      </c>
      <c r="J266" t="s">
        <v>26</v>
      </c>
      <c r="K266">
        <v>67</v>
      </c>
      <c r="L266">
        <v>2</v>
      </c>
    </row>
    <row r="267" spans="1:12" x14ac:dyDescent="0.2">
      <c r="A267" t="s">
        <v>818</v>
      </c>
      <c r="B267" t="s">
        <v>784</v>
      </c>
      <c r="C267" t="s">
        <v>53</v>
      </c>
      <c r="D267" t="s">
        <v>89</v>
      </c>
      <c r="E267" t="s">
        <v>16</v>
      </c>
      <c r="F267" t="s">
        <v>819</v>
      </c>
      <c r="G267" t="s">
        <v>77</v>
      </c>
      <c r="H267">
        <v>257.98</v>
      </c>
      <c r="I267" t="s">
        <v>19</v>
      </c>
      <c r="J267" t="s">
        <v>50</v>
      </c>
      <c r="K267">
        <v>42</v>
      </c>
      <c r="L267">
        <v>4</v>
      </c>
    </row>
    <row r="268" spans="1:12" x14ac:dyDescent="0.2">
      <c r="A268" t="s">
        <v>820</v>
      </c>
      <c r="B268" t="s">
        <v>821</v>
      </c>
      <c r="C268" t="s">
        <v>73</v>
      </c>
      <c r="D268" t="s">
        <v>54</v>
      </c>
      <c r="E268" t="s">
        <v>161</v>
      </c>
      <c r="F268" t="s">
        <v>580</v>
      </c>
      <c r="G268" t="s">
        <v>48</v>
      </c>
      <c r="H268">
        <v>175.03</v>
      </c>
      <c r="I268" t="s">
        <v>122</v>
      </c>
      <c r="J268" t="s">
        <v>26</v>
      </c>
      <c r="K268">
        <v>34</v>
      </c>
      <c r="L268">
        <v>5</v>
      </c>
    </row>
    <row r="269" spans="1:12" x14ac:dyDescent="0.2">
      <c r="A269" t="s">
        <v>822</v>
      </c>
      <c r="B269" t="s">
        <v>823</v>
      </c>
      <c r="C269" t="s">
        <v>60</v>
      </c>
      <c r="D269" t="s">
        <v>74</v>
      </c>
      <c r="E269" t="s">
        <v>46</v>
      </c>
      <c r="F269" t="s">
        <v>824</v>
      </c>
      <c r="G269" t="s">
        <v>57</v>
      </c>
      <c r="H269">
        <v>124.54</v>
      </c>
      <c r="I269" t="s">
        <v>49</v>
      </c>
      <c r="J269" t="s">
        <v>26</v>
      </c>
      <c r="K269">
        <v>87</v>
      </c>
      <c r="L269">
        <v>2</v>
      </c>
    </row>
    <row r="270" spans="1:12" x14ac:dyDescent="0.2">
      <c r="A270" t="s">
        <v>825</v>
      </c>
      <c r="B270" t="s">
        <v>826</v>
      </c>
      <c r="C270" t="s">
        <v>14</v>
      </c>
      <c r="D270" t="s">
        <v>125</v>
      </c>
      <c r="E270" t="s">
        <v>132</v>
      </c>
      <c r="F270" t="s">
        <v>403</v>
      </c>
      <c r="G270" t="s">
        <v>91</v>
      </c>
      <c r="H270">
        <v>331.25</v>
      </c>
      <c r="I270" t="s">
        <v>49</v>
      </c>
      <c r="J270" t="s">
        <v>26</v>
      </c>
      <c r="K270">
        <v>31</v>
      </c>
      <c r="L270">
        <v>3</v>
      </c>
    </row>
    <row r="271" spans="1:12" x14ac:dyDescent="0.2">
      <c r="A271" t="s">
        <v>827</v>
      </c>
      <c r="B271" t="s">
        <v>828</v>
      </c>
      <c r="C271" t="s">
        <v>23</v>
      </c>
      <c r="D271" t="s">
        <v>61</v>
      </c>
      <c r="E271" t="s">
        <v>140</v>
      </c>
      <c r="F271" t="s">
        <v>829</v>
      </c>
      <c r="G271" t="s">
        <v>48</v>
      </c>
      <c r="H271">
        <v>54.92</v>
      </c>
      <c r="I271" t="s">
        <v>49</v>
      </c>
      <c r="J271" t="s">
        <v>26</v>
      </c>
      <c r="K271">
        <v>90</v>
      </c>
      <c r="L271">
        <v>5</v>
      </c>
    </row>
    <row r="272" spans="1:12" x14ac:dyDescent="0.2">
      <c r="A272" t="s">
        <v>830</v>
      </c>
      <c r="B272" t="s">
        <v>831</v>
      </c>
      <c r="C272" t="s">
        <v>23</v>
      </c>
      <c r="D272" t="s">
        <v>54</v>
      </c>
      <c r="E272" t="s">
        <v>69</v>
      </c>
      <c r="F272" t="s">
        <v>223</v>
      </c>
      <c r="G272" t="s">
        <v>91</v>
      </c>
      <c r="H272">
        <v>365.63</v>
      </c>
      <c r="I272" t="s">
        <v>65</v>
      </c>
      <c r="J272" t="s">
        <v>41</v>
      </c>
      <c r="K272">
        <v>60</v>
      </c>
      <c r="L272">
        <v>1</v>
      </c>
    </row>
    <row r="273" spans="1:12" x14ac:dyDescent="0.2">
      <c r="A273" t="s">
        <v>832</v>
      </c>
      <c r="B273" t="s">
        <v>833</v>
      </c>
      <c r="C273" t="s">
        <v>117</v>
      </c>
      <c r="D273" t="s">
        <v>125</v>
      </c>
      <c r="E273" t="s">
        <v>140</v>
      </c>
      <c r="F273" t="s">
        <v>583</v>
      </c>
      <c r="G273" t="s">
        <v>77</v>
      </c>
      <c r="H273">
        <v>126.44</v>
      </c>
      <c r="I273" t="s">
        <v>19</v>
      </c>
      <c r="J273" t="s">
        <v>20</v>
      </c>
      <c r="K273">
        <v>44</v>
      </c>
      <c r="L273">
        <v>5</v>
      </c>
    </row>
    <row r="274" spans="1:12" x14ac:dyDescent="0.2">
      <c r="A274" t="s">
        <v>834</v>
      </c>
      <c r="B274" t="s">
        <v>835</v>
      </c>
      <c r="C274" t="s">
        <v>53</v>
      </c>
      <c r="D274" t="s">
        <v>139</v>
      </c>
      <c r="E274" t="s">
        <v>118</v>
      </c>
      <c r="F274" t="s">
        <v>654</v>
      </c>
      <c r="G274" t="s">
        <v>48</v>
      </c>
      <c r="H274">
        <v>366.33</v>
      </c>
      <c r="I274" t="s">
        <v>65</v>
      </c>
      <c r="J274" t="s">
        <v>41</v>
      </c>
      <c r="K274">
        <v>64</v>
      </c>
      <c r="L274">
        <v>3</v>
      </c>
    </row>
    <row r="275" spans="1:12" x14ac:dyDescent="0.2">
      <c r="A275" t="s">
        <v>836</v>
      </c>
      <c r="B275" t="s">
        <v>837</v>
      </c>
      <c r="C275" t="s">
        <v>73</v>
      </c>
      <c r="D275" t="s">
        <v>89</v>
      </c>
      <c r="E275" t="s">
        <v>55</v>
      </c>
      <c r="F275" t="s">
        <v>457</v>
      </c>
      <c r="G275" t="s">
        <v>64</v>
      </c>
      <c r="H275">
        <v>428.94</v>
      </c>
      <c r="I275" t="s">
        <v>65</v>
      </c>
      <c r="J275" t="s">
        <v>26</v>
      </c>
      <c r="K275">
        <v>16</v>
      </c>
    </row>
    <row r="276" spans="1:12" x14ac:dyDescent="0.2">
      <c r="A276" t="s">
        <v>838</v>
      </c>
      <c r="B276" t="s">
        <v>839</v>
      </c>
      <c r="C276" t="s">
        <v>23</v>
      </c>
      <c r="D276" t="s">
        <v>61</v>
      </c>
      <c r="E276" t="s">
        <v>31</v>
      </c>
      <c r="F276" t="s">
        <v>840</v>
      </c>
      <c r="G276" t="s">
        <v>64</v>
      </c>
      <c r="H276">
        <v>85.63</v>
      </c>
      <c r="I276" t="s">
        <v>122</v>
      </c>
      <c r="J276" t="s">
        <v>50</v>
      </c>
      <c r="K276">
        <v>74</v>
      </c>
      <c r="L276">
        <v>3</v>
      </c>
    </row>
    <row r="277" spans="1:12" x14ac:dyDescent="0.2">
      <c r="A277" t="s">
        <v>841</v>
      </c>
      <c r="B277" t="s">
        <v>842</v>
      </c>
      <c r="C277" t="s">
        <v>23</v>
      </c>
      <c r="D277" t="s">
        <v>37</v>
      </c>
      <c r="E277" t="s">
        <v>257</v>
      </c>
      <c r="F277" t="s">
        <v>843</v>
      </c>
      <c r="G277" t="s">
        <v>64</v>
      </c>
      <c r="H277">
        <v>247.39</v>
      </c>
      <c r="I277" t="s">
        <v>65</v>
      </c>
      <c r="J277" t="s">
        <v>26</v>
      </c>
      <c r="K277">
        <v>78</v>
      </c>
    </row>
    <row r="278" spans="1:12" x14ac:dyDescent="0.2">
      <c r="A278" t="s">
        <v>844</v>
      </c>
      <c r="B278" t="s">
        <v>845</v>
      </c>
      <c r="C278" t="s">
        <v>60</v>
      </c>
      <c r="D278" t="s">
        <v>61</v>
      </c>
      <c r="E278" t="s">
        <v>238</v>
      </c>
      <c r="F278" t="s">
        <v>846</v>
      </c>
      <c r="G278" t="s">
        <v>40</v>
      </c>
      <c r="H278">
        <v>335.26</v>
      </c>
      <c r="I278" t="s">
        <v>122</v>
      </c>
      <c r="J278" t="s">
        <v>50</v>
      </c>
      <c r="K278">
        <v>54</v>
      </c>
      <c r="L278">
        <v>5</v>
      </c>
    </row>
    <row r="279" spans="1:12" x14ac:dyDescent="0.2">
      <c r="A279" t="s">
        <v>847</v>
      </c>
      <c r="B279" t="s">
        <v>848</v>
      </c>
      <c r="C279" t="s">
        <v>14</v>
      </c>
      <c r="D279" t="s">
        <v>80</v>
      </c>
      <c r="E279" t="s">
        <v>302</v>
      </c>
      <c r="F279" t="s">
        <v>849</v>
      </c>
      <c r="G279" t="s">
        <v>18</v>
      </c>
      <c r="H279">
        <v>102.94</v>
      </c>
      <c r="I279" t="s">
        <v>65</v>
      </c>
      <c r="J279" t="s">
        <v>26</v>
      </c>
      <c r="K279">
        <v>53</v>
      </c>
      <c r="L279">
        <v>5</v>
      </c>
    </row>
    <row r="280" spans="1:12" x14ac:dyDescent="0.2">
      <c r="A280" t="s">
        <v>850</v>
      </c>
      <c r="B280" t="s">
        <v>851</v>
      </c>
      <c r="C280" t="s">
        <v>53</v>
      </c>
      <c r="D280" t="s">
        <v>89</v>
      </c>
      <c r="E280" t="s">
        <v>132</v>
      </c>
      <c r="F280" t="s">
        <v>98</v>
      </c>
      <c r="G280" t="s">
        <v>57</v>
      </c>
      <c r="H280">
        <v>430.34</v>
      </c>
      <c r="I280" t="s">
        <v>49</v>
      </c>
      <c r="J280" t="s">
        <v>20</v>
      </c>
      <c r="K280">
        <v>51</v>
      </c>
    </row>
    <row r="281" spans="1:12" x14ac:dyDescent="0.2">
      <c r="A281" t="s">
        <v>852</v>
      </c>
      <c r="B281" t="s">
        <v>853</v>
      </c>
      <c r="C281" t="s">
        <v>44</v>
      </c>
      <c r="D281" t="s">
        <v>61</v>
      </c>
      <c r="E281" t="s">
        <v>31</v>
      </c>
      <c r="F281" t="s">
        <v>854</v>
      </c>
      <c r="G281" t="s">
        <v>57</v>
      </c>
      <c r="H281">
        <v>299.7</v>
      </c>
      <c r="I281" t="s">
        <v>49</v>
      </c>
      <c r="J281" t="s">
        <v>20</v>
      </c>
      <c r="K281">
        <v>29</v>
      </c>
      <c r="L281">
        <v>5</v>
      </c>
    </row>
    <row r="282" spans="1:12" x14ac:dyDescent="0.2">
      <c r="A282" t="s">
        <v>855</v>
      </c>
      <c r="B282" t="s">
        <v>856</v>
      </c>
      <c r="C282" t="s">
        <v>23</v>
      </c>
      <c r="D282" t="s">
        <v>45</v>
      </c>
      <c r="E282" t="s">
        <v>154</v>
      </c>
      <c r="F282" t="s">
        <v>857</v>
      </c>
      <c r="G282" t="s">
        <v>64</v>
      </c>
      <c r="H282">
        <v>446.52</v>
      </c>
      <c r="I282" t="s">
        <v>65</v>
      </c>
      <c r="J282" t="s">
        <v>20</v>
      </c>
      <c r="K282">
        <v>38</v>
      </c>
      <c r="L282">
        <v>2</v>
      </c>
    </row>
    <row r="283" spans="1:12" x14ac:dyDescent="0.2">
      <c r="A283" t="s">
        <v>858</v>
      </c>
      <c r="B283" t="s">
        <v>859</v>
      </c>
      <c r="C283" t="s">
        <v>73</v>
      </c>
      <c r="D283" t="s">
        <v>37</v>
      </c>
      <c r="E283" t="s">
        <v>129</v>
      </c>
      <c r="F283" t="s">
        <v>860</v>
      </c>
      <c r="G283" t="s">
        <v>57</v>
      </c>
      <c r="H283">
        <v>392.04</v>
      </c>
      <c r="I283" t="s">
        <v>49</v>
      </c>
      <c r="J283" t="s">
        <v>26</v>
      </c>
      <c r="K283">
        <v>45</v>
      </c>
    </row>
    <row r="284" spans="1:12" x14ac:dyDescent="0.2">
      <c r="A284" t="s">
        <v>861</v>
      </c>
      <c r="B284" t="s">
        <v>862</v>
      </c>
      <c r="C284" t="s">
        <v>53</v>
      </c>
      <c r="D284" t="s">
        <v>74</v>
      </c>
      <c r="E284" t="s">
        <v>97</v>
      </c>
      <c r="F284" t="s">
        <v>863</v>
      </c>
      <c r="G284" t="s">
        <v>57</v>
      </c>
      <c r="H284">
        <v>401.06</v>
      </c>
      <c r="I284" t="s">
        <v>122</v>
      </c>
      <c r="J284" t="s">
        <v>26</v>
      </c>
      <c r="K284">
        <v>42</v>
      </c>
      <c r="L284">
        <v>4</v>
      </c>
    </row>
    <row r="285" spans="1:12" x14ac:dyDescent="0.2">
      <c r="A285" t="s">
        <v>864</v>
      </c>
      <c r="B285" t="s">
        <v>865</v>
      </c>
      <c r="C285" t="s">
        <v>73</v>
      </c>
      <c r="D285" t="s">
        <v>80</v>
      </c>
      <c r="E285" t="s">
        <v>129</v>
      </c>
      <c r="F285" t="s">
        <v>866</v>
      </c>
      <c r="G285" t="s">
        <v>64</v>
      </c>
      <c r="H285">
        <v>371.11</v>
      </c>
      <c r="I285" t="s">
        <v>49</v>
      </c>
      <c r="J285" t="s">
        <v>41</v>
      </c>
      <c r="K285">
        <v>76</v>
      </c>
      <c r="L285">
        <v>5</v>
      </c>
    </row>
    <row r="286" spans="1:12" x14ac:dyDescent="0.2">
      <c r="A286" t="s">
        <v>867</v>
      </c>
      <c r="B286" t="s">
        <v>868</v>
      </c>
      <c r="C286" t="s">
        <v>117</v>
      </c>
      <c r="D286" t="s">
        <v>15</v>
      </c>
      <c r="E286" t="s">
        <v>85</v>
      </c>
      <c r="F286" t="s">
        <v>869</v>
      </c>
      <c r="G286" t="s">
        <v>33</v>
      </c>
      <c r="H286">
        <v>387</v>
      </c>
      <c r="I286" t="s">
        <v>122</v>
      </c>
      <c r="J286" t="s">
        <v>20</v>
      </c>
      <c r="K286">
        <v>76</v>
      </c>
      <c r="L286">
        <v>3</v>
      </c>
    </row>
    <row r="287" spans="1:12" x14ac:dyDescent="0.2">
      <c r="A287" t="s">
        <v>870</v>
      </c>
      <c r="B287" t="s">
        <v>871</v>
      </c>
      <c r="C287" t="s">
        <v>68</v>
      </c>
      <c r="D287" t="s">
        <v>139</v>
      </c>
      <c r="E287" t="s">
        <v>302</v>
      </c>
      <c r="F287" t="s">
        <v>32</v>
      </c>
      <c r="G287" t="s">
        <v>40</v>
      </c>
      <c r="H287">
        <v>126.54</v>
      </c>
      <c r="I287" t="s">
        <v>49</v>
      </c>
      <c r="J287" t="s">
        <v>41</v>
      </c>
      <c r="K287">
        <v>85</v>
      </c>
      <c r="L287">
        <v>5</v>
      </c>
    </row>
    <row r="288" spans="1:12" x14ac:dyDescent="0.2">
      <c r="A288" t="s">
        <v>872</v>
      </c>
      <c r="B288" t="s">
        <v>873</v>
      </c>
      <c r="C288" t="s">
        <v>44</v>
      </c>
      <c r="D288" t="s">
        <v>37</v>
      </c>
      <c r="E288" t="s">
        <v>129</v>
      </c>
      <c r="F288" t="s">
        <v>874</v>
      </c>
      <c r="G288" t="s">
        <v>33</v>
      </c>
      <c r="H288">
        <v>460.57</v>
      </c>
      <c r="I288" t="s">
        <v>65</v>
      </c>
      <c r="J288" t="s">
        <v>41</v>
      </c>
      <c r="K288">
        <v>40</v>
      </c>
    </row>
    <row r="289" spans="1:12" x14ac:dyDescent="0.2">
      <c r="A289" t="s">
        <v>875</v>
      </c>
      <c r="B289" t="s">
        <v>876</v>
      </c>
      <c r="C289" t="s">
        <v>68</v>
      </c>
      <c r="D289" t="s">
        <v>139</v>
      </c>
      <c r="E289" t="s">
        <v>238</v>
      </c>
      <c r="F289" t="s">
        <v>226</v>
      </c>
      <c r="G289" t="s">
        <v>91</v>
      </c>
      <c r="H289">
        <v>425</v>
      </c>
      <c r="I289" t="s">
        <v>122</v>
      </c>
      <c r="J289" t="s">
        <v>41</v>
      </c>
      <c r="K289">
        <v>61</v>
      </c>
      <c r="L289">
        <v>4</v>
      </c>
    </row>
    <row r="290" spans="1:12" x14ac:dyDescent="0.2">
      <c r="A290" t="s">
        <v>877</v>
      </c>
      <c r="B290" t="s">
        <v>878</v>
      </c>
      <c r="C290" t="s">
        <v>117</v>
      </c>
      <c r="D290" t="s">
        <v>54</v>
      </c>
      <c r="E290" t="s">
        <v>302</v>
      </c>
      <c r="F290" t="s">
        <v>879</v>
      </c>
      <c r="G290" t="s">
        <v>91</v>
      </c>
      <c r="H290">
        <v>66.400000000000006</v>
      </c>
      <c r="I290" t="s">
        <v>65</v>
      </c>
      <c r="J290" t="s">
        <v>20</v>
      </c>
      <c r="K290">
        <v>20</v>
      </c>
      <c r="L290">
        <v>5</v>
      </c>
    </row>
    <row r="291" spans="1:12" x14ac:dyDescent="0.2">
      <c r="A291" t="s">
        <v>880</v>
      </c>
      <c r="B291" t="s">
        <v>881</v>
      </c>
      <c r="C291" t="s">
        <v>106</v>
      </c>
      <c r="D291" t="s">
        <v>80</v>
      </c>
      <c r="E291" t="s">
        <v>144</v>
      </c>
      <c r="F291" t="s">
        <v>882</v>
      </c>
      <c r="G291" t="s">
        <v>57</v>
      </c>
      <c r="H291">
        <v>343.16</v>
      </c>
      <c r="I291" t="s">
        <v>19</v>
      </c>
      <c r="J291" t="s">
        <v>20</v>
      </c>
      <c r="K291">
        <v>23</v>
      </c>
      <c r="L291">
        <v>1</v>
      </c>
    </row>
    <row r="292" spans="1:12" x14ac:dyDescent="0.2">
      <c r="A292" t="s">
        <v>883</v>
      </c>
      <c r="B292" t="s">
        <v>552</v>
      </c>
      <c r="C292" t="s">
        <v>44</v>
      </c>
      <c r="D292" t="s">
        <v>139</v>
      </c>
      <c r="E292" t="s">
        <v>302</v>
      </c>
      <c r="F292" t="s">
        <v>843</v>
      </c>
      <c r="G292" t="s">
        <v>77</v>
      </c>
      <c r="H292">
        <v>276.95</v>
      </c>
      <c r="I292" t="s">
        <v>65</v>
      </c>
      <c r="J292" t="s">
        <v>50</v>
      </c>
      <c r="K292">
        <v>76</v>
      </c>
      <c r="L292">
        <v>1</v>
      </c>
    </row>
    <row r="293" spans="1:12" x14ac:dyDescent="0.2">
      <c r="A293" t="s">
        <v>884</v>
      </c>
      <c r="B293" t="s">
        <v>885</v>
      </c>
      <c r="C293" t="s">
        <v>106</v>
      </c>
      <c r="D293" t="s">
        <v>80</v>
      </c>
      <c r="E293" t="s">
        <v>154</v>
      </c>
      <c r="F293" t="s">
        <v>886</v>
      </c>
      <c r="G293" t="s">
        <v>48</v>
      </c>
      <c r="H293">
        <v>87.06</v>
      </c>
      <c r="I293" t="s">
        <v>49</v>
      </c>
      <c r="J293" t="s">
        <v>20</v>
      </c>
      <c r="K293">
        <v>27</v>
      </c>
      <c r="L293">
        <v>4</v>
      </c>
    </row>
    <row r="294" spans="1:12" x14ac:dyDescent="0.2">
      <c r="A294" t="s">
        <v>887</v>
      </c>
      <c r="B294" t="s">
        <v>888</v>
      </c>
      <c r="C294" t="s">
        <v>44</v>
      </c>
      <c r="D294" t="s">
        <v>54</v>
      </c>
      <c r="E294" t="s">
        <v>140</v>
      </c>
      <c r="F294" t="s">
        <v>889</v>
      </c>
      <c r="G294" t="s">
        <v>33</v>
      </c>
      <c r="H294">
        <v>207.28</v>
      </c>
      <c r="I294" t="s">
        <v>65</v>
      </c>
      <c r="J294" t="s">
        <v>41</v>
      </c>
      <c r="K294">
        <v>87</v>
      </c>
      <c r="L294">
        <v>5</v>
      </c>
    </row>
    <row r="295" spans="1:12" x14ac:dyDescent="0.2">
      <c r="A295" t="s">
        <v>890</v>
      </c>
      <c r="B295" t="s">
        <v>891</v>
      </c>
      <c r="C295" t="s">
        <v>106</v>
      </c>
      <c r="D295" t="s">
        <v>80</v>
      </c>
      <c r="E295" t="s">
        <v>118</v>
      </c>
      <c r="F295" t="s">
        <v>892</v>
      </c>
      <c r="G295" t="s">
        <v>57</v>
      </c>
      <c r="H295">
        <v>156.06</v>
      </c>
      <c r="I295" t="s">
        <v>19</v>
      </c>
      <c r="J295" t="s">
        <v>20</v>
      </c>
      <c r="K295">
        <v>86</v>
      </c>
      <c r="L295">
        <v>2</v>
      </c>
    </row>
    <row r="296" spans="1:12" x14ac:dyDescent="0.2">
      <c r="A296" t="s">
        <v>893</v>
      </c>
      <c r="B296" t="s">
        <v>894</v>
      </c>
      <c r="C296" t="s">
        <v>73</v>
      </c>
      <c r="D296" t="s">
        <v>139</v>
      </c>
      <c r="E296" t="s">
        <v>113</v>
      </c>
      <c r="F296" t="s">
        <v>434</v>
      </c>
      <c r="G296" t="s">
        <v>57</v>
      </c>
      <c r="H296">
        <v>302.89</v>
      </c>
      <c r="I296" t="s">
        <v>122</v>
      </c>
      <c r="J296" t="s">
        <v>41</v>
      </c>
      <c r="K296">
        <v>18</v>
      </c>
      <c r="L296">
        <v>2</v>
      </c>
    </row>
    <row r="297" spans="1:12" x14ac:dyDescent="0.2">
      <c r="A297" t="s">
        <v>895</v>
      </c>
      <c r="B297" t="s">
        <v>896</v>
      </c>
      <c r="C297" t="s">
        <v>73</v>
      </c>
      <c r="D297" t="s">
        <v>74</v>
      </c>
      <c r="E297" t="s">
        <v>257</v>
      </c>
      <c r="F297" t="s">
        <v>502</v>
      </c>
      <c r="G297" t="s">
        <v>57</v>
      </c>
      <c r="H297">
        <v>228.44</v>
      </c>
      <c r="I297" t="s">
        <v>19</v>
      </c>
      <c r="J297" t="s">
        <v>20</v>
      </c>
      <c r="K297">
        <v>83</v>
      </c>
      <c r="L297">
        <v>5</v>
      </c>
    </row>
    <row r="298" spans="1:12" x14ac:dyDescent="0.2">
      <c r="A298" t="s">
        <v>897</v>
      </c>
      <c r="B298" t="s">
        <v>898</v>
      </c>
      <c r="C298" t="s">
        <v>117</v>
      </c>
      <c r="D298" t="s">
        <v>61</v>
      </c>
      <c r="E298" t="s">
        <v>113</v>
      </c>
      <c r="F298" t="s">
        <v>574</v>
      </c>
      <c r="G298" t="s">
        <v>33</v>
      </c>
      <c r="H298">
        <v>197.32</v>
      </c>
      <c r="I298" t="s">
        <v>49</v>
      </c>
      <c r="J298" t="s">
        <v>20</v>
      </c>
      <c r="K298">
        <v>88</v>
      </c>
    </row>
    <row r="299" spans="1:12" x14ac:dyDescent="0.2">
      <c r="A299" t="s">
        <v>899</v>
      </c>
      <c r="B299" t="s">
        <v>900</v>
      </c>
      <c r="C299" t="s">
        <v>14</v>
      </c>
      <c r="D299" t="s">
        <v>15</v>
      </c>
      <c r="E299" t="s">
        <v>129</v>
      </c>
      <c r="F299" t="s">
        <v>901</v>
      </c>
      <c r="G299" t="s">
        <v>64</v>
      </c>
      <c r="H299">
        <v>284.83</v>
      </c>
      <c r="I299" t="s">
        <v>49</v>
      </c>
      <c r="J299" t="s">
        <v>20</v>
      </c>
      <c r="K299">
        <v>41</v>
      </c>
      <c r="L299">
        <v>4</v>
      </c>
    </row>
    <row r="300" spans="1:12" x14ac:dyDescent="0.2">
      <c r="A300" t="s">
        <v>902</v>
      </c>
      <c r="B300" t="s">
        <v>903</v>
      </c>
      <c r="C300" t="s">
        <v>73</v>
      </c>
      <c r="D300" t="s">
        <v>125</v>
      </c>
      <c r="E300" t="s">
        <v>140</v>
      </c>
      <c r="F300" t="s">
        <v>378</v>
      </c>
      <c r="G300" t="s">
        <v>77</v>
      </c>
      <c r="H300">
        <v>182.7</v>
      </c>
      <c r="I300" t="s">
        <v>65</v>
      </c>
      <c r="J300" t="s">
        <v>50</v>
      </c>
      <c r="K300">
        <v>63</v>
      </c>
      <c r="L300">
        <v>4</v>
      </c>
    </row>
    <row r="301" spans="1:12" x14ac:dyDescent="0.2">
      <c r="A301" t="s">
        <v>904</v>
      </c>
      <c r="B301" t="s">
        <v>905</v>
      </c>
      <c r="C301" t="s">
        <v>68</v>
      </c>
      <c r="D301" t="s">
        <v>139</v>
      </c>
      <c r="E301" t="s">
        <v>102</v>
      </c>
      <c r="F301" t="s">
        <v>906</v>
      </c>
      <c r="G301" t="s">
        <v>40</v>
      </c>
      <c r="H301">
        <v>349.97</v>
      </c>
      <c r="I301" t="s">
        <v>122</v>
      </c>
      <c r="J301" t="s">
        <v>20</v>
      </c>
      <c r="K301">
        <v>21</v>
      </c>
      <c r="L301">
        <v>5</v>
      </c>
    </row>
    <row r="302" spans="1:12" x14ac:dyDescent="0.2">
      <c r="A302" t="s">
        <v>907</v>
      </c>
      <c r="B302" t="s">
        <v>908</v>
      </c>
      <c r="C302" t="s">
        <v>73</v>
      </c>
      <c r="D302" t="s">
        <v>61</v>
      </c>
      <c r="E302" t="s">
        <v>16</v>
      </c>
      <c r="F302" t="s">
        <v>909</v>
      </c>
      <c r="G302" t="s">
        <v>77</v>
      </c>
      <c r="H302">
        <v>458.23</v>
      </c>
      <c r="I302" t="s">
        <v>49</v>
      </c>
      <c r="J302" t="s">
        <v>50</v>
      </c>
      <c r="K302">
        <v>89</v>
      </c>
      <c r="L302">
        <v>4</v>
      </c>
    </row>
    <row r="303" spans="1:12" x14ac:dyDescent="0.2">
      <c r="A303" t="s">
        <v>910</v>
      </c>
      <c r="B303" t="s">
        <v>911</v>
      </c>
      <c r="C303" t="s">
        <v>44</v>
      </c>
      <c r="D303" t="s">
        <v>15</v>
      </c>
      <c r="E303" t="s">
        <v>343</v>
      </c>
      <c r="F303" t="s">
        <v>303</v>
      </c>
      <c r="G303" t="s">
        <v>91</v>
      </c>
      <c r="H303">
        <v>125.19</v>
      </c>
      <c r="I303" t="s">
        <v>19</v>
      </c>
      <c r="J303" t="s">
        <v>26</v>
      </c>
      <c r="K303">
        <v>77</v>
      </c>
      <c r="L303">
        <v>4</v>
      </c>
    </row>
    <row r="304" spans="1:12" x14ac:dyDescent="0.2">
      <c r="A304" t="s">
        <v>912</v>
      </c>
      <c r="B304" t="s">
        <v>913</v>
      </c>
      <c r="C304" t="s">
        <v>117</v>
      </c>
      <c r="D304" t="s">
        <v>61</v>
      </c>
      <c r="E304" t="s">
        <v>38</v>
      </c>
      <c r="F304" t="s">
        <v>914</v>
      </c>
      <c r="G304" t="s">
        <v>40</v>
      </c>
      <c r="H304">
        <v>466.54</v>
      </c>
      <c r="I304" t="s">
        <v>49</v>
      </c>
      <c r="J304" t="s">
        <v>26</v>
      </c>
      <c r="K304">
        <v>87</v>
      </c>
      <c r="L304">
        <v>5</v>
      </c>
    </row>
    <row r="305" spans="1:12" x14ac:dyDescent="0.2">
      <c r="A305" t="s">
        <v>915</v>
      </c>
      <c r="B305" t="s">
        <v>916</v>
      </c>
      <c r="C305" t="s">
        <v>44</v>
      </c>
      <c r="D305" t="s">
        <v>139</v>
      </c>
      <c r="E305" t="s">
        <v>102</v>
      </c>
      <c r="F305" t="s">
        <v>917</v>
      </c>
      <c r="G305" t="s">
        <v>91</v>
      </c>
      <c r="H305">
        <v>496.55</v>
      </c>
      <c r="I305" t="s">
        <v>49</v>
      </c>
      <c r="J305" t="s">
        <v>41</v>
      </c>
      <c r="K305">
        <v>77</v>
      </c>
      <c r="L305">
        <v>1</v>
      </c>
    </row>
    <row r="306" spans="1:12" x14ac:dyDescent="0.2">
      <c r="A306" t="s">
        <v>918</v>
      </c>
      <c r="B306" t="s">
        <v>919</v>
      </c>
      <c r="C306" t="s">
        <v>60</v>
      </c>
      <c r="D306" t="s">
        <v>15</v>
      </c>
      <c r="E306" t="s">
        <v>69</v>
      </c>
      <c r="F306" t="s">
        <v>920</v>
      </c>
      <c r="G306" t="s">
        <v>33</v>
      </c>
      <c r="H306">
        <v>218.5</v>
      </c>
      <c r="I306" t="s">
        <v>49</v>
      </c>
      <c r="J306" t="s">
        <v>26</v>
      </c>
      <c r="K306">
        <v>52</v>
      </c>
      <c r="L306">
        <v>1</v>
      </c>
    </row>
    <row r="307" spans="1:12" x14ac:dyDescent="0.2">
      <c r="A307" t="s">
        <v>921</v>
      </c>
      <c r="B307" t="s">
        <v>922</v>
      </c>
      <c r="C307" t="s">
        <v>53</v>
      </c>
      <c r="D307" t="s">
        <v>125</v>
      </c>
      <c r="E307" t="s">
        <v>62</v>
      </c>
      <c r="F307" t="s">
        <v>773</v>
      </c>
      <c r="G307" t="s">
        <v>91</v>
      </c>
      <c r="H307">
        <v>219.78</v>
      </c>
      <c r="I307" t="s">
        <v>19</v>
      </c>
      <c r="J307" t="s">
        <v>20</v>
      </c>
      <c r="K307">
        <v>36</v>
      </c>
      <c r="L307">
        <v>2</v>
      </c>
    </row>
    <row r="308" spans="1:12" x14ac:dyDescent="0.2">
      <c r="A308" t="s">
        <v>923</v>
      </c>
      <c r="B308" t="s">
        <v>924</v>
      </c>
      <c r="C308" t="s">
        <v>44</v>
      </c>
      <c r="D308" t="s">
        <v>89</v>
      </c>
      <c r="E308" t="s">
        <v>272</v>
      </c>
      <c r="F308" t="s">
        <v>925</v>
      </c>
      <c r="G308" t="s">
        <v>18</v>
      </c>
      <c r="H308">
        <v>379.71</v>
      </c>
      <c r="I308" t="s">
        <v>19</v>
      </c>
      <c r="J308" t="s">
        <v>20</v>
      </c>
      <c r="K308">
        <v>18</v>
      </c>
      <c r="L308">
        <v>2</v>
      </c>
    </row>
    <row r="309" spans="1:12" x14ac:dyDescent="0.2">
      <c r="A309" t="s">
        <v>926</v>
      </c>
      <c r="B309" t="s">
        <v>927</v>
      </c>
      <c r="C309" t="s">
        <v>73</v>
      </c>
      <c r="D309" t="s">
        <v>45</v>
      </c>
      <c r="E309" t="s">
        <v>55</v>
      </c>
      <c r="F309" t="s">
        <v>928</v>
      </c>
      <c r="G309" t="s">
        <v>91</v>
      </c>
      <c r="H309">
        <v>175.86</v>
      </c>
      <c r="I309" t="s">
        <v>19</v>
      </c>
      <c r="J309" t="s">
        <v>26</v>
      </c>
      <c r="K309">
        <v>19</v>
      </c>
      <c r="L309">
        <v>3</v>
      </c>
    </row>
    <row r="310" spans="1:12" x14ac:dyDescent="0.2">
      <c r="A310" t="s">
        <v>929</v>
      </c>
      <c r="B310" t="s">
        <v>930</v>
      </c>
      <c r="C310" t="s">
        <v>106</v>
      </c>
      <c r="D310" t="s">
        <v>125</v>
      </c>
      <c r="E310" t="s">
        <v>38</v>
      </c>
      <c r="F310" t="s">
        <v>931</v>
      </c>
      <c r="G310" t="s">
        <v>57</v>
      </c>
      <c r="H310">
        <v>334.78</v>
      </c>
      <c r="I310" t="s">
        <v>19</v>
      </c>
      <c r="J310" t="s">
        <v>41</v>
      </c>
      <c r="K310">
        <v>37</v>
      </c>
      <c r="L310">
        <v>5</v>
      </c>
    </row>
    <row r="311" spans="1:12" x14ac:dyDescent="0.2">
      <c r="A311" t="s">
        <v>932</v>
      </c>
      <c r="B311" t="s">
        <v>933</v>
      </c>
      <c r="C311" t="s">
        <v>73</v>
      </c>
      <c r="D311" t="s">
        <v>89</v>
      </c>
      <c r="E311" t="s">
        <v>343</v>
      </c>
      <c r="F311" t="s">
        <v>162</v>
      </c>
      <c r="G311" t="s">
        <v>64</v>
      </c>
      <c r="H311">
        <v>131.79</v>
      </c>
      <c r="I311" t="s">
        <v>65</v>
      </c>
      <c r="J311" t="s">
        <v>41</v>
      </c>
      <c r="K311">
        <v>35</v>
      </c>
    </row>
    <row r="312" spans="1:12" x14ac:dyDescent="0.2">
      <c r="A312" t="s">
        <v>934</v>
      </c>
      <c r="B312" t="s">
        <v>935</v>
      </c>
      <c r="C312" t="s">
        <v>53</v>
      </c>
      <c r="D312" t="s">
        <v>45</v>
      </c>
      <c r="E312" t="s">
        <v>16</v>
      </c>
      <c r="F312" t="s">
        <v>936</v>
      </c>
      <c r="G312" t="s">
        <v>91</v>
      </c>
      <c r="H312">
        <v>147.05000000000001</v>
      </c>
      <c r="I312" t="s">
        <v>49</v>
      </c>
      <c r="J312" t="s">
        <v>26</v>
      </c>
      <c r="K312">
        <v>15</v>
      </c>
      <c r="L312">
        <v>3</v>
      </c>
    </row>
    <row r="313" spans="1:12" x14ac:dyDescent="0.2">
      <c r="A313" t="s">
        <v>937</v>
      </c>
      <c r="B313" t="s">
        <v>938</v>
      </c>
      <c r="C313" t="s">
        <v>117</v>
      </c>
      <c r="D313" t="s">
        <v>54</v>
      </c>
      <c r="E313" t="s">
        <v>24</v>
      </c>
      <c r="F313" t="s">
        <v>939</v>
      </c>
      <c r="G313" t="s">
        <v>57</v>
      </c>
      <c r="H313">
        <v>218.58</v>
      </c>
      <c r="I313" t="s">
        <v>19</v>
      </c>
      <c r="J313" t="s">
        <v>41</v>
      </c>
      <c r="K313">
        <v>53</v>
      </c>
      <c r="L313">
        <v>5</v>
      </c>
    </row>
    <row r="314" spans="1:12" x14ac:dyDescent="0.2">
      <c r="A314" t="s">
        <v>940</v>
      </c>
      <c r="B314" t="s">
        <v>941</v>
      </c>
      <c r="C314" t="s">
        <v>29</v>
      </c>
      <c r="D314" t="s">
        <v>37</v>
      </c>
      <c r="E314" t="s">
        <v>349</v>
      </c>
      <c r="F314" t="s">
        <v>942</v>
      </c>
      <c r="G314" t="s">
        <v>57</v>
      </c>
      <c r="H314">
        <v>208.06</v>
      </c>
      <c r="I314" t="s">
        <v>65</v>
      </c>
      <c r="J314" t="s">
        <v>50</v>
      </c>
      <c r="K314">
        <v>81</v>
      </c>
      <c r="L314">
        <v>3</v>
      </c>
    </row>
    <row r="315" spans="1:12" x14ac:dyDescent="0.2">
      <c r="A315" t="s">
        <v>943</v>
      </c>
      <c r="B315" t="s">
        <v>944</v>
      </c>
      <c r="C315" t="s">
        <v>73</v>
      </c>
      <c r="D315" t="s">
        <v>15</v>
      </c>
      <c r="E315" t="s">
        <v>46</v>
      </c>
      <c r="F315" t="s">
        <v>945</v>
      </c>
      <c r="G315" t="s">
        <v>64</v>
      </c>
      <c r="H315">
        <v>270.12</v>
      </c>
      <c r="I315" t="s">
        <v>49</v>
      </c>
      <c r="J315" t="s">
        <v>41</v>
      </c>
      <c r="K315">
        <v>71</v>
      </c>
      <c r="L315">
        <v>4</v>
      </c>
    </row>
    <row r="316" spans="1:12" x14ac:dyDescent="0.2">
      <c r="A316" t="s">
        <v>946</v>
      </c>
      <c r="B316" t="s">
        <v>947</v>
      </c>
      <c r="C316" t="s">
        <v>117</v>
      </c>
      <c r="D316" t="s">
        <v>125</v>
      </c>
      <c r="E316" t="s">
        <v>129</v>
      </c>
      <c r="F316" t="s">
        <v>424</v>
      </c>
      <c r="G316" t="s">
        <v>64</v>
      </c>
      <c r="H316">
        <v>499.56</v>
      </c>
      <c r="I316" t="s">
        <v>122</v>
      </c>
      <c r="J316" t="s">
        <v>26</v>
      </c>
      <c r="K316">
        <v>28</v>
      </c>
      <c r="L316">
        <v>1</v>
      </c>
    </row>
    <row r="317" spans="1:12" x14ac:dyDescent="0.2">
      <c r="A317" t="s">
        <v>948</v>
      </c>
      <c r="B317" t="s">
        <v>949</v>
      </c>
      <c r="C317" t="s">
        <v>106</v>
      </c>
      <c r="D317" t="s">
        <v>89</v>
      </c>
      <c r="E317" t="s">
        <v>302</v>
      </c>
      <c r="F317" t="s">
        <v>950</v>
      </c>
      <c r="G317" t="s">
        <v>40</v>
      </c>
      <c r="H317">
        <v>373.67</v>
      </c>
      <c r="I317" t="s">
        <v>49</v>
      </c>
      <c r="J317" t="s">
        <v>41</v>
      </c>
      <c r="K317">
        <v>21</v>
      </c>
      <c r="L317">
        <v>3</v>
      </c>
    </row>
    <row r="318" spans="1:12" x14ac:dyDescent="0.2">
      <c r="A318" t="s">
        <v>951</v>
      </c>
      <c r="B318" t="s">
        <v>952</v>
      </c>
      <c r="C318" t="s">
        <v>68</v>
      </c>
      <c r="D318" t="s">
        <v>89</v>
      </c>
      <c r="E318" t="s">
        <v>62</v>
      </c>
      <c r="F318" t="s">
        <v>953</v>
      </c>
      <c r="G318" t="s">
        <v>40</v>
      </c>
      <c r="H318">
        <v>73.55</v>
      </c>
      <c r="I318" t="s">
        <v>19</v>
      </c>
      <c r="J318" t="s">
        <v>50</v>
      </c>
      <c r="K318">
        <v>77</v>
      </c>
      <c r="L318">
        <v>4</v>
      </c>
    </row>
    <row r="319" spans="1:12" x14ac:dyDescent="0.2">
      <c r="A319" t="s">
        <v>954</v>
      </c>
      <c r="B319" t="s">
        <v>955</v>
      </c>
      <c r="C319" t="s">
        <v>73</v>
      </c>
      <c r="D319" t="s">
        <v>37</v>
      </c>
      <c r="E319" t="s">
        <v>118</v>
      </c>
      <c r="F319" t="s">
        <v>956</v>
      </c>
      <c r="G319" t="s">
        <v>48</v>
      </c>
      <c r="H319">
        <v>54.99</v>
      </c>
      <c r="I319" t="s">
        <v>122</v>
      </c>
      <c r="J319" t="s">
        <v>41</v>
      </c>
      <c r="K319">
        <v>29</v>
      </c>
      <c r="L319">
        <v>3</v>
      </c>
    </row>
    <row r="320" spans="1:12" x14ac:dyDescent="0.2">
      <c r="A320" t="s">
        <v>957</v>
      </c>
      <c r="B320" t="s">
        <v>958</v>
      </c>
      <c r="C320" t="s">
        <v>44</v>
      </c>
      <c r="D320" t="s">
        <v>54</v>
      </c>
      <c r="E320" t="s">
        <v>113</v>
      </c>
      <c r="F320" t="s">
        <v>586</v>
      </c>
      <c r="G320" t="s">
        <v>64</v>
      </c>
      <c r="H320">
        <v>238.32</v>
      </c>
      <c r="I320" t="s">
        <v>122</v>
      </c>
      <c r="J320" t="s">
        <v>50</v>
      </c>
      <c r="K320">
        <v>80</v>
      </c>
      <c r="L320">
        <v>5</v>
      </c>
    </row>
    <row r="321" spans="1:12" x14ac:dyDescent="0.2">
      <c r="A321" t="s">
        <v>959</v>
      </c>
      <c r="B321" t="s">
        <v>960</v>
      </c>
      <c r="C321" t="s">
        <v>106</v>
      </c>
      <c r="D321" t="s">
        <v>45</v>
      </c>
      <c r="E321" t="s">
        <v>62</v>
      </c>
      <c r="F321" t="s">
        <v>674</v>
      </c>
      <c r="G321" t="s">
        <v>91</v>
      </c>
      <c r="H321">
        <v>86.76</v>
      </c>
      <c r="I321" t="s">
        <v>65</v>
      </c>
      <c r="J321" t="s">
        <v>26</v>
      </c>
      <c r="K321">
        <v>46</v>
      </c>
    </row>
    <row r="322" spans="1:12" x14ac:dyDescent="0.2">
      <c r="A322" t="s">
        <v>961</v>
      </c>
      <c r="B322" t="s">
        <v>962</v>
      </c>
      <c r="C322" t="s">
        <v>73</v>
      </c>
      <c r="D322" t="s">
        <v>80</v>
      </c>
      <c r="E322" t="s">
        <v>132</v>
      </c>
      <c r="F322" t="s">
        <v>600</v>
      </c>
      <c r="G322" t="s">
        <v>64</v>
      </c>
      <c r="H322">
        <v>92.87</v>
      </c>
      <c r="I322" t="s">
        <v>122</v>
      </c>
      <c r="J322" t="s">
        <v>26</v>
      </c>
      <c r="K322">
        <v>30</v>
      </c>
      <c r="L322">
        <v>1</v>
      </c>
    </row>
    <row r="323" spans="1:12" x14ac:dyDescent="0.2">
      <c r="A323" t="s">
        <v>963</v>
      </c>
      <c r="B323" t="s">
        <v>964</v>
      </c>
      <c r="C323" t="s">
        <v>106</v>
      </c>
      <c r="D323" t="s">
        <v>74</v>
      </c>
      <c r="E323" t="s">
        <v>132</v>
      </c>
      <c r="F323" t="s">
        <v>365</v>
      </c>
      <c r="G323" t="s">
        <v>57</v>
      </c>
      <c r="H323">
        <v>344.02</v>
      </c>
      <c r="I323" t="s">
        <v>65</v>
      </c>
      <c r="J323" t="s">
        <v>41</v>
      </c>
      <c r="K323">
        <v>88</v>
      </c>
    </row>
    <row r="324" spans="1:12" x14ac:dyDescent="0.2">
      <c r="A324" t="s">
        <v>965</v>
      </c>
      <c r="B324" t="s">
        <v>966</v>
      </c>
      <c r="C324" t="s">
        <v>60</v>
      </c>
      <c r="D324" t="s">
        <v>45</v>
      </c>
      <c r="E324" t="s">
        <v>132</v>
      </c>
      <c r="F324" t="s">
        <v>967</v>
      </c>
      <c r="G324" t="s">
        <v>64</v>
      </c>
      <c r="H324">
        <v>417.57</v>
      </c>
      <c r="I324" t="s">
        <v>49</v>
      </c>
      <c r="J324" t="s">
        <v>41</v>
      </c>
      <c r="K324">
        <v>61</v>
      </c>
      <c r="L324">
        <v>1</v>
      </c>
    </row>
    <row r="325" spans="1:12" x14ac:dyDescent="0.2">
      <c r="A325" t="s">
        <v>968</v>
      </c>
      <c r="B325" t="s">
        <v>969</v>
      </c>
      <c r="C325" t="s">
        <v>14</v>
      </c>
      <c r="D325" t="s">
        <v>74</v>
      </c>
      <c r="E325" t="s">
        <v>180</v>
      </c>
      <c r="F325" t="s">
        <v>970</v>
      </c>
      <c r="G325" t="s">
        <v>40</v>
      </c>
      <c r="H325">
        <v>138.80000000000001</v>
      </c>
      <c r="I325" t="s">
        <v>65</v>
      </c>
      <c r="J325" t="s">
        <v>41</v>
      </c>
      <c r="K325">
        <v>57</v>
      </c>
      <c r="L325">
        <v>5</v>
      </c>
    </row>
    <row r="326" spans="1:12" x14ac:dyDescent="0.2">
      <c r="A326" t="s">
        <v>971</v>
      </c>
      <c r="B326" t="s">
        <v>972</v>
      </c>
      <c r="C326" t="s">
        <v>53</v>
      </c>
      <c r="D326" t="s">
        <v>139</v>
      </c>
      <c r="E326" t="s">
        <v>46</v>
      </c>
      <c r="F326" t="s">
        <v>973</v>
      </c>
      <c r="G326" t="s">
        <v>33</v>
      </c>
      <c r="H326">
        <v>88.86</v>
      </c>
      <c r="I326" t="s">
        <v>49</v>
      </c>
      <c r="J326" t="s">
        <v>20</v>
      </c>
      <c r="K326">
        <v>53</v>
      </c>
      <c r="L326">
        <v>5</v>
      </c>
    </row>
    <row r="327" spans="1:12" x14ac:dyDescent="0.2">
      <c r="A327" t="s">
        <v>974</v>
      </c>
      <c r="B327" t="s">
        <v>975</v>
      </c>
      <c r="C327" t="s">
        <v>53</v>
      </c>
      <c r="D327" t="s">
        <v>37</v>
      </c>
      <c r="E327" t="s">
        <v>62</v>
      </c>
      <c r="F327" t="s">
        <v>94</v>
      </c>
      <c r="G327" t="s">
        <v>64</v>
      </c>
      <c r="H327">
        <v>60.51</v>
      </c>
      <c r="I327" t="s">
        <v>19</v>
      </c>
      <c r="J327" t="s">
        <v>20</v>
      </c>
      <c r="K327">
        <v>39</v>
      </c>
    </row>
    <row r="328" spans="1:12" x14ac:dyDescent="0.2">
      <c r="A328" t="s">
        <v>976</v>
      </c>
      <c r="B328" t="s">
        <v>977</v>
      </c>
      <c r="C328" t="s">
        <v>23</v>
      </c>
      <c r="D328" t="s">
        <v>80</v>
      </c>
      <c r="E328" t="s">
        <v>161</v>
      </c>
      <c r="F328" t="s">
        <v>978</v>
      </c>
      <c r="G328" t="s">
        <v>33</v>
      </c>
      <c r="H328">
        <v>399.28</v>
      </c>
      <c r="I328" t="s">
        <v>49</v>
      </c>
      <c r="J328" t="s">
        <v>20</v>
      </c>
      <c r="K328">
        <v>86</v>
      </c>
      <c r="L328">
        <v>2</v>
      </c>
    </row>
    <row r="329" spans="1:12" x14ac:dyDescent="0.2">
      <c r="A329" t="s">
        <v>979</v>
      </c>
      <c r="B329" t="s">
        <v>392</v>
      </c>
      <c r="C329" t="s">
        <v>23</v>
      </c>
      <c r="D329" t="s">
        <v>54</v>
      </c>
      <c r="E329" t="s">
        <v>102</v>
      </c>
      <c r="F329" t="s">
        <v>223</v>
      </c>
      <c r="G329" t="s">
        <v>91</v>
      </c>
      <c r="H329">
        <v>201.11</v>
      </c>
      <c r="I329" t="s">
        <v>19</v>
      </c>
      <c r="J329" t="s">
        <v>26</v>
      </c>
      <c r="K329">
        <v>53</v>
      </c>
      <c r="L329">
        <v>5</v>
      </c>
    </row>
    <row r="330" spans="1:12" x14ac:dyDescent="0.2">
      <c r="A330" t="s">
        <v>980</v>
      </c>
      <c r="B330" t="s">
        <v>981</v>
      </c>
      <c r="C330" t="s">
        <v>60</v>
      </c>
      <c r="D330" t="s">
        <v>139</v>
      </c>
      <c r="E330" t="s">
        <v>97</v>
      </c>
      <c r="F330" t="s">
        <v>409</v>
      </c>
      <c r="G330" t="s">
        <v>18</v>
      </c>
      <c r="H330">
        <v>253.79</v>
      </c>
      <c r="I330" t="s">
        <v>65</v>
      </c>
      <c r="J330" t="s">
        <v>41</v>
      </c>
      <c r="K330">
        <v>81</v>
      </c>
      <c r="L330">
        <v>1</v>
      </c>
    </row>
    <row r="331" spans="1:12" x14ac:dyDescent="0.2">
      <c r="A331" t="s">
        <v>982</v>
      </c>
      <c r="B331" t="s">
        <v>983</v>
      </c>
      <c r="C331" t="s">
        <v>14</v>
      </c>
      <c r="D331" t="s">
        <v>139</v>
      </c>
      <c r="E331" t="s">
        <v>140</v>
      </c>
      <c r="F331" t="s">
        <v>681</v>
      </c>
      <c r="G331" t="s">
        <v>57</v>
      </c>
      <c r="H331">
        <v>171.66</v>
      </c>
      <c r="I331" t="s">
        <v>65</v>
      </c>
      <c r="J331" t="s">
        <v>20</v>
      </c>
      <c r="K331">
        <v>41</v>
      </c>
      <c r="L331">
        <v>2</v>
      </c>
    </row>
    <row r="332" spans="1:12" x14ac:dyDescent="0.2">
      <c r="A332" t="s">
        <v>984</v>
      </c>
      <c r="B332" t="s">
        <v>985</v>
      </c>
      <c r="C332" t="s">
        <v>117</v>
      </c>
      <c r="D332" t="s">
        <v>45</v>
      </c>
      <c r="E332" t="s">
        <v>102</v>
      </c>
      <c r="F332" t="s">
        <v>70</v>
      </c>
      <c r="G332" t="s">
        <v>64</v>
      </c>
      <c r="H332">
        <v>375.15</v>
      </c>
      <c r="I332" t="s">
        <v>65</v>
      </c>
      <c r="J332" t="s">
        <v>50</v>
      </c>
      <c r="K332">
        <v>52</v>
      </c>
      <c r="L332">
        <v>1</v>
      </c>
    </row>
    <row r="333" spans="1:12" x14ac:dyDescent="0.2">
      <c r="A333" t="s">
        <v>986</v>
      </c>
      <c r="B333" t="s">
        <v>987</v>
      </c>
      <c r="C333" t="s">
        <v>73</v>
      </c>
      <c r="D333" t="s">
        <v>139</v>
      </c>
      <c r="E333" t="s">
        <v>473</v>
      </c>
      <c r="F333" t="s">
        <v>988</v>
      </c>
      <c r="G333" t="s">
        <v>57</v>
      </c>
      <c r="H333">
        <v>368.41</v>
      </c>
      <c r="I333" t="s">
        <v>122</v>
      </c>
      <c r="J333" t="s">
        <v>20</v>
      </c>
      <c r="K333">
        <v>75</v>
      </c>
      <c r="L333">
        <v>2</v>
      </c>
    </row>
    <row r="334" spans="1:12" x14ac:dyDescent="0.2">
      <c r="A334" t="s">
        <v>989</v>
      </c>
      <c r="B334" t="s">
        <v>990</v>
      </c>
      <c r="C334" t="s">
        <v>29</v>
      </c>
      <c r="D334" t="s">
        <v>139</v>
      </c>
      <c r="E334" t="s">
        <v>161</v>
      </c>
      <c r="F334" t="s">
        <v>597</v>
      </c>
      <c r="G334" t="s">
        <v>91</v>
      </c>
      <c r="H334">
        <v>403.58</v>
      </c>
      <c r="I334" t="s">
        <v>65</v>
      </c>
      <c r="J334" t="s">
        <v>41</v>
      </c>
      <c r="K334">
        <v>73</v>
      </c>
      <c r="L334">
        <v>2</v>
      </c>
    </row>
    <row r="335" spans="1:12" x14ac:dyDescent="0.2">
      <c r="A335" t="s">
        <v>991</v>
      </c>
      <c r="B335" t="s">
        <v>992</v>
      </c>
      <c r="C335" t="s">
        <v>68</v>
      </c>
      <c r="D335" t="s">
        <v>54</v>
      </c>
      <c r="E335" t="s">
        <v>198</v>
      </c>
      <c r="F335" t="s">
        <v>764</v>
      </c>
      <c r="G335" t="s">
        <v>77</v>
      </c>
      <c r="H335">
        <v>124.08</v>
      </c>
      <c r="I335" t="s">
        <v>122</v>
      </c>
      <c r="J335" t="s">
        <v>41</v>
      </c>
      <c r="K335">
        <v>38</v>
      </c>
      <c r="L335">
        <v>3</v>
      </c>
    </row>
    <row r="336" spans="1:12" x14ac:dyDescent="0.2">
      <c r="A336" t="s">
        <v>993</v>
      </c>
      <c r="B336" t="s">
        <v>994</v>
      </c>
      <c r="C336" t="s">
        <v>117</v>
      </c>
      <c r="D336" t="s">
        <v>45</v>
      </c>
      <c r="E336" t="s">
        <v>46</v>
      </c>
      <c r="F336" t="s">
        <v>510</v>
      </c>
      <c r="G336" t="s">
        <v>33</v>
      </c>
      <c r="H336">
        <v>422.06</v>
      </c>
      <c r="I336" t="s">
        <v>49</v>
      </c>
      <c r="J336" t="s">
        <v>50</v>
      </c>
      <c r="K336">
        <v>33</v>
      </c>
      <c r="L336">
        <v>5</v>
      </c>
    </row>
    <row r="337" spans="1:12" x14ac:dyDescent="0.2">
      <c r="A337" t="s">
        <v>995</v>
      </c>
      <c r="B337" t="s">
        <v>996</v>
      </c>
      <c r="C337" t="s">
        <v>106</v>
      </c>
      <c r="D337" t="s">
        <v>74</v>
      </c>
      <c r="E337" t="s">
        <v>55</v>
      </c>
      <c r="F337" t="s">
        <v>997</v>
      </c>
      <c r="G337" t="s">
        <v>18</v>
      </c>
      <c r="H337">
        <v>254.25</v>
      </c>
      <c r="I337" t="s">
        <v>122</v>
      </c>
      <c r="J337" t="s">
        <v>41</v>
      </c>
      <c r="K337">
        <v>29</v>
      </c>
      <c r="L337">
        <v>4</v>
      </c>
    </row>
    <row r="338" spans="1:12" x14ac:dyDescent="0.2">
      <c r="A338" t="s">
        <v>998</v>
      </c>
      <c r="B338" t="s">
        <v>999</v>
      </c>
      <c r="C338" t="s">
        <v>68</v>
      </c>
      <c r="D338" t="s">
        <v>15</v>
      </c>
      <c r="E338" t="s">
        <v>62</v>
      </c>
      <c r="F338" t="s">
        <v>1000</v>
      </c>
      <c r="G338" t="s">
        <v>18</v>
      </c>
      <c r="H338">
        <v>495.61</v>
      </c>
      <c r="I338" t="s">
        <v>49</v>
      </c>
      <c r="J338" t="s">
        <v>41</v>
      </c>
      <c r="K338">
        <v>75</v>
      </c>
      <c r="L338">
        <v>3</v>
      </c>
    </row>
    <row r="339" spans="1:12" x14ac:dyDescent="0.2">
      <c r="A339" t="s">
        <v>1001</v>
      </c>
      <c r="B339" t="s">
        <v>1002</v>
      </c>
      <c r="C339" t="s">
        <v>60</v>
      </c>
      <c r="D339" t="s">
        <v>139</v>
      </c>
      <c r="E339" t="s">
        <v>257</v>
      </c>
      <c r="F339" t="s">
        <v>776</v>
      </c>
      <c r="G339" t="s">
        <v>64</v>
      </c>
      <c r="H339">
        <v>53.64</v>
      </c>
      <c r="I339" t="s">
        <v>122</v>
      </c>
      <c r="J339" t="s">
        <v>20</v>
      </c>
      <c r="K339">
        <v>61</v>
      </c>
      <c r="L339">
        <v>1</v>
      </c>
    </row>
    <row r="340" spans="1:12" x14ac:dyDescent="0.2">
      <c r="A340" t="s">
        <v>1003</v>
      </c>
      <c r="B340" t="s">
        <v>1004</v>
      </c>
      <c r="C340" t="s">
        <v>73</v>
      </c>
      <c r="D340" t="s">
        <v>80</v>
      </c>
      <c r="E340" t="s">
        <v>69</v>
      </c>
      <c r="F340" t="s">
        <v>1005</v>
      </c>
      <c r="G340" t="s">
        <v>48</v>
      </c>
      <c r="H340">
        <v>175.36</v>
      </c>
      <c r="I340" t="s">
        <v>49</v>
      </c>
      <c r="J340" t="s">
        <v>20</v>
      </c>
      <c r="K340">
        <v>77</v>
      </c>
      <c r="L340">
        <v>1</v>
      </c>
    </row>
    <row r="341" spans="1:12" x14ac:dyDescent="0.2">
      <c r="A341" t="s">
        <v>1006</v>
      </c>
      <c r="B341" t="s">
        <v>828</v>
      </c>
      <c r="C341" t="s">
        <v>14</v>
      </c>
      <c r="D341" t="s">
        <v>37</v>
      </c>
      <c r="E341" t="s">
        <v>46</v>
      </c>
      <c r="F341" t="s">
        <v>1007</v>
      </c>
      <c r="G341" t="s">
        <v>33</v>
      </c>
      <c r="H341">
        <v>430.51</v>
      </c>
      <c r="I341" t="s">
        <v>65</v>
      </c>
      <c r="J341" t="s">
        <v>26</v>
      </c>
      <c r="K341">
        <v>77</v>
      </c>
    </row>
    <row r="342" spans="1:12" x14ac:dyDescent="0.2">
      <c r="A342" t="s">
        <v>1008</v>
      </c>
      <c r="B342" t="s">
        <v>1009</v>
      </c>
      <c r="C342" t="s">
        <v>14</v>
      </c>
      <c r="D342" t="s">
        <v>37</v>
      </c>
      <c r="E342" t="s">
        <v>113</v>
      </c>
      <c r="F342" t="s">
        <v>1010</v>
      </c>
      <c r="G342" t="s">
        <v>48</v>
      </c>
      <c r="H342">
        <v>240.85</v>
      </c>
      <c r="I342" t="s">
        <v>49</v>
      </c>
      <c r="J342" t="s">
        <v>41</v>
      </c>
      <c r="K342">
        <v>21</v>
      </c>
      <c r="L342">
        <v>1</v>
      </c>
    </row>
    <row r="343" spans="1:12" x14ac:dyDescent="0.2">
      <c r="A343" t="s">
        <v>1011</v>
      </c>
      <c r="B343" t="s">
        <v>1012</v>
      </c>
      <c r="C343" t="s">
        <v>68</v>
      </c>
      <c r="D343" t="s">
        <v>74</v>
      </c>
      <c r="E343" t="s">
        <v>38</v>
      </c>
      <c r="F343" t="s">
        <v>586</v>
      </c>
      <c r="G343" t="s">
        <v>18</v>
      </c>
      <c r="H343">
        <v>169.5</v>
      </c>
      <c r="I343" t="s">
        <v>19</v>
      </c>
      <c r="J343" t="s">
        <v>50</v>
      </c>
      <c r="K343">
        <v>47</v>
      </c>
      <c r="L343">
        <v>3</v>
      </c>
    </row>
    <row r="344" spans="1:12" x14ac:dyDescent="0.2">
      <c r="A344" t="s">
        <v>1013</v>
      </c>
      <c r="B344" t="s">
        <v>1014</v>
      </c>
      <c r="C344" t="s">
        <v>73</v>
      </c>
      <c r="D344" t="s">
        <v>15</v>
      </c>
      <c r="E344" t="s">
        <v>118</v>
      </c>
      <c r="F344" t="s">
        <v>1015</v>
      </c>
      <c r="G344" t="s">
        <v>77</v>
      </c>
      <c r="H344">
        <v>130.30000000000001</v>
      </c>
      <c r="I344" t="s">
        <v>65</v>
      </c>
      <c r="J344" t="s">
        <v>20</v>
      </c>
      <c r="K344">
        <v>37</v>
      </c>
    </row>
    <row r="345" spans="1:12" x14ac:dyDescent="0.2">
      <c r="A345" t="s">
        <v>1016</v>
      </c>
      <c r="B345" t="s">
        <v>1017</v>
      </c>
      <c r="C345" t="s">
        <v>29</v>
      </c>
      <c r="D345" t="s">
        <v>80</v>
      </c>
      <c r="E345" t="s">
        <v>16</v>
      </c>
      <c r="F345" t="s">
        <v>1018</v>
      </c>
      <c r="G345" t="s">
        <v>91</v>
      </c>
      <c r="H345">
        <v>184.81</v>
      </c>
      <c r="I345" t="s">
        <v>65</v>
      </c>
      <c r="J345" t="s">
        <v>41</v>
      </c>
      <c r="K345">
        <v>72</v>
      </c>
      <c r="L345">
        <v>5</v>
      </c>
    </row>
    <row r="346" spans="1:12" x14ac:dyDescent="0.2">
      <c r="A346" t="s">
        <v>1019</v>
      </c>
      <c r="B346" t="s">
        <v>1020</v>
      </c>
      <c r="C346" t="s">
        <v>60</v>
      </c>
      <c r="D346" t="s">
        <v>15</v>
      </c>
      <c r="E346" t="s">
        <v>69</v>
      </c>
      <c r="F346" t="s">
        <v>443</v>
      </c>
      <c r="G346" t="s">
        <v>48</v>
      </c>
      <c r="H346">
        <v>209.5</v>
      </c>
      <c r="I346" t="s">
        <v>49</v>
      </c>
      <c r="J346" t="s">
        <v>26</v>
      </c>
      <c r="K346">
        <v>67</v>
      </c>
      <c r="L346">
        <v>3</v>
      </c>
    </row>
    <row r="347" spans="1:12" x14ac:dyDescent="0.2">
      <c r="A347" t="s">
        <v>1021</v>
      </c>
      <c r="B347" t="s">
        <v>1022</v>
      </c>
      <c r="C347" t="s">
        <v>53</v>
      </c>
      <c r="D347" t="s">
        <v>37</v>
      </c>
      <c r="E347" t="s">
        <v>31</v>
      </c>
      <c r="F347" t="s">
        <v>1023</v>
      </c>
      <c r="G347" t="s">
        <v>57</v>
      </c>
      <c r="H347">
        <v>193.82</v>
      </c>
      <c r="I347" t="s">
        <v>49</v>
      </c>
      <c r="J347" t="s">
        <v>50</v>
      </c>
      <c r="K347">
        <v>15</v>
      </c>
      <c r="L347">
        <v>5</v>
      </c>
    </row>
    <row r="348" spans="1:12" x14ac:dyDescent="0.2">
      <c r="A348" t="s">
        <v>1024</v>
      </c>
      <c r="B348" t="s">
        <v>1025</v>
      </c>
      <c r="C348" t="s">
        <v>60</v>
      </c>
      <c r="D348" t="s">
        <v>139</v>
      </c>
      <c r="E348" t="s">
        <v>55</v>
      </c>
      <c r="F348" t="s">
        <v>110</v>
      </c>
      <c r="G348" t="s">
        <v>33</v>
      </c>
      <c r="H348">
        <v>329.57</v>
      </c>
      <c r="I348" t="s">
        <v>122</v>
      </c>
      <c r="J348" t="s">
        <v>26</v>
      </c>
      <c r="K348">
        <v>34</v>
      </c>
      <c r="L348">
        <v>3</v>
      </c>
    </row>
    <row r="349" spans="1:12" x14ac:dyDescent="0.2">
      <c r="A349" t="s">
        <v>1026</v>
      </c>
      <c r="B349" t="s">
        <v>1027</v>
      </c>
      <c r="C349" t="s">
        <v>29</v>
      </c>
      <c r="D349" t="s">
        <v>74</v>
      </c>
      <c r="E349" t="s">
        <v>24</v>
      </c>
      <c r="F349" t="s">
        <v>1028</v>
      </c>
      <c r="G349" t="s">
        <v>77</v>
      </c>
      <c r="H349">
        <v>469.32</v>
      </c>
      <c r="I349" t="s">
        <v>19</v>
      </c>
      <c r="J349" t="s">
        <v>20</v>
      </c>
      <c r="K349">
        <v>66</v>
      </c>
      <c r="L349">
        <v>2</v>
      </c>
    </row>
    <row r="350" spans="1:12" x14ac:dyDescent="0.2">
      <c r="A350" t="s">
        <v>1029</v>
      </c>
      <c r="B350" t="s">
        <v>1030</v>
      </c>
      <c r="C350" t="s">
        <v>23</v>
      </c>
      <c r="D350" t="s">
        <v>74</v>
      </c>
      <c r="E350" t="s">
        <v>473</v>
      </c>
      <c r="F350" t="s">
        <v>1031</v>
      </c>
      <c r="G350" t="s">
        <v>91</v>
      </c>
      <c r="H350">
        <v>159.47999999999999</v>
      </c>
      <c r="I350" t="s">
        <v>122</v>
      </c>
      <c r="J350" t="s">
        <v>20</v>
      </c>
      <c r="K350">
        <v>51</v>
      </c>
      <c r="L350">
        <v>2</v>
      </c>
    </row>
    <row r="351" spans="1:12" x14ac:dyDescent="0.2">
      <c r="A351" t="s">
        <v>1032</v>
      </c>
      <c r="B351" t="s">
        <v>1033</v>
      </c>
      <c r="C351" t="s">
        <v>117</v>
      </c>
      <c r="D351" t="s">
        <v>125</v>
      </c>
      <c r="E351" t="s">
        <v>198</v>
      </c>
      <c r="F351" t="s">
        <v>362</v>
      </c>
      <c r="G351" t="s">
        <v>33</v>
      </c>
      <c r="H351">
        <v>190.67</v>
      </c>
      <c r="I351" t="s">
        <v>65</v>
      </c>
      <c r="J351" t="s">
        <v>20</v>
      </c>
      <c r="K351">
        <v>82</v>
      </c>
      <c r="L351">
        <v>1</v>
      </c>
    </row>
    <row r="352" spans="1:12" x14ac:dyDescent="0.2">
      <c r="A352" t="s">
        <v>1034</v>
      </c>
      <c r="B352" t="s">
        <v>1035</v>
      </c>
      <c r="C352" t="s">
        <v>68</v>
      </c>
      <c r="D352" t="s">
        <v>125</v>
      </c>
      <c r="E352" t="s">
        <v>144</v>
      </c>
      <c r="F352" t="s">
        <v>1036</v>
      </c>
      <c r="G352" t="s">
        <v>33</v>
      </c>
      <c r="H352">
        <v>178.34</v>
      </c>
      <c r="I352" t="s">
        <v>49</v>
      </c>
      <c r="J352" t="s">
        <v>50</v>
      </c>
      <c r="K352">
        <v>50</v>
      </c>
      <c r="L352">
        <v>2</v>
      </c>
    </row>
    <row r="353" spans="1:12" x14ac:dyDescent="0.2">
      <c r="A353" t="s">
        <v>1037</v>
      </c>
      <c r="B353" t="s">
        <v>1038</v>
      </c>
      <c r="C353" t="s">
        <v>106</v>
      </c>
      <c r="D353" t="s">
        <v>61</v>
      </c>
      <c r="E353" t="s">
        <v>349</v>
      </c>
      <c r="F353" t="s">
        <v>1039</v>
      </c>
      <c r="G353" t="s">
        <v>18</v>
      </c>
      <c r="H353">
        <v>236.07</v>
      </c>
      <c r="I353" t="s">
        <v>122</v>
      </c>
      <c r="J353" t="s">
        <v>26</v>
      </c>
      <c r="K353">
        <v>63</v>
      </c>
      <c r="L353">
        <v>5</v>
      </c>
    </row>
    <row r="354" spans="1:12" x14ac:dyDescent="0.2">
      <c r="A354" t="s">
        <v>1040</v>
      </c>
      <c r="B354" t="s">
        <v>1041</v>
      </c>
      <c r="C354" t="s">
        <v>73</v>
      </c>
      <c r="D354" t="s">
        <v>80</v>
      </c>
      <c r="E354" t="s">
        <v>75</v>
      </c>
      <c r="F354" t="s">
        <v>63</v>
      </c>
      <c r="G354" t="s">
        <v>48</v>
      </c>
      <c r="H354">
        <v>430.36</v>
      </c>
      <c r="I354" t="s">
        <v>65</v>
      </c>
      <c r="J354" t="s">
        <v>20</v>
      </c>
      <c r="K354">
        <v>46</v>
      </c>
      <c r="L354">
        <v>5</v>
      </c>
    </row>
    <row r="355" spans="1:12" x14ac:dyDescent="0.2">
      <c r="A355" t="s">
        <v>1042</v>
      </c>
      <c r="B355" t="s">
        <v>1043</v>
      </c>
      <c r="C355" t="s">
        <v>53</v>
      </c>
      <c r="D355" t="s">
        <v>74</v>
      </c>
      <c r="E355" t="s">
        <v>272</v>
      </c>
      <c r="F355" t="s">
        <v>764</v>
      </c>
      <c r="G355" t="s">
        <v>33</v>
      </c>
      <c r="H355">
        <v>167.86</v>
      </c>
      <c r="I355" t="s">
        <v>19</v>
      </c>
      <c r="J355" t="s">
        <v>41</v>
      </c>
      <c r="K355">
        <v>22</v>
      </c>
      <c r="L355">
        <v>4</v>
      </c>
    </row>
    <row r="356" spans="1:12" x14ac:dyDescent="0.2">
      <c r="A356" t="s">
        <v>1044</v>
      </c>
      <c r="B356" t="s">
        <v>1045</v>
      </c>
      <c r="C356" t="s">
        <v>73</v>
      </c>
      <c r="D356" t="s">
        <v>15</v>
      </c>
      <c r="E356" t="s">
        <v>161</v>
      </c>
      <c r="F356" t="s">
        <v>1046</v>
      </c>
      <c r="G356" t="s">
        <v>40</v>
      </c>
      <c r="H356">
        <v>412.38</v>
      </c>
      <c r="I356" t="s">
        <v>122</v>
      </c>
      <c r="J356" t="s">
        <v>20</v>
      </c>
      <c r="K356">
        <v>46</v>
      </c>
      <c r="L356">
        <v>3</v>
      </c>
    </row>
    <row r="357" spans="1:12" x14ac:dyDescent="0.2">
      <c r="A357" t="s">
        <v>1047</v>
      </c>
      <c r="B357" t="s">
        <v>1048</v>
      </c>
      <c r="C357" t="s">
        <v>106</v>
      </c>
      <c r="D357" t="s">
        <v>54</v>
      </c>
      <c r="E357" t="s">
        <v>62</v>
      </c>
      <c r="F357" t="s">
        <v>701</v>
      </c>
      <c r="G357" t="s">
        <v>33</v>
      </c>
      <c r="H357">
        <v>247.33</v>
      </c>
      <c r="I357" t="s">
        <v>65</v>
      </c>
      <c r="J357" t="s">
        <v>20</v>
      </c>
      <c r="K357">
        <v>61</v>
      </c>
      <c r="L357">
        <v>2</v>
      </c>
    </row>
    <row r="358" spans="1:12" x14ac:dyDescent="0.2">
      <c r="A358" t="s">
        <v>1049</v>
      </c>
      <c r="B358" t="s">
        <v>1050</v>
      </c>
      <c r="C358" t="s">
        <v>44</v>
      </c>
      <c r="D358" t="s">
        <v>61</v>
      </c>
      <c r="E358" t="s">
        <v>302</v>
      </c>
      <c r="F358" t="s">
        <v>1051</v>
      </c>
      <c r="G358" t="s">
        <v>64</v>
      </c>
      <c r="H358">
        <v>332.92</v>
      </c>
      <c r="I358" t="s">
        <v>19</v>
      </c>
      <c r="J358" t="s">
        <v>20</v>
      </c>
      <c r="K358">
        <v>81</v>
      </c>
    </row>
    <row r="359" spans="1:12" x14ac:dyDescent="0.2">
      <c r="A359" t="s">
        <v>1052</v>
      </c>
      <c r="B359" t="s">
        <v>1053</v>
      </c>
      <c r="C359" t="s">
        <v>53</v>
      </c>
      <c r="D359" t="s">
        <v>74</v>
      </c>
      <c r="E359" t="s">
        <v>81</v>
      </c>
      <c r="F359" t="s">
        <v>1054</v>
      </c>
      <c r="G359" t="s">
        <v>91</v>
      </c>
      <c r="H359">
        <v>112.1</v>
      </c>
      <c r="I359" t="s">
        <v>65</v>
      </c>
      <c r="J359" t="s">
        <v>26</v>
      </c>
      <c r="K359">
        <v>22</v>
      </c>
    </row>
    <row r="360" spans="1:12" x14ac:dyDescent="0.2">
      <c r="A360" t="s">
        <v>1055</v>
      </c>
      <c r="B360" t="s">
        <v>1056</v>
      </c>
      <c r="C360" t="s">
        <v>53</v>
      </c>
      <c r="D360" t="s">
        <v>74</v>
      </c>
      <c r="E360" t="s">
        <v>75</v>
      </c>
      <c r="F360" t="s">
        <v>1057</v>
      </c>
      <c r="G360" t="s">
        <v>57</v>
      </c>
      <c r="H360">
        <v>360.14</v>
      </c>
      <c r="I360" t="s">
        <v>122</v>
      </c>
      <c r="J360" t="s">
        <v>50</v>
      </c>
      <c r="K360">
        <v>82</v>
      </c>
    </row>
    <row r="361" spans="1:12" x14ac:dyDescent="0.2">
      <c r="A361" t="s">
        <v>1058</v>
      </c>
      <c r="B361" t="s">
        <v>1059</v>
      </c>
      <c r="C361" t="s">
        <v>73</v>
      </c>
      <c r="D361" t="s">
        <v>89</v>
      </c>
      <c r="E361" t="s">
        <v>257</v>
      </c>
      <c r="F361" t="s">
        <v>709</v>
      </c>
      <c r="G361" t="s">
        <v>91</v>
      </c>
      <c r="H361">
        <v>138.56</v>
      </c>
      <c r="I361" t="s">
        <v>122</v>
      </c>
      <c r="J361" t="s">
        <v>26</v>
      </c>
      <c r="K361">
        <v>61</v>
      </c>
    </row>
    <row r="362" spans="1:12" x14ac:dyDescent="0.2">
      <c r="A362" t="s">
        <v>1060</v>
      </c>
      <c r="B362" t="s">
        <v>1061</v>
      </c>
      <c r="C362" t="s">
        <v>23</v>
      </c>
      <c r="D362" t="s">
        <v>61</v>
      </c>
      <c r="E362" t="s">
        <v>97</v>
      </c>
      <c r="F362" t="s">
        <v>1062</v>
      </c>
      <c r="G362" t="s">
        <v>64</v>
      </c>
      <c r="H362">
        <v>149.47999999999999</v>
      </c>
      <c r="I362" t="s">
        <v>19</v>
      </c>
      <c r="J362" t="s">
        <v>26</v>
      </c>
      <c r="K362">
        <v>24</v>
      </c>
      <c r="L362">
        <v>2</v>
      </c>
    </row>
    <row r="363" spans="1:12" x14ac:dyDescent="0.2">
      <c r="A363" t="s">
        <v>1063</v>
      </c>
      <c r="B363" t="s">
        <v>1064</v>
      </c>
      <c r="C363" t="s">
        <v>68</v>
      </c>
      <c r="D363" t="s">
        <v>89</v>
      </c>
      <c r="E363" t="s">
        <v>473</v>
      </c>
      <c r="F363" t="s">
        <v>1065</v>
      </c>
      <c r="G363" t="s">
        <v>33</v>
      </c>
      <c r="H363">
        <v>400.1</v>
      </c>
      <c r="I363" t="s">
        <v>122</v>
      </c>
      <c r="J363" t="s">
        <v>41</v>
      </c>
      <c r="K363">
        <v>30</v>
      </c>
      <c r="L363">
        <v>2</v>
      </c>
    </row>
    <row r="364" spans="1:12" x14ac:dyDescent="0.2">
      <c r="A364" t="s">
        <v>1066</v>
      </c>
      <c r="B364" t="s">
        <v>1067</v>
      </c>
      <c r="C364" t="s">
        <v>68</v>
      </c>
      <c r="D364" t="s">
        <v>45</v>
      </c>
      <c r="E364" t="s">
        <v>129</v>
      </c>
      <c r="F364" t="s">
        <v>110</v>
      </c>
      <c r="G364" t="s">
        <v>77</v>
      </c>
      <c r="H364">
        <v>109.32</v>
      </c>
      <c r="I364" t="s">
        <v>19</v>
      </c>
      <c r="J364" t="s">
        <v>26</v>
      </c>
      <c r="K364">
        <v>90</v>
      </c>
      <c r="L364">
        <v>3</v>
      </c>
    </row>
    <row r="365" spans="1:12" x14ac:dyDescent="0.2">
      <c r="A365" t="s">
        <v>1068</v>
      </c>
      <c r="B365" t="s">
        <v>1069</v>
      </c>
      <c r="C365" t="s">
        <v>117</v>
      </c>
      <c r="D365" t="s">
        <v>74</v>
      </c>
      <c r="E365" t="s">
        <v>349</v>
      </c>
      <c r="F365" t="s">
        <v>939</v>
      </c>
      <c r="G365" t="s">
        <v>18</v>
      </c>
      <c r="H365">
        <v>322.77999999999997</v>
      </c>
      <c r="I365" t="s">
        <v>49</v>
      </c>
      <c r="J365" t="s">
        <v>20</v>
      </c>
      <c r="K365">
        <v>66</v>
      </c>
      <c r="L365">
        <v>2</v>
      </c>
    </row>
    <row r="366" spans="1:12" x14ac:dyDescent="0.2">
      <c r="A366" t="s">
        <v>1070</v>
      </c>
      <c r="B366" t="s">
        <v>1071</v>
      </c>
      <c r="C366" t="s">
        <v>117</v>
      </c>
      <c r="D366" t="s">
        <v>80</v>
      </c>
      <c r="E366" t="s">
        <v>272</v>
      </c>
      <c r="F366" t="s">
        <v>840</v>
      </c>
      <c r="G366" t="s">
        <v>48</v>
      </c>
      <c r="H366">
        <v>339.54</v>
      </c>
      <c r="I366" t="s">
        <v>19</v>
      </c>
      <c r="J366" t="s">
        <v>26</v>
      </c>
      <c r="K366">
        <v>60</v>
      </c>
      <c r="L366">
        <v>3</v>
      </c>
    </row>
    <row r="367" spans="1:12" x14ac:dyDescent="0.2">
      <c r="A367" t="s">
        <v>1072</v>
      </c>
      <c r="B367" t="s">
        <v>1073</v>
      </c>
      <c r="C367" t="s">
        <v>44</v>
      </c>
      <c r="D367" t="s">
        <v>45</v>
      </c>
      <c r="E367" t="s">
        <v>317</v>
      </c>
      <c r="F367" t="s">
        <v>1074</v>
      </c>
      <c r="G367" t="s">
        <v>91</v>
      </c>
      <c r="H367">
        <v>67.680000000000007</v>
      </c>
      <c r="I367" t="s">
        <v>19</v>
      </c>
      <c r="J367" t="s">
        <v>41</v>
      </c>
      <c r="K367">
        <v>88</v>
      </c>
      <c r="L367">
        <v>4</v>
      </c>
    </row>
    <row r="368" spans="1:12" x14ac:dyDescent="0.2">
      <c r="A368" t="s">
        <v>1075</v>
      </c>
      <c r="B368" t="s">
        <v>1076</v>
      </c>
      <c r="C368" t="s">
        <v>14</v>
      </c>
      <c r="D368" t="s">
        <v>139</v>
      </c>
      <c r="E368" t="s">
        <v>302</v>
      </c>
      <c r="F368" t="s">
        <v>1077</v>
      </c>
      <c r="G368" t="s">
        <v>77</v>
      </c>
      <c r="H368">
        <v>319.70999999999998</v>
      </c>
      <c r="I368" t="s">
        <v>122</v>
      </c>
      <c r="J368" t="s">
        <v>41</v>
      </c>
      <c r="K368">
        <v>66</v>
      </c>
      <c r="L368">
        <v>4</v>
      </c>
    </row>
    <row r="369" spans="1:12" x14ac:dyDescent="0.2">
      <c r="A369" t="s">
        <v>1078</v>
      </c>
      <c r="B369" t="s">
        <v>1079</v>
      </c>
      <c r="C369" t="s">
        <v>53</v>
      </c>
      <c r="D369" t="s">
        <v>37</v>
      </c>
      <c r="E369" t="s">
        <v>140</v>
      </c>
      <c r="F369" t="s">
        <v>190</v>
      </c>
      <c r="G369" t="s">
        <v>33</v>
      </c>
      <c r="H369">
        <v>175.01</v>
      </c>
      <c r="I369" t="s">
        <v>65</v>
      </c>
      <c r="J369" t="s">
        <v>20</v>
      </c>
      <c r="K369">
        <v>49</v>
      </c>
    </row>
    <row r="370" spans="1:12" x14ac:dyDescent="0.2">
      <c r="A370" t="s">
        <v>1080</v>
      </c>
      <c r="B370" t="s">
        <v>1081</v>
      </c>
      <c r="C370" t="s">
        <v>106</v>
      </c>
      <c r="D370" t="s">
        <v>139</v>
      </c>
      <c r="E370" t="s">
        <v>31</v>
      </c>
      <c r="F370" t="s">
        <v>1082</v>
      </c>
      <c r="G370" t="s">
        <v>48</v>
      </c>
      <c r="H370">
        <v>445.24</v>
      </c>
      <c r="I370" t="s">
        <v>65</v>
      </c>
      <c r="J370" t="s">
        <v>26</v>
      </c>
      <c r="K370">
        <v>60</v>
      </c>
      <c r="L370">
        <v>3</v>
      </c>
    </row>
    <row r="371" spans="1:12" x14ac:dyDescent="0.2">
      <c r="A371" t="s">
        <v>1083</v>
      </c>
      <c r="B371" t="s">
        <v>1084</v>
      </c>
      <c r="C371" t="s">
        <v>68</v>
      </c>
      <c r="D371" t="s">
        <v>54</v>
      </c>
      <c r="E371" t="s">
        <v>272</v>
      </c>
      <c r="F371" t="s">
        <v>1085</v>
      </c>
      <c r="G371" t="s">
        <v>57</v>
      </c>
      <c r="H371">
        <v>141.44999999999999</v>
      </c>
      <c r="I371" t="s">
        <v>65</v>
      </c>
      <c r="J371" t="s">
        <v>20</v>
      </c>
      <c r="K371">
        <v>40</v>
      </c>
      <c r="L371">
        <v>2</v>
      </c>
    </row>
    <row r="372" spans="1:12" x14ac:dyDescent="0.2">
      <c r="A372" t="s">
        <v>1086</v>
      </c>
      <c r="B372" t="s">
        <v>1087</v>
      </c>
      <c r="C372" t="s">
        <v>60</v>
      </c>
      <c r="D372" t="s">
        <v>125</v>
      </c>
      <c r="E372" t="s">
        <v>55</v>
      </c>
      <c r="F372" t="s">
        <v>849</v>
      </c>
      <c r="G372" t="s">
        <v>33</v>
      </c>
      <c r="H372">
        <v>396.51</v>
      </c>
      <c r="I372" t="s">
        <v>19</v>
      </c>
      <c r="J372" t="s">
        <v>50</v>
      </c>
      <c r="K372">
        <v>32</v>
      </c>
      <c r="L372">
        <v>3</v>
      </c>
    </row>
    <row r="373" spans="1:12" x14ac:dyDescent="0.2">
      <c r="A373" t="s">
        <v>1088</v>
      </c>
      <c r="B373" t="s">
        <v>1089</v>
      </c>
      <c r="C373" t="s">
        <v>44</v>
      </c>
      <c r="D373" t="s">
        <v>54</v>
      </c>
      <c r="E373" t="s">
        <v>16</v>
      </c>
      <c r="F373" t="s">
        <v>229</v>
      </c>
      <c r="G373" t="s">
        <v>48</v>
      </c>
      <c r="H373">
        <v>227.17</v>
      </c>
      <c r="I373" t="s">
        <v>122</v>
      </c>
      <c r="J373" t="s">
        <v>50</v>
      </c>
      <c r="K373">
        <v>27</v>
      </c>
      <c r="L373">
        <v>3</v>
      </c>
    </row>
    <row r="374" spans="1:12" x14ac:dyDescent="0.2">
      <c r="A374" t="s">
        <v>1090</v>
      </c>
      <c r="B374" t="s">
        <v>1091</v>
      </c>
      <c r="C374" t="s">
        <v>73</v>
      </c>
      <c r="D374" t="s">
        <v>125</v>
      </c>
      <c r="E374" t="s">
        <v>102</v>
      </c>
      <c r="F374" t="s">
        <v>767</v>
      </c>
      <c r="G374" t="s">
        <v>57</v>
      </c>
      <c r="H374">
        <v>446.67</v>
      </c>
      <c r="I374" t="s">
        <v>122</v>
      </c>
      <c r="J374" t="s">
        <v>20</v>
      </c>
      <c r="K374">
        <v>70</v>
      </c>
      <c r="L374">
        <v>1</v>
      </c>
    </row>
    <row r="375" spans="1:12" x14ac:dyDescent="0.2">
      <c r="A375" t="s">
        <v>1092</v>
      </c>
      <c r="B375" t="s">
        <v>1093</v>
      </c>
      <c r="C375" t="s">
        <v>53</v>
      </c>
      <c r="D375" t="s">
        <v>37</v>
      </c>
      <c r="E375" t="s">
        <v>257</v>
      </c>
      <c r="F375" t="s">
        <v>17</v>
      </c>
      <c r="G375" t="s">
        <v>48</v>
      </c>
      <c r="H375">
        <v>63.96</v>
      </c>
      <c r="I375" t="s">
        <v>65</v>
      </c>
      <c r="J375" t="s">
        <v>26</v>
      </c>
      <c r="K375">
        <v>76</v>
      </c>
      <c r="L375">
        <v>5</v>
      </c>
    </row>
    <row r="376" spans="1:12" x14ac:dyDescent="0.2">
      <c r="A376" t="s">
        <v>1094</v>
      </c>
      <c r="B376" t="s">
        <v>1095</v>
      </c>
      <c r="C376" t="s">
        <v>44</v>
      </c>
      <c r="D376" t="s">
        <v>15</v>
      </c>
      <c r="E376" t="s">
        <v>113</v>
      </c>
      <c r="F376" t="s">
        <v>1096</v>
      </c>
      <c r="G376" t="s">
        <v>40</v>
      </c>
      <c r="H376">
        <v>139.78</v>
      </c>
      <c r="I376" t="s">
        <v>122</v>
      </c>
      <c r="J376" t="s">
        <v>26</v>
      </c>
      <c r="K376">
        <v>44</v>
      </c>
      <c r="L376">
        <v>5</v>
      </c>
    </row>
    <row r="377" spans="1:12" x14ac:dyDescent="0.2">
      <c r="A377" t="s">
        <v>1097</v>
      </c>
      <c r="B377" t="s">
        <v>1098</v>
      </c>
      <c r="C377" t="s">
        <v>73</v>
      </c>
      <c r="D377" t="s">
        <v>61</v>
      </c>
      <c r="E377" t="s">
        <v>473</v>
      </c>
      <c r="F377" t="s">
        <v>1099</v>
      </c>
      <c r="G377" t="s">
        <v>57</v>
      </c>
      <c r="H377">
        <v>423.93</v>
      </c>
      <c r="I377" t="s">
        <v>49</v>
      </c>
      <c r="J377" t="s">
        <v>50</v>
      </c>
      <c r="K377">
        <v>71</v>
      </c>
      <c r="L377">
        <v>4</v>
      </c>
    </row>
    <row r="378" spans="1:12" x14ac:dyDescent="0.2">
      <c r="A378" t="s">
        <v>1100</v>
      </c>
      <c r="B378" t="s">
        <v>1101</v>
      </c>
      <c r="C378" t="s">
        <v>68</v>
      </c>
      <c r="D378" t="s">
        <v>15</v>
      </c>
      <c r="E378" t="s">
        <v>302</v>
      </c>
      <c r="F378" t="s">
        <v>1102</v>
      </c>
      <c r="G378" t="s">
        <v>77</v>
      </c>
      <c r="H378">
        <v>286.39999999999998</v>
      </c>
      <c r="I378" t="s">
        <v>65</v>
      </c>
      <c r="J378" t="s">
        <v>26</v>
      </c>
      <c r="K378">
        <v>85</v>
      </c>
      <c r="L378">
        <v>5</v>
      </c>
    </row>
    <row r="379" spans="1:12" x14ac:dyDescent="0.2">
      <c r="A379" t="s">
        <v>1103</v>
      </c>
      <c r="B379" t="s">
        <v>1104</v>
      </c>
      <c r="C379" t="s">
        <v>73</v>
      </c>
      <c r="D379" t="s">
        <v>74</v>
      </c>
      <c r="E379" t="s">
        <v>102</v>
      </c>
      <c r="F379" t="s">
        <v>1105</v>
      </c>
      <c r="G379" t="s">
        <v>48</v>
      </c>
      <c r="H379">
        <v>158.83000000000001</v>
      </c>
      <c r="I379" t="s">
        <v>65</v>
      </c>
      <c r="J379" t="s">
        <v>41</v>
      </c>
      <c r="K379">
        <v>59</v>
      </c>
      <c r="L379">
        <v>1</v>
      </c>
    </row>
    <row r="380" spans="1:12" x14ac:dyDescent="0.2">
      <c r="A380" t="s">
        <v>1106</v>
      </c>
      <c r="B380" t="s">
        <v>1107</v>
      </c>
      <c r="C380" t="s">
        <v>44</v>
      </c>
      <c r="D380" t="s">
        <v>54</v>
      </c>
      <c r="E380" t="s">
        <v>140</v>
      </c>
      <c r="F380" t="s">
        <v>254</v>
      </c>
      <c r="G380" t="s">
        <v>40</v>
      </c>
      <c r="H380">
        <v>88.17</v>
      </c>
      <c r="I380" t="s">
        <v>49</v>
      </c>
      <c r="J380" t="s">
        <v>41</v>
      </c>
      <c r="K380">
        <v>86</v>
      </c>
      <c r="L380">
        <v>1</v>
      </c>
    </row>
    <row r="381" spans="1:12" x14ac:dyDescent="0.2">
      <c r="A381" t="s">
        <v>1108</v>
      </c>
      <c r="B381" t="s">
        <v>1109</v>
      </c>
      <c r="C381" t="s">
        <v>29</v>
      </c>
      <c r="D381" t="s">
        <v>80</v>
      </c>
      <c r="E381" t="s">
        <v>129</v>
      </c>
      <c r="F381" t="s">
        <v>1110</v>
      </c>
      <c r="G381" t="s">
        <v>40</v>
      </c>
      <c r="H381">
        <v>176.05</v>
      </c>
      <c r="I381" t="s">
        <v>122</v>
      </c>
      <c r="J381" t="s">
        <v>50</v>
      </c>
      <c r="K381">
        <v>70</v>
      </c>
      <c r="L381">
        <v>2</v>
      </c>
    </row>
    <row r="382" spans="1:12" x14ac:dyDescent="0.2">
      <c r="A382" t="s">
        <v>1111</v>
      </c>
      <c r="B382" t="s">
        <v>1112</v>
      </c>
      <c r="C382" t="s">
        <v>44</v>
      </c>
      <c r="D382" t="s">
        <v>45</v>
      </c>
      <c r="E382" t="s">
        <v>31</v>
      </c>
      <c r="F382" t="s">
        <v>1113</v>
      </c>
      <c r="G382" t="s">
        <v>33</v>
      </c>
      <c r="H382">
        <v>431.42</v>
      </c>
      <c r="I382" t="s">
        <v>19</v>
      </c>
      <c r="J382" t="s">
        <v>26</v>
      </c>
      <c r="K382">
        <v>43</v>
      </c>
      <c r="L382">
        <v>2</v>
      </c>
    </row>
    <row r="383" spans="1:12" x14ac:dyDescent="0.2">
      <c r="A383" t="s">
        <v>1114</v>
      </c>
      <c r="B383" t="s">
        <v>1115</v>
      </c>
      <c r="C383" t="s">
        <v>29</v>
      </c>
      <c r="D383" t="s">
        <v>15</v>
      </c>
      <c r="E383" t="s">
        <v>46</v>
      </c>
      <c r="F383" t="s">
        <v>1116</v>
      </c>
      <c r="G383" t="s">
        <v>77</v>
      </c>
      <c r="H383">
        <v>443.78</v>
      </c>
      <c r="I383" t="s">
        <v>49</v>
      </c>
      <c r="J383" t="s">
        <v>50</v>
      </c>
      <c r="K383">
        <v>87</v>
      </c>
      <c r="L383">
        <v>5</v>
      </c>
    </row>
    <row r="384" spans="1:12" x14ac:dyDescent="0.2">
      <c r="A384" t="s">
        <v>1117</v>
      </c>
      <c r="B384" t="s">
        <v>1118</v>
      </c>
      <c r="C384" t="s">
        <v>68</v>
      </c>
      <c r="D384" t="s">
        <v>80</v>
      </c>
      <c r="E384" t="s">
        <v>140</v>
      </c>
      <c r="F384" t="s">
        <v>513</v>
      </c>
      <c r="G384" t="s">
        <v>33</v>
      </c>
      <c r="H384">
        <v>250.2</v>
      </c>
      <c r="I384" t="s">
        <v>122</v>
      </c>
      <c r="J384" t="s">
        <v>50</v>
      </c>
      <c r="K384">
        <v>90</v>
      </c>
      <c r="L384">
        <v>3</v>
      </c>
    </row>
    <row r="385" spans="1:12" x14ac:dyDescent="0.2">
      <c r="A385" t="s">
        <v>1119</v>
      </c>
      <c r="B385" t="s">
        <v>1120</v>
      </c>
      <c r="C385" t="s">
        <v>44</v>
      </c>
      <c r="D385" t="s">
        <v>54</v>
      </c>
      <c r="E385" t="s">
        <v>317</v>
      </c>
      <c r="F385" t="s">
        <v>1121</v>
      </c>
      <c r="G385" t="s">
        <v>33</v>
      </c>
      <c r="H385">
        <v>366.26</v>
      </c>
      <c r="I385" t="s">
        <v>122</v>
      </c>
      <c r="J385" t="s">
        <v>50</v>
      </c>
      <c r="K385">
        <v>76</v>
      </c>
    </row>
    <row r="386" spans="1:12" x14ac:dyDescent="0.2">
      <c r="A386" t="s">
        <v>1122</v>
      </c>
      <c r="B386" t="s">
        <v>1123</v>
      </c>
      <c r="C386" t="s">
        <v>106</v>
      </c>
      <c r="D386" t="s">
        <v>89</v>
      </c>
      <c r="E386" t="s">
        <v>198</v>
      </c>
      <c r="F386" t="s">
        <v>618</v>
      </c>
      <c r="G386" t="s">
        <v>48</v>
      </c>
      <c r="H386">
        <v>193.23</v>
      </c>
      <c r="I386" t="s">
        <v>19</v>
      </c>
      <c r="J386" t="s">
        <v>20</v>
      </c>
      <c r="K386">
        <v>63</v>
      </c>
    </row>
    <row r="387" spans="1:12" x14ac:dyDescent="0.2">
      <c r="A387" t="s">
        <v>1124</v>
      </c>
      <c r="B387" t="s">
        <v>1125</v>
      </c>
      <c r="C387" t="s">
        <v>29</v>
      </c>
      <c r="D387" t="s">
        <v>74</v>
      </c>
      <c r="E387" t="s">
        <v>154</v>
      </c>
      <c r="F387" t="s">
        <v>17</v>
      </c>
      <c r="G387" t="s">
        <v>33</v>
      </c>
      <c r="H387">
        <v>343.52</v>
      </c>
      <c r="I387" t="s">
        <v>49</v>
      </c>
      <c r="J387" t="s">
        <v>41</v>
      </c>
      <c r="K387">
        <v>39</v>
      </c>
      <c r="L387">
        <v>2</v>
      </c>
    </row>
    <row r="388" spans="1:12" x14ac:dyDescent="0.2">
      <c r="A388" t="s">
        <v>1126</v>
      </c>
      <c r="B388" t="s">
        <v>1127</v>
      </c>
      <c r="C388" t="s">
        <v>14</v>
      </c>
      <c r="D388" t="s">
        <v>139</v>
      </c>
      <c r="E388" t="s">
        <v>24</v>
      </c>
      <c r="F388" t="s">
        <v>1128</v>
      </c>
      <c r="G388" t="s">
        <v>57</v>
      </c>
      <c r="H388">
        <v>126.55</v>
      </c>
      <c r="I388" t="s">
        <v>19</v>
      </c>
      <c r="J388" t="s">
        <v>26</v>
      </c>
      <c r="K388">
        <v>39</v>
      </c>
      <c r="L388">
        <v>1</v>
      </c>
    </row>
    <row r="389" spans="1:12" x14ac:dyDescent="0.2">
      <c r="A389" t="s">
        <v>1129</v>
      </c>
      <c r="B389" t="s">
        <v>1130</v>
      </c>
      <c r="C389" t="s">
        <v>117</v>
      </c>
      <c r="D389" t="s">
        <v>45</v>
      </c>
      <c r="E389" t="s">
        <v>118</v>
      </c>
      <c r="F389" t="s">
        <v>1131</v>
      </c>
      <c r="G389" t="s">
        <v>57</v>
      </c>
      <c r="H389">
        <v>387.65</v>
      </c>
      <c r="I389" t="s">
        <v>65</v>
      </c>
      <c r="J389" t="s">
        <v>41</v>
      </c>
      <c r="K389">
        <v>29</v>
      </c>
    </row>
    <row r="390" spans="1:12" x14ac:dyDescent="0.2">
      <c r="A390" t="s">
        <v>1132</v>
      </c>
      <c r="B390" t="s">
        <v>1133</v>
      </c>
      <c r="C390" t="s">
        <v>53</v>
      </c>
      <c r="D390" t="s">
        <v>80</v>
      </c>
      <c r="E390" t="s">
        <v>85</v>
      </c>
      <c r="F390" t="s">
        <v>519</v>
      </c>
      <c r="G390" t="s">
        <v>77</v>
      </c>
      <c r="H390">
        <v>480.71</v>
      </c>
      <c r="I390" t="s">
        <v>122</v>
      </c>
      <c r="J390" t="s">
        <v>41</v>
      </c>
      <c r="K390">
        <v>52</v>
      </c>
      <c r="L390">
        <v>4</v>
      </c>
    </row>
    <row r="391" spans="1:12" x14ac:dyDescent="0.2">
      <c r="A391" t="s">
        <v>1134</v>
      </c>
      <c r="B391" t="s">
        <v>1135</v>
      </c>
      <c r="C391" t="s">
        <v>14</v>
      </c>
      <c r="D391" t="s">
        <v>89</v>
      </c>
      <c r="E391" t="s">
        <v>272</v>
      </c>
      <c r="F391" t="s">
        <v>1136</v>
      </c>
      <c r="G391" t="s">
        <v>64</v>
      </c>
      <c r="H391">
        <v>308.61</v>
      </c>
      <c r="I391" t="s">
        <v>65</v>
      </c>
      <c r="J391" t="s">
        <v>41</v>
      </c>
      <c r="K391">
        <v>21</v>
      </c>
      <c r="L391">
        <v>2</v>
      </c>
    </row>
    <row r="392" spans="1:12" x14ac:dyDescent="0.2">
      <c r="A392" t="s">
        <v>1137</v>
      </c>
      <c r="B392" t="s">
        <v>1138</v>
      </c>
      <c r="C392" t="s">
        <v>73</v>
      </c>
      <c r="D392" t="s">
        <v>125</v>
      </c>
      <c r="E392" t="s">
        <v>118</v>
      </c>
      <c r="F392" t="s">
        <v>1139</v>
      </c>
      <c r="G392" t="s">
        <v>40</v>
      </c>
      <c r="H392">
        <v>167.11</v>
      </c>
      <c r="I392" t="s">
        <v>122</v>
      </c>
      <c r="J392" t="s">
        <v>26</v>
      </c>
      <c r="K392">
        <v>21</v>
      </c>
    </row>
    <row r="393" spans="1:12" x14ac:dyDescent="0.2">
      <c r="A393" t="s">
        <v>1140</v>
      </c>
      <c r="B393" t="s">
        <v>1141</v>
      </c>
      <c r="C393" t="s">
        <v>106</v>
      </c>
      <c r="D393" t="s">
        <v>80</v>
      </c>
      <c r="E393" t="s">
        <v>85</v>
      </c>
      <c r="F393" t="s">
        <v>1142</v>
      </c>
      <c r="G393" t="s">
        <v>18</v>
      </c>
      <c r="H393">
        <v>359.96</v>
      </c>
      <c r="I393" t="s">
        <v>65</v>
      </c>
      <c r="J393" t="s">
        <v>26</v>
      </c>
      <c r="K393">
        <v>81</v>
      </c>
    </row>
    <row r="394" spans="1:12" x14ac:dyDescent="0.2">
      <c r="A394" t="s">
        <v>1143</v>
      </c>
      <c r="B394" t="s">
        <v>1144</v>
      </c>
      <c r="C394" t="s">
        <v>60</v>
      </c>
      <c r="D394" t="s">
        <v>89</v>
      </c>
      <c r="E394" t="s">
        <v>85</v>
      </c>
      <c r="F394" t="s">
        <v>1145</v>
      </c>
      <c r="G394" t="s">
        <v>18</v>
      </c>
      <c r="H394">
        <v>233.28</v>
      </c>
      <c r="I394" t="s">
        <v>65</v>
      </c>
      <c r="J394" t="s">
        <v>41</v>
      </c>
      <c r="K394">
        <v>39</v>
      </c>
      <c r="L394">
        <v>3</v>
      </c>
    </row>
    <row r="395" spans="1:12" x14ac:dyDescent="0.2">
      <c r="A395" t="s">
        <v>1146</v>
      </c>
      <c r="B395" t="s">
        <v>1147</v>
      </c>
      <c r="C395" t="s">
        <v>117</v>
      </c>
      <c r="D395" t="s">
        <v>37</v>
      </c>
      <c r="E395" t="s">
        <v>302</v>
      </c>
      <c r="F395" t="s">
        <v>854</v>
      </c>
      <c r="G395" t="s">
        <v>77</v>
      </c>
      <c r="H395">
        <v>210.4</v>
      </c>
      <c r="I395" t="s">
        <v>122</v>
      </c>
      <c r="J395" t="s">
        <v>20</v>
      </c>
      <c r="K395">
        <v>89</v>
      </c>
    </row>
    <row r="396" spans="1:12" x14ac:dyDescent="0.2">
      <c r="A396" t="s">
        <v>1148</v>
      </c>
      <c r="B396" t="s">
        <v>1149</v>
      </c>
      <c r="C396" t="s">
        <v>23</v>
      </c>
      <c r="D396" t="s">
        <v>125</v>
      </c>
      <c r="E396" t="s">
        <v>144</v>
      </c>
      <c r="F396" t="s">
        <v>1150</v>
      </c>
      <c r="G396" t="s">
        <v>33</v>
      </c>
      <c r="H396">
        <v>371.29</v>
      </c>
      <c r="I396" t="s">
        <v>122</v>
      </c>
      <c r="J396" t="s">
        <v>26</v>
      </c>
      <c r="K396">
        <v>18</v>
      </c>
      <c r="L396">
        <v>1</v>
      </c>
    </row>
    <row r="397" spans="1:12" x14ac:dyDescent="0.2">
      <c r="A397" t="s">
        <v>1151</v>
      </c>
      <c r="B397" t="s">
        <v>1152</v>
      </c>
      <c r="C397" t="s">
        <v>68</v>
      </c>
      <c r="D397" t="s">
        <v>74</v>
      </c>
      <c r="E397" t="s">
        <v>154</v>
      </c>
      <c r="F397" t="s">
        <v>1010</v>
      </c>
      <c r="G397" t="s">
        <v>40</v>
      </c>
      <c r="H397">
        <v>442.09</v>
      </c>
      <c r="I397" t="s">
        <v>65</v>
      </c>
      <c r="J397" t="s">
        <v>26</v>
      </c>
      <c r="K397">
        <v>32</v>
      </c>
      <c r="L397">
        <v>2</v>
      </c>
    </row>
    <row r="398" spans="1:12" x14ac:dyDescent="0.2">
      <c r="A398" t="s">
        <v>1153</v>
      </c>
      <c r="B398" t="s">
        <v>1154</v>
      </c>
      <c r="C398" t="s">
        <v>23</v>
      </c>
      <c r="D398" t="s">
        <v>74</v>
      </c>
      <c r="E398" t="s">
        <v>349</v>
      </c>
      <c r="F398" t="s">
        <v>403</v>
      </c>
      <c r="G398" t="s">
        <v>57</v>
      </c>
      <c r="H398">
        <v>453.92</v>
      </c>
      <c r="I398" t="s">
        <v>65</v>
      </c>
      <c r="J398" t="s">
        <v>50</v>
      </c>
      <c r="K398">
        <v>69</v>
      </c>
      <c r="L398">
        <v>3</v>
      </c>
    </row>
    <row r="399" spans="1:12" x14ac:dyDescent="0.2">
      <c r="A399" t="s">
        <v>1155</v>
      </c>
      <c r="B399" t="s">
        <v>1156</v>
      </c>
      <c r="C399" t="s">
        <v>44</v>
      </c>
      <c r="D399" t="s">
        <v>61</v>
      </c>
      <c r="E399" t="s">
        <v>132</v>
      </c>
      <c r="F399" t="s">
        <v>1157</v>
      </c>
      <c r="G399" t="s">
        <v>18</v>
      </c>
      <c r="H399">
        <v>279.67</v>
      </c>
      <c r="I399" t="s">
        <v>19</v>
      </c>
      <c r="J399" t="s">
        <v>50</v>
      </c>
      <c r="K399">
        <v>53</v>
      </c>
      <c r="L399">
        <v>5</v>
      </c>
    </row>
    <row r="400" spans="1:12" x14ac:dyDescent="0.2">
      <c r="A400" t="s">
        <v>1158</v>
      </c>
      <c r="B400" t="s">
        <v>1159</v>
      </c>
      <c r="C400" t="s">
        <v>14</v>
      </c>
      <c r="D400" t="s">
        <v>37</v>
      </c>
      <c r="E400" t="s">
        <v>118</v>
      </c>
      <c r="F400" t="s">
        <v>1160</v>
      </c>
      <c r="G400" t="s">
        <v>48</v>
      </c>
      <c r="H400">
        <v>175.33</v>
      </c>
      <c r="I400" t="s">
        <v>49</v>
      </c>
      <c r="J400" t="s">
        <v>41</v>
      </c>
      <c r="K400">
        <v>20</v>
      </c>
      <c r="L400">
        <v>4</v>
      </c>
    </row>
    <row r="401" spans="1:12" x14ac:dyDescent="0.2">
      <c r="A401" t="s">
        <v>1161</v>
      </c>
      <c r="B401" t="s">
        <v>201</v>
      </c>
      <c r="C401" t="s">
        <v>60</v>
      </c>
      <c r="D401" t="s">
        <v>15</v>
      </c>
      <c r="E401" t="s">
        <v>55</v>
      </c>
      <c r="F401" t="s">
        <v>846</v>
      </c>
      <c r="G401" t="s">
        <v>57</v>
      </c>
      <c r="H401">
        <v>203.19</v>
      </c>
      <c r="I401" t="s">
        <v>122</v>
      </c>
      <c r="J401" t="s">
        <v>41</v>
      </c>
      <c r="K401">
        <v>40</v>
      </c>
      <c r="L401">
        <v>5</v>
      </c>
    </row>
    <row r="402" spans="1:12" x14ac:dyDescent="0.2">
      <c r="A402" t="s">
        <v>1162</v>
      </c>
      <c r="B402" t="s">
        <v>1163</v>
      </c>
      <c r="C402" t="s">
        <v>117</v>
      </c>
      <c r="D402" t="s">
        <v>74</v>
      </c>
      <c r="E402" t="s">
        <v>238</v>
      </c>
      <c r="F402" t="s">
        <v>1164</v>
      </c>
      <c r="G402" t="s">
        <v>91</v>
      </c>
      <c r="H402">
        <v>283.70999999999998</v>
      </c>
      <c r="I402" t="s">
        <v>19</v>
      </c>
      <c r="J402" t="s">
        <v>50</v>
      </c>
      <c r="K402">
        <v>59</v>
      </c>
      <c r="L402">
        <v>4</v>
      </c>
    </row>
    <row r="403" spans="1:12" x14ac:dyDescent="0.2">
      <c r="A403" t="s">
        <v>1165</v>
      </c>
      <c r="B403" t="s">
        <v>1166</v>
      </c>
      <c r="C403" t="s">
        <v>60</v>
      </c>
      <c r="D403" t="s">
        <v>80</v>
      </c>
      <c r="E403" t="s">
        <v>81</v>
      </c>
      <c r="F403" t="s">
        <v>1167</v>
      </c>
      <c r="G403" t="s">
        <v>91</v>
      </c>
      <c r="H403">
        <v>283.89</v>
      </c>
      <c r="I403" t="s">
        <v>49</v>
      </c>
      <c r="J403" t="s">
        <v>20</v>
      </c>
      <c r="K403">
        <v>35</v>
      </c>
      <c r="L403">
        <v>5</v>
      </c>
    </row>
    <row r="404" spans="1:12" x14ac:dyDescent="0.2">
      <c r="A404" t="s">
        <v>1168</v>
      </c>
      <c r="B404" t="s">
        <v>1169</v>
      </c>
      <c r="C404" t="s">
        <v>53</v>
      </c>
      <c r="D404" t="s">
        <v>80</v>
      </c>
      <c r="E404" t="s">
        <v>198</v>
      </c>
      <c r="F404" t="s">
        <v>390</v>
      </c>
      <c r="G404" t="s">
        <v>48</v>
      </c>
      <c r="H404">
        <v>438.91</v>
      </c>
      <c r="I404" t="s">
        <v>49</v>
      </c>
      <c r="J404" t="s">
        <v>41</v>
      </c>
      <c r="K404">
        <v>35</v>
      </c>
      <c r="L404">
        <v>2</v>
      </c>
    </row>
    <row r="405" spans="1:12" x14ac:dyDescent="0.2">
      <c r="A405" t="s">
        <v>1170</v>
      </c>
      <c r="B405" t="s">
        <v>1171</v>
      </c>
      <c r="C405" t="s">
        <v>53</v>
      </c>
      <c r="D405" t="s">
        <v>37</v>
      </c>
      <c r="E405" t="s">
        <v>129</v>
      </c>
      <c r="F405" t="s">
        <v>1172</v>
      </c>
      <c r="G405" t="s">
        <v>33</v>
      </c>
      <c r="H405">
        <v>436.49</v>
      </c>
      <c r="I405" t="s">
        <v>122</v>
      </c>
      <c r="J405" t="s">
        <v>50</v>
      </c>
      <c r="K405">
        <v>80</v>
      </c>
      <c r="L405">
        <v>1</v>
      </c>
    </row>
    <row r="406" spans="1:12" x14ac:dyDescent="0.2">
      <c r="A406" t="s">
        <v>1173</v>
      </c>
      <c r="B406" t="s">
        <v>518</v>
      </c>
      <c r="C406" t="s">
        <v>29</v>
      </c>
      <c r="D406" t="s">
        <v>125</v>
      </c>
      <c r="E406" t="s">
        <v>102</v>
      </c>
      <c r="F406" t="s">
        <v>1174</v>
      </c>
      <c r="G406" t="s">
        <v>91</v>
      </c>
      <c r="H406">
        <v>77.3</v>
      </c>
      <c r="I406" t="s">
        <v>122</v>
      </c>
      <c r="J406" t="s">
        <v>26</v>
      </c>
      <c r="K406">
        <v>54</v>
      </c>
      <c r="L406">
        <v>1</v>
      </c>
    </row>
    <row r="407" spans="1:12" x14ac:dyDescent="0.2">
      <c r="A407" t="s">
        <v>1175</v>
      </c>
      <c r="B407" t="s">
        <v>1176</v>
      </c>
      <c r="C407" t="s">
        <v>53</v>
      </c>
      <c r="D407" t="s">
        <v>37</v>
      </c>
      <c r="E407" t="s">
        <v>349</v>
      </c>
      <c r="F407" t="s">
        <v>1177</v>
      </c>
      <c r="G407" t="s">
        <v>64</v>
      </c>
      <c r="H407">
        <v>125.59</v>
      </c>
      <c r="I407" t="s">
        <v>19</v>
      </c>
      <c r="J407" t="s">
        <v>50</v>
      </c>
      <c r="K407">
        <v>29</v>
      </c>
    </row>
    <row r="408" spans="1:12" x14ac:dyDescent="0.2">
      <c r="A408" t="s">
        <v>1178</v>
      </c>
      <c r="B408" t="s">
        <v>1179</v>
      </c>
      <c r="C408" t="s">
        <v>73</v>
      </c>
      <c r="D408" t="s">
        <v>139</v>
      </c>
      <c r="E408" t="s">
        <v>257</v>
      </c>
      <c r="F408" t="s">
        <v>1180</v>
      </c>
      <c r="G408" t="s">
        <v>64</v>
      </c>
      <c r="H408">
        <v>370.63</v>
      </c>
      <c r="I408" t="s">
        <v>65</v>
      </c>
      <c r="J408" t="s">
        <v>50</v>
      </c>
      <c r="K408">
        <v>17</v>
      </c>
      <c r="L408">
        <v>5</v>
      </c>
    </row>
    <row r="409" spans="1:12" x14ac:dyDescent="0.2">
      <c r="A409" t="s">
        <v>1181</v>
      </c>
      <c r="B409" t="s">
        <v>1182</v>
      </c>
      <c r="C409" t="s">
        <v>29</v>
      </c>
      <c r="D409" t="s">
        <v>80</v>
      </c>
      <c r="E409" t="s">
        <v>302</v>
      </c>
      <c r="F409" t="s">
        <v>1183</v>
      </c>
      <c r="G409" t="s">
        <v>77</v>
      </c>
      <c r="H409">
        <v>152.44</v>
      </c>
      <c r="I409" t="s">
        <v>19</v>
      </c>
      <c r="J409" t="s">
        <v>26</v>
      </c>
      <c r="K409">
        <v>36</v>
      </c>
    </row>
    <row r="410" spans="1:12" x14ac:dyDescent="0.2">
      <c r="A410" t="s">
        <v>1184</v>
      </c>
      <c r="B410" t="s">
        <v>1185</v>
      </c>
      <c r="C410" t="s">
        <v>23</v>
      </c>
      <c r="D410" t="s">
        <v>74</v>
      </c>
      <c r="E410" t="s">
        <v>132</v>
      </c>
      <c r="F410" t="s">
        <v>479</v>
      </c>
      <c r="G410" t="s">
        <v>40</v>
      </c>
      <c r="H410">
        <v>180.8</v>
      </c>
      <c r="I410" t="s">
        <v>19</v>
      </c>
      <c r="J410" t="s">
        <v>41</v>
      </c>
      <c r="K410">
        <v>80</v>
      </c>
      <c r="L410">
        <v>1</v>
      </c>
    </row>
    <row r="411" spans="1:12" x14ac:dyDescent="0.2">
      <c r="A411" t="s">
        <v>1186</v>
      </c>
      <c r="B411" t="s">
        <v>1187</v>
      </c>
      <c r="C411" t="s">
        <v>60</v>
      </c>
      <c r="D411" t="s">
        <v>74</v>
      </c>
      <c r="E411" t="s">
        <v>31</v>
      </c>
      <c r="F411" t="s">
        <v>1145</v>
      </c>
      <c r="G411" t="s">
        <v>91</v>
      </c>
      <c r="H411">
        <v>232.69</v>
      </c>
      <c r="I411" t="s">
        <v>49</v>
      </c>
      <c r="J411" t="s">
        <v>41</v>
      </c>
      <c r="K411">
        <v>88</v>
      </c>
      <c r="L411">
        <v>2</v>
      </c>
    </row>
    <row r="412" spans="1:12" x14ac:dyDescent="0.2">
      <c r="A412" t="s">
        <v>1188</v>
      </c>
      <c r="B412" t="s">
        <v>1189</v>
      </c>
      <c r="C412" t="s">
        <v>14</v>
      </c>
      <c r="D412" t="s">
        <v>80</v>
      </c>
      <c r="E412" t="s">
        <v>238</v>
      </c>
      <c r="F412" t="s">
        <v>706</v>
      </c>
      <c r="G412" t="s">
        <v>33</v>
      </c>
      <c r="H412">
        <v>375.92</v>
      </c>
      <c r="I412" t="s">
        <v>122</v>
      </c>
      <c r="J412" t="s">
        <v>26</v>
      </c>
      <c r="K412">
        <v>21</v>
      </c>
      <c r="L412">
        <v>4</v>
      </c>
    </row>
    <row r="413" spans="1:12" x14ac:dyDescent="0.2">
      <c r="A413" t="s">
        <v>1190</v>
      </c>
      <c r="B413" t="s">
        <v>1191</v>
      </c>
      <c r="C413" t="s">
        <v>106</v>
      </c>
      <c r="D413" t="s">
        <v>139</v>
      </c>
      <c r="E413" t="s">
        <v>16</v>
      </c>
      <c r="F413" t="s">
        <v>1192</v>
      </c>
      <c r="G413" t="s">
        <v>91</v>
      </c>
      <c r="H413">
        <v>142.38</v>
      </c>
      <c r="I413" t="s">
        <v>122</v>
      </c>
      <c r="J413" t="s">
        <v>20</v>
      </c>
      <c r="K413">
        <v>79</v>
      </c>
      <c r="L413">
        <v>3</v>
      </c>
    </row>
    <row r="414" spans="1:12" x14ac:dyDescent="0.2">
      <c r="A414" t="s">
        <v>1193</v>
      </c>
      <c r="B414" t="s">
        <v>1194</v>
      </c>
      <c r="C414" t="s">
        <v>53</v>
      </c>
      <c r="D414" t="s">
        <v>45</v>
      </c>
      <c r="E414" t="s">
        <v>55</v>
      </c>
      <c r="F414" t="s">
        <v>1195</v>
      </c>
      <c r="G414" t="s">
        <v>33</v>
      </c>
      <c r="H414">
        <v>145.87</v>
      </c>
      <c r="I414" t="s">
        <v>122</v>
      </c>
      <c r="J414" t="s">
        <v>50</v>
      </c>
      <c r="K414">
        <v>74</v>
      </c>
    </row>
    <row r="415" spans="1:12" x14ac:dyDescent="0.2">
      <c r="A415" t="s">
        <v>1196</v>
      </c>
      <c r="B415" t="s">
        <v>944</v>
      </c>
      <c r="C415" t="s">
        <v>29</v>
      </c>
      <c r="D415" t="s">
        <v>89</v>
      </c>
      <c r="E415" t="s">
        <v>349</v>
      </c>
      <c r="F415" t="s">
        <v>1197</v>
      </c>
      <c r="G415" t="s">
        <v>64</v>
      </c>
      <c r="H415">
        <v>243.05</v>
      </c>
      <c r="I415" t="s">
        <v>19</v>
      </c>
      <c r="J415" t="s">
        <v>20</v>
      </c>
      <c r="K415">
        <v>40</v>
      </c>
      <c r="L415">
        <v>2</v>
      </c>
    </row>
    <row r="416" spans="1:12" x14ac:dyDescent="0.2">
      <c r="A416" t="s">
        <v>1198</v>
      </c>
      <c r="B416" t="s">
        <v>1199</v>
      </c>
      <c r="C416" t="s">
        <v>53</v>
      </c>
      <c r="D416" t="s">
        <v>37</v>
      </c>
      <c r="E416" t="s">
        <v>238</v>
      </c>
      <c r="F416" t="s">
        <v>1200</v>
      </c>
      <c r="G416" t="s">
        <v>48</v>
      </c>
      <c r="H416">
        <v>74.37</v>
      </c>
      <c r="I416" t="s">
        <v>19</v>
      </c>
      <c r="J416" t="s">
        <v>26</v>
      </c>
      <c r="K416">
        <v>82</v>
      </c>
      <c r="L416">
        <v>3</v>
      </c>
    </row>
    <row r="417" spans="1:12" x14ac:dyDescent="0.2">
      <c r="A417" t="s">
        <v>1201</v>
      </c>
      <c r="B417" t="s">
        <v>1202</v>
      </c>
      <c r="C417" t="s">
        <v>73</v>
      </c>
      <c r="D417" t="s">
        <v>45</v>
      </c>
      <c r="E417" t="s">
        <v>317</v>
      </c>
      <c r="F417" t="s">
        <v>1203</v>
      </c>
      <c r="G417" t="s">
        <v>18</v>
      </c>
      <c r="H417">
        <v>422.43</v>
      </c>
      <c r="I417" t="s">
        <v>65</v>
      </c>
      <c r="J417" t="s">
        <v>26</v>
      </c>
      <c r="K417">
        <v>21</v>
      </c>
      <c r="L417">
        <v>3</v>
      </c>
    </row>
    <row r="418" spans="1:12" x14ac:dyDescent="0.2">
      <c r="A418" t="s">
        <v>1204</v>
      </c>
      <c r="B418" t="s">
        <v>1205</v>
      </c>
      <c r="C418" t="s">
        <v>68</v>
      </c>
      <c r="D418" t="s">
        <v>125</v>
      </c>
      <c r="E418" t="s">
        <v>302</v>
      </c>
      <c r="F418" t="s">
        <v>1206</v>
      </c>
      <c r="G418" t="s">
        <v>91</v>
      </c>
      <c r="H418">
        <v>461.29</v>
      </c>
      <c r="I418" t="s">
        <v>19</v>
      </c>
      <c r="J418" t="s">
        <v>26</v>
      </c>
      <c r="K418">
        <v>64</v>
      </c>
      <c r="L418">
        <v>5</v>
      </c>
    </row>
    <row r="419" spans="1:12" x14ac:dyDescent="0.2">
      <c r="A419" t="s">
        <v>1207</v>
      </c>
      <c r="B419" t="s">
        <v>275</v>
      </c>
      <c r="C419" t="s">
        <v>29</v>
      </c>
      <c r="D419" t="s">
        <v>139</v>
      </c>
      <c r="E419" t="s">
        <v>129</v>
      </c>
      <c r="F419" t="s">
        <v>558</v>
      </c>
      <c r="G419" t="s">
        <v>57</v>
      </c>
      <c r="H419">
        <v>89.51</v>
      </c>
      <c r="I419" t="s">
        <v>49</v>
      </c>
      <c r="J419" t="s">
        <v>20</v>
      </c>
      <c r="K419">
        <v>38</v>
      </c>
      <c r="L419">
        <v>2</v>
      </c>
    </row>
    <row r="420" spans="1:12" x14ac:dyDescent="0.2">
      <c r="A420" t="s">
        <v>1208</v>
      </c>
      <c r="B420" t="s">
        <v>1209</v>
      </c>
      <c r="C420" t="s">
        <v>29</v>
      </c>
      <c r="D420" t="s">
        <v>37</v>
      </c>
      <c r="E420" t="s">
        <v>343</v>
      </c>
      <c r="F420" t="s">
        <v>390</v>
      </c>
      <c r="G420" t="s">
        <v>40</v>
      </c>
      <c r="H420">
        <v>293.86</v>
      </c>
      <c r="I420" t="s">
        <v>65</v>
      </c>
      <c r="J420" t="s">
        <v>41</v>
      </c>
      <c r="K420">
        <v>30</v>
      </c>
    </row>
    <row r="421" spans="1:12" x14ac:dyDescent="0.2">
      <c r="A421" t="s">
        <v>1210</v>
      </c>
      <c r="B421" t="s">
        <v>1211</v>
      </c>
      <c r="C421" t="s">
        <v>68</v>
      </c>
      <c r="D421" t="s">
        <v>54</v>
      </c>
      <c r="E421" t="s">
        <v>46</v>
      </c>
      <c r="F421" t="s">
        <v>1212</v>
      </c>
      <c r="G421" t="s">
        <v>77</v>
      </c>
      <c r="H421">
        <v>365.05</v>
      </c>
      <c r="I421" t="s">
        <v>19</v>
      </c>
      <c r="J421" t="s">
        <v>20</v>
      </c>
      <c r="K421">
        <v>32</v>
      </c>
      <c r="L421">
        <v>3</v>
      </c>
    </row>
    <row r="422" spans="1:12" x14ac:dyDescent="0.2">
      <c r="A422" t="s">
        <v>1213</v>
      </c>
      <c r="B422" t="s">
        <v>1084</v>
      </c>
      <c r="C422" t="s">
        <v>73</v>
      </c>
      <c r="D422" t="s">
        <v>15</v>
      </c>
      <c r="E422" t="s">
        <v>69</v>
      </c>
      <c r="F422" t="s">
        <v>936</v>
      </c>
      <c r="G422" t="s">
        <v>91</v>
      </c>
      <c r="H422">
        <v>227.29</v>
      </c>
      <c r="I422" t="s">
        <v>122</v>
      </c>
      <c r="J422" t="s">
        <v>26</v>
      </c>
      <c r="K422">
        <v>74</v>
      </c>
      <c r="L422">
        <v>2</v>
      </c>
    </row>
    <row r="423" spans="1:12" x14ac:dyDescent="0.2">
      <c r="A423" t="s">
        <v>1214</v>
      </c>
      <c r="B423" t="s">
        <v>1215</v>
      </c>
      <c r="C423" t="s">
        <v>68</v>
      </c>
      <c r="D423" t="s">
        <v>125</v>
      </c>
      <c r="E423" t="s">
        <v>154</v>
      </c>
      <c r="F423" t="s">
        <v>1216</v>
      </c>
      <c r="G423" t="s">
        <v>48</v>
      </c>
      <c r="H423">
        <v>234.6</v>
      </c>
      <c r="I423" t="s">
        <v>65</v>
      </c>
      <c r="J423" t="s">
        <v>50</v>
      </c>
      <c r="K423">
        <v>70</v>
      </c>
      <c r="L423">
        <v>4</v>
      </c>
    </row>
    <row r="424" spans="1:12" x14ac:dyDescent="0.2">
      <c r="A424" t="s">
        <v>1217</v>
      </c>
      <c r="B424" t="s">
        <v>1218</v>
      </c>
      <c r="C424" t="s">
        <v>73</v>
      </c>
      <c r="D424" t="s">
        <v>61</v>
      </c>
      <c r="E424" t="s">
        <v>257</v>
      </c>
      <c r="F424" t="s">
        <v>892</v>
      </c>
      <c r="G424" t="s">
        <v>77</v>
      </c>
      <c r="H424">
        <v>307.74</v>
      </c>
      <c r="I424" t="s">
        <v>19</v>
      </c>
      <c r="J424" t="s">
        <v>20</v>
      </c>
      <c r="K424">
        <v>71</v>
      </c>
      <c r="L424">
        <v>4</v>
      </c>
    </row>
    <row r="425" spans="1:12" x14ac:dyDescent="0.2">
      <c r="A425" t="s">
        <v>1219</v>
      </c>
      <c r="B425" t="s">
        <v>1220</v>
      </c>
      <c r="C425" t="s">
        <v>53</v>
      </c>
      <c r="D425" t="s">
        <v>37</v>
      </c>
      <c r="E425" t="s">
        <v>113</v>
      </c>
      <c r="F425" t="s">
        <v>1221</v>
      </c>
      <c r="G425" t="s">
        <v>77</v>
      </c>
      <c r="H425">
        <v>328.93</v>
      </c>
      <c r="I425" t="s">
        <v>49</v>
      </c>
      <c r="J425" t="s">
        <v>20</v>
      </c>
      <c r="K425">
        <v>21</v>
      </c>
      <c r="L425">
        <v>5</v>
      </c>
    </row>
    <row r="426" spans="1:12" x14ac:dyDescent="0.2">
      <c r="A426" t="s">
        <v>1222</v>
      </c>
      <c r="B426" t="s">
        <v>1223</v>
      </c>
      <c r="C426" t="s">
        <v>106</v>
      </c>
      <c r="D426" t="s">
        <v>125</v>
      </c>
      <c r="E426" t="s">
        <v>161</v>
      </c>
      <c r="F426" t="s">
        <v>1224</v>
      </c>
      <c r="G426" t="s">
        <v>64</v>
      </c>
      <c r="H426">
        <v>150.06</v>
      </c>
      <c r="I426" t="s">
        <v>49</v>
      </c>
      <c r="J426" t="s">
        <v>20</v>
      </c>
      <c r="K426">
        <v>77</v>
      </c>
      <c r="L426">
        <v>2</v>
      </c>
    </row>
    <row r="427" spans="1:12" x14ac:dyDescent="0.2">
      <c r="A427" t="s">
        <v>1225</v>
      </c>
      <c r="B427" t="s">
        <v>1226</v>
      </c>
      <c r="C427" t="s">
        <v>14</v>
      </c>
      <c r="D427" t="s">
        <v>89</v>
      </c>
      <c r="E427" t="s">
        <v>38</v>
      </c>
      <c r="F427" t="s">
        <v>1136</v>
      </c>
      <c r="G427" t="s">
        <v>48</v>
      </c>
      <c r="H427">
        <v>485.24</v>
      </c>
      <c r="I427" t="s">
        <v>49</v>
      </c>
      <c r="J427" t="s">
        <v>50</v>
      </c>
      <c r="K427">
        <v>23</v>
      </c>
      <c r="L427">
        <v>1</v>
      </c>
    </row>
    <row r="428" spans="1:12" x14ac:dyDescent="0.2">
      <c r="A428" t="s">
        <v>1227</v>
      </c>
      <c r="B428" t="s">
        <v>1228</v>
      </c>
      <c r="C428" t="s">
        <v>106</v>
      </c>
      <c r="D428" t="s">
        <v>89</v>
      </c>
      <c r="E428" t="s">
        <v>132</v>
      </c>
      <c r="F428" t="s">
        <v>1229</v>
      </c>
      <c r="G428" t="s">
        <v>48</v>
      </c>
      <c r="H428">
        <v>469.12</v>
      </c>
      <c r="I428" t="s">
        <v>65</v>
      </c>
      <c r="J428" t="s">
        <v>20</v>
      </c>
      <c r="K428">
        <v>87</v>
      </c>
      <c r="L428">
        <v>5</v>
      </c>
    </row>
    <row r="429" spans="1:12" x14ac:dyDescent="0.2">
      <c r="A429" t="s">
        <v>1230</v>
      </c>
      <c r="B429" t="s">
        <v>1231</v>
      </c>
      <c r="C429" t="s">
        <v>53</v>
      </c>
      <c r="D429" t="s">
        <v>74</v>
      </c>
      <c r="E429" t="s">
        <v>343</v>
      </c>
      <c r="F429" t="s">
        <v>1232</v>
      </c>
      <c r="G429" t="s">
        <v>64</v>
      </c>
      <c r="H429">
        <v>283.56</v>
      </c>
      <c r="I429" t="s">
        <v>65</v>
      </c>
      <c r="J429" t="s">
        <v>50</v>
      </c>
      <c r="K429">
        <v>67</v>
      </c>
      <c r="L429">
        <v>5</v>
      </c>
    </row>
    <row r="430" spans="1:12" x14ac:dyDescent="0.2">
      <c r="A430" t="s">
        <v>1233</v>
      </c>
      <c r="B430" t="s">
        <v>1234</v>
      </c>
      <c r="C430" t="s">
        <v>44</v>
      </c>
      <c r="D430" t="s">
        <v>15</v>
      </c>
      <c r="E430" t="s">
        <v>349</v>
      </c>
      <c r="F430" t="s">
        <v>1235</v>
      </c>
      <c r="G430" t="s">
        <v>91</v>
      </c>
      <c r="H430">
        <v>177.76</v>
      </c>
      <c r="I430" t="s">
        <v>49</v>
      </c>
      <c r="J430" t="s">
        <v>41</v>
      </c>
      <c r="K430">
        <v>88</v>
      </c>
      <c r="L430">
        <v>5</v>
      </c>
    </row>
    <row r="431" spans="1:12" x14ac:dyDescent="0.2">
      <c r="A431" t="s">
        <v>1236</v>
      </c>
      <c r="B431" t="s">
        <v>1237</v>
      </c>
      <c r="C431" t="s">
        <v>44</v>
      </c>
      <c r="D431" t="s">
        <v>37</v>
      </c>
      <c r="E431" t="s">
        <v>97</v>
      </c>
      <c r="F431" t="s">
        <v>1238</v>
      </c>
      <c r="G431" t="s">
        <v>77</v>
      </c>
      <c r="H431">
        <v>95.9</v>
      </c>
      <c r="I431" t="s">
        <v>49</v>
      </c>
      <c r="J431" t="s">
        <v>41</v>
      </c>
      <c r="K431">
        <v>62</v>
      </c>
    </row>
    <row r="432" spans="1:12" x14ac:dyDescent="0.2">
      <c r="A432" t="s">
        <v>1239</v>
      </c>
      <c r="B432" t="s">
        <v>1240</v>
      </c>
      <c r="C432" t="s">
        <v>44</v>
      </c>
      <c r="D432" t="s">
        <v>89</v>
      </c>
      <c r="E432" t="s">
        <v>154</v>
      </c>
      <c r="F432" t="s">
        <v>953</v>
      </c>
      <c r="G432" t="s">
        <v>33</v>
      </c>
      <c r="H432">
        <v>318.14</v>
      </c>
      <c r="I432" t="s">
        <v>122</v>
      </c>
      <c r="J432" t="s">
        <v>50</v>
      </c>
      <c r="K432">
        <v>18</v>
      </c>
      <c r="L432">
        <v>3</v>
      </c>
    </row>
    <row r="433" spans="1:12" x14ac:dyDescent="0.2">
      <c r="A433" t="s">
        <v>1241</v>
      </c>
      <c r="B433" t="s">
        <v>1242</v>
      </c>
      <c r="C433" t="s">
        <v>53</v>
      </c>
      <c r="D433" t="s">
        <v>61</v>
      </c>
      <c r="E433" t="s">
        <v>129</v>
      </c>
      <c r="F433" t="s">
        <v>1243</v>
      </c>
      <c r="G433" t="s">
        <v>77</v>
      </c>
      <c r="H433">
        <v>226.71</v>
      </c>
      <c r="I433" t="s">
        <v>49</v>
      </c>
      <c r="J433" t="s">
        <v>20</v>
      </c>
      <c r="K433">
        <v>52</v>
      </c>
    </row>
    <row r="434" spans="1:12" x14ac:dyDescent="0.2">
      <c r="A434" t="s">
        <v>1244</v>
      </c>
      <c r="B434" t="s">
        <v>1245</v>
      </c>
      <c r="C434" t="s">
        <v>73</v>
      </c>
      <c r="D434" t="s">
        <v>45</v>
      </c>
      <c r="E434" t="s">
        <v>85</v>
      </c>
      <c r="F434" t="s">
        <v>489</v>
      </c>
      <c r="G434" t="s">
        <v>33</v>
      </c>
      <c r="H434">
        <v>483.18</v>
      </c>
      <c r="I434" t="s">
        <v>49</v>
      </c>
      <c r="J434" t="s">
        <v>41</v>
      </c>
      <c r="K434">
        <v>55</v>
      </c>
      <c r="L434">
        <v>2</v>
      </c>
    </row>
    <row r="435" spans="1:12" x14ac:dyDescent="0.2">
      <c r="A435" t="s">
        <v>1246</v>
      </c>
      <c r="B435" t="s">
        <v>1247</v>
      </c>
      <c r="C435" t="s">
        <v>14</v>
      </c>
      <c r="D435" t="s">
        <v>37</v>
      </c>
      <c r="E435" t="s">
        <v>238</v>
      </c>
      <c r="F435" t="s">
        <v>1248</v>
      </c>
      <c r="G435" t="s">
        <v>57</v>
      </c>
      <c r="H435">
        <v>376.44</v>
      </c>
      <c r="I435" t="s">
        <v>49</v>
      </c>
      <c r="J435" t="s">
        <v>26</v>
      </c>
      <c r="K435">
        <v>39</v>
      </c>
      <c r="L435">
        <v>5</v>
      </c>
    </row>
    <row r="436" spans="1:12" x14ac:dyDescent="0.2">
      <c r="A436" t="s">
        <v>1249</v>
      </c>
      <c r="B436" t="s">
        <v>1250</v>
      </c>
      <c r="C436" t="s">
        <v>106</v>
      </c>
      <c r="D436" t="s">
        <v>89</v>
      </c>
      <c r="E436" t="s">
        <v>46</v>
      </c>
      <c r="F436" t="s">
        <v>25</v>
      </c>
      <c r="G436" t="s">
        <v>18</v>
      </c>
      <c r="H436">
        <v>69.150000000000006</v>
      </c>
      <c r="I436" t="s">
        <v>65</v>
      </c>
      <c r="J436" t="s">
        <v>50</v>
      </c>
      <c r="K436">
        <v>25</v>
      </c>
    </row>
    <row r="437" spans="1:12" x14ac:dyDescent="0.2">
      <c r="A437" t="s">
        <v>1251</v>
      </c>
      <c r="B437" t="s">
        <v>1252</v>
      </c>
      <c r="C437" t="s">
        <v>29</v>
      </c>
      <c r="D437" t="s">
        <v>45</v>
      </c>
      <c r="E437" t="s">
        <v>473</v>
      </c>
      <c r="F437" t="s">
        <v>1253</v>
      </c>
      <c r="G437" t="s">
        <v>57</v>
      </c>
      <c r="H437">
        <v>238.19</v>
      </c>
      <c r="I437" t="s">
        <v>49</v>
      </c>
      <c r="J437" t="s">
        <v>41</v>
      </c>
      <c r="K437">
        <v>33</v>
      </c>
      <c r="L437">
        <v>3</v>
      </c>
    </row>
    <row r="438" spans="1:12" x14ac:dyDescent="0.2">
      <c r="A438" t="s">
        <v>1254</v>
      </c>
      <c r="B438" t="s">
        <v>1255</v>
      </c>
      <c r="C438" t="s">
        <v>73</v>
      </c>
      <c r="D438" t="s">
        <v>80</v>
      </c>
      <c r="E438" t="s">
        <v>118</v>
      </c>
      <c r="F438" t="s">
        <v>892</v>
      </c>
      <c r="G438" t="s">
        <v>91</v>
      </c>
      <c r="H438">
        <v>345.75</v>
      </c>
      <c r="I438" t="s">
        <v>122</v>
      </c>
      <c r="J438" t="s">
        <v>26</v>
      </c>
      <c r="K438">
        <v>22</v>
      </c>
      <c r="L438">
        <v>5</v>
      </c>
    </row>
    <row r="439" spans="1:12" x14ac:dyDescent="0.2">
      <c r="A439" t="s">
        <v>1256</v>
      </c>
      <c r="B439" t="s">
        <v>1257</v>
      </c>
      <c r="C439" t="s">
        <v>60</v>
      </c>
      <c r="D439" t="s">
        <v>80</v>
      </c>
      <c r="E439" t="s">
        <v>31</v>
      </c>
      <c r="F439" t="s">
        <v>1258</v>
      </c>
      <c r="G439" t="s">
        <v>57</v>
      </c>
      <c r="H439">
        <v>178.52</v>
      </c>
      <c r="I439" t="s">
        <v>65</v>
      </c>
      <c r="J439" t="s">
        <v>41</v>
      </c>
      <c r="K439">
        <v>17</v>
      </c>
      <c r="L439">
        <v>1</v>
      </c>
    </row>
    <row r="440" spans="1:12" x14ac:dyDescent="0.2">
      <c r="A440" t="s">
        <v>1259</v>
      </c>
      <c r="B440" t="s">
        <v>1260</v>
      </c>
      <c r="C440" t="s">
        <v>73</v>
      </c>
      <c r="D440" t="s">
        <v>89</v>
      </c>
      <c r="E440" t="s">
        <v>161</v>
      </c>
      <c r="F440" t="s">
        <v>1261</v>
      </c>
      <c r="G440" t="s">
        <v>18</v>
      </c>
      <c r="H440">
        <v>287.72000000000003</v>
      </c>
      <c r="I440" t="s">
        <v>49</v>
      </c>
      <c r="J440" t="s">
        <v>20</v>
      </c>
      <c r="K440">
        <v>47</v>
      </c>
      <c r="L440">
        <v>5</v>
      </c>
    </row>
    <row r="441" spans="1:12" x14ac:dyDescent="0.2">
      <c r="A441" t="s">
        <v>1262</v>
      </c>
      <c r="B441" t="s">
        <v>1263</v>
      </c>
      <c r="C441" t="s">
        <v>53</v>
      </c>
      <c r="D441" t="s">
        <v>45</v>
      </c>
      <c r="E441" t="s">
        <v>140</v>
      </c>
      <c r="F441" t="s">
        <v>1264</v>
      </c>
      <c r="G441" t="s">
        <v>91</v>
      </c>
      <c r="H441">
        <v>119.54</v>
      </c>
      <c r="I441" t="s">
        <v>49</v>
      </c>
      <c r="J441" t="s">
        <v>41</v>
      </c>
      <c r="K441">
        <v>60</v>
      </c>
      <c r="L441">
        <v>5</v>
      </c>
    </row>
    <row r="442" spans="1:12" x14ac:dyDescent="0.2">
      <c r="A442" t="s">
        <v>1265</v>
      </c>
      <c r="B442" t="s">
        <v>1266</v>
      </c>
      <c r="C442" t="s">
        <v>53</v>
      </c>
      <c r="D442" t="s">
        <v>74</v>
      </c>
      <c r="E442" t="s">
        <v>118</v>
      </c>
      <c r="F442" t="s">
        <v>860</v>
      </c>
      <c r="G442" t="s">
        <v>77</v>
      </c>
      <c r="H442">
        <v>128.05000000000001</v>
      </c>
      <c r="I442" t="s">
        <v>49</v>
      </c>
      <c r="J442" t="s">
        <v>26</v>
      </c>
      <c r="K442">
        <v>29</v>
      </c>
      <c r="L442">
        <v>1</v>
      </c>
    </row>
    <row r="443" spans="1:12" x14ac:dyDescent="0.2">
      <c r="A443" t="s">
        <v>1267</v>
      </c>
      <c r="B443" t="s">
        <v>1268</v>
      </c>
      <c r="C443" t="s">
        <v>106</v>
      </c>
      <c r="D443" t="s">
        <v>37</v>
      </c>
      <c r="E443" t="s">
        <v>102</v>
      </c>
      <c r="F443" t="s">
        <v>1269</v>
      </c>
      <c r="G443" t="s">
        <v>18</v>
      </c>
      <c r="H443">
        <v>96.07</v>
      </c>
      <c r="I443" t="s">
        <v>49</v>
      </c>
      <c r="J443" t="s">
        <v>26</v>
      </c>
      <c r="K443">
        <v>82</v>
      </c>
    </row>
    <row r="444" spans="1:12" x14ac:dyDescent="0.2">
      <c r="A444" t="s">
        <v>1270</v>
      </c>
      <c r="B444" t="s">
        <v>1271</v>
      </c>
      <c r="C444" t="s">
        <v>53</v>
      </c>
      <c r="D444" t="s">
        <v>125</v>
      </c>
      <c r="E444" t="s">
        <v>97</v>
      </c>
      <c r="F444" t="s">
        <v>133</v>
      </c>
      <c r="G444" t="s">
        <v>64</v>
      </c>
      <c r="H444">
        <v>70.06</v>
      </c>
      <c r="I444" t="s">
        <v>65</v>
      </c>
      <c r="J444" t="s">
        <v>20</v>
      </c>
      <c r="K444">
        <v>68</v>
      </c>
      <c r="L444">
        <v>2</v>
      </c>
    </row>
    <row r="445" spans="1:12" x14ac:dyDescent="0.2">
      <c r="A445" t="s">
        <v>1272</v>
      </c>
      <c r="B445" t="s">
        <v>1273</v>
      </c>
      <c r="C445" t="s">
        <v>23</v>
      </c>
      <c r="D445" t="s">
        <v>45</v>
      </c>
      <c r="E445" t="s">
        <v>180</v>
      </c>
      <c r="F445" t="s">
        <v>1274</v>
      </c>
      <c r="G445" t="s">
        <v>33</v>
      </c>
      <c r="H445">
        <v>240.39</v>
      </c>
      <c r="I445" t="s">
        <v>19</v>
      </c>
      <c r="J445" t="s">
        <v>50</v>
      </c>
      <c r="K445">
        <v>88</v>
      </c>
    </row>
    <row r="446" spans="1:12" x14ac:dyDescent="0.2">
      <c r="A446" t="s">
        <v>1275</v>
      </c>
      <c r="B446" t="s">
        <v>1276</v>
      </c>
      <c r="C446" t="s">
        <v>106</v>
      </c>
      <c r="D446" t="s">
        <v>15</v>
      </c>
      <c r="E446" t="s">
        <v>129</v>
      </c>
      <c r="F446" t="s">
        <v>1235</v>
      </c>
      <c r="G446" t="s">
        <v>33</v>
      </c>
      <c r="H446">
        <v>173.6</v>
      </c>
      <c r="I446" t="s">
        <v>65</v>
      </c>
      <c r="J446" t="s">
        <v>26</v>
      </c>
      <c r="K446">
        <v>42</v>
      </c>
      <c r="L446">
        <v>3</v>
      </c>
    </row>
    <row r="447" spans="1:12" x14ac:dyDescent="0.2">
      <c r="A447" t="s">
        <v>1277</v>
      </c>
      <c r="B447" t="s">
        <v>1278</v>
      </c>
      <c r="C447" t="s">
        <v>53</v>
      </c>
      <c r="D447" t="s">
        <v>37</v>
      </c>
      <c r="E447" t="s">
        <v>102</v>
      </c>
      <c r="F447" t="s">
        <v>817</v>
      </c>
      <c r="G447" t="s">
        <v>64</v>
      </c>
      <c r="H447">
        <v>382.59</v>
      </c>
      <c r="I447" t="s">
        <v>49</v>
      </c>
      <c r="J447" t="s">
        <v>26</v>
      </c>
      <c r="K447">
        <v>87</v>
      </c>
      <c r="L447">
        <v>4</v>
      </c>
    </row>
    <row r="448" spans="1:12" x14ac:dyDescent="0.2">
      <c r="A448" t="s">
        <v>1279</v>
      </c>
      <c r="B448" t="s">
        <v>1280</v>
      </c>
      <c r="C448" t="s">
        <v>29</v>
      </c>
      <c r="D448" t="s">
        <v>61</v>
      </c>
      <c r="E448" t="s">
        <v>38</v>
      </c>
      <c r="F448" t="s">
        <v>889</v>
      </c>
      <c r="G448" t="s">
        <v>91</v>
      </c>
      <c r="H448">
        <v>201.36</v>
      </c>
      <c r="I448" t="s">
        <v>19</v>
      </c>
      <c r="J448" t="s">
        <v>26</v>
      </c>
      <c r="K448">
        <v>65</v>
      </c>
      <c r="L448">
        <v>1</v>
      </c>
    </row>
    <row r="449" spans="1:12" x14ac:dyDescent="0.2">
      <c r="A449" t="s">
        <v>1281</v>
      </c>
      <c r="B449" t="s">
        <v>1282</v>
      </c>
      <c r="C449" t="s">
        <v>44</v>
      </c>
      <c r="D449" t="s">
        <v>61</v>
      </c>
      <c r="E449" t="s">
        <v>24</v>
      </c>
      <c r="F449" t="s">
        <v>736</v>
      </c>
      <c r="G449" t="s">
        <v>91</v>
      </c>
      <c r="H449">
        <v>158.46</v>
      </c>
      <c r="I449" t="s">
        <v>19</v>
      </c>
      <c r="J449" t="s">
        <v>50</v>
      </c>
      <c r="K449">
        <v>85</v>
      </c>
      <c r="L449">
        <v>5</v>
      </c>
    </row>
    <row r="450" spans="1:12" x14ac:dyDescent="0.2">
      <c r="A450" t="s">
        <v>1283</v>
      </c>
      <c r="B450" t="s">
        <v>1284</v>
      </c>
      <c r="C450" t="s">
        <v>53</v>
      </c>
      <c r="D450" t="s">
        <v>125</v>
      </c>
      <c r="E450" t="s">
        <v>38</v>
      </c>
      <c r="F450" t="s">
        <v>843</v>
      </c>
      <c r="G450" t="s">
        <v>91</v>
      </c>
      <c r="H450">
        <v>224.58</v>
      </c>
      <c r="I450" t="s">
        <v>49</v>
      </c>
      <c r="J450" t="s">
        <v>26</v>
      </c>
      <c r="K450">
        <v>18</v>
      </c>
      <c r="L450">
        <v>1</v>
      </c>
    </row>
    <row r="451" spans="1:12" x14ac:dyDescent="0.2">
      <c r="A451" t="s">
        <v>1285</v>
      </c>
      <c r="B451" t="s">
        <v>1286</v>
      </c>
      <c r="C451" t="s">
        <v>44</v>
      </c>
      <c r="D451" t="s">
        <v>37</v>
      </c>
      <c r="E451" t="s">
        <v>97</v>
      </c>
      <c r="F451" t="s">
        <v>1287</v>
      </c>
      <c r="G451" t="s">
        <v>18</v>
      </c>
      <c r="H451">
        <v>382.64</v>
      </c>
      <c r="I451" t="s">
        <v>65</v>
      </c>
      <c r="J451" t="s">
        <v>26</v>
      </c>
      <c r="K451">
        <v>63</v>
      </c>
    </row>
    <row r="452" spans="1:12" x14ac:dyDescent="0.2">
      <c r="A452" t="s">
        <v>1288</v>
      </c>
      <c r="B452" t="s">
        <v>1289</v>
      </c>
      <c r="C452" t="s">
        <v>117</v>
      </c>
      <c r="D452" t="s">
        <v>61</v>
      </c>
      <c r="E452" t="s">
        <v>31</v>
      </c>
      <c r="F452" t="s">
        <v>1290</v>
      </c>
      <c r="G452" t="s">
        <v>64</v>
      </c>
      <c r="H452">
        <v>78</v>
      </c>
      <c r="I452" t="s">
        <v>65</v>
      </c>
      <c r="J452" t="s">
        <v>50</v>
      </c>
      <c r="K452">
        <v>36</v>
      </c>
      <c r="L452">
        <v>5</v>
      </c>
    </row>
    <row r="453" spans="1:12" x14ac:dyDescent="0.2">
      <c r="A453" t="s">
        <v>1291</v>
      </c>
      <c r="B453" t="s">
        <v>1292</v>
      </c>
      <c r="C453" t="s">
        <v>60</v>
      </c>
      <c r="D453" t="s">
        <v>54</v>
      </c>
      <c r="E453" t="s">
        <v>198</v>
      </c>
      <c r="F453" t="s">
        <v>1293</v>
      </c>
      <c r="G453" t="s">
        <v>18</v>
      </c>
      <c r="H453">
        <v>362.74</v>
      </c>
      <c r="I453" t="s">
        <v>49</v>
      </c>
      <c r="J453" t="s">
        <v>26</v>
      </c>
      <c r="K453">
        <v>19</v>
      </c>
      <c r="L453">
        <v>2</v>
      </c>
    </row>
    <row r="454" spans="1:12" x14ac:dyDescent="0.2">
      <c r="A454" t="s">
        <v>1294</v>
      </c>
      <c r="B454" t="s">
        <v>1295</v>
      </c>
      <c r="C454" t="s">
        <v>29</v>
      </c>
      <c r="D454" t="s">
        <v>54</v>
      </c>
      <c r="E454" t="s">
        <v>180</v>
      </c>
      <c r="F454" t="s">
        <v>1296</v>
      </c>
      <c r="G454" t="s">
        <v>64</v>
      </c>
      <c r="H454">
        <v>381</v>
      </c>
      <c r="I454" t="s">
        <v>49</v>
      </c>
      <c r="J454" t="s">
        <v>41</v>
      </c>
      <c r="K454">
        <v>19</v>
      </c>
      <c r="L454">
        <v>1</v>
      </c>
    </row>
    <row r="455" spans="1:12" x14ac:dyDescent="0.2">
      <c r="A455" t="s">
        <v>1297</v>
      </c>
      <c r="B455" t="s">
        <v>1298</v>
      </c>
      <c r="C455" t="s">
        <v>68</v>
      </c>
      <c r="D455" t="s">
        <v>61</v>
      </c>
      <c r="E455" t="s">
        <v>272</v>
      </c>
      <c r="F455" t="s">
        <v>1299</v>
      </c>
      <c r="G455" t="s">
        <v>57</v>
      </c>
      <c r="H455">
        <v>117.49</v>
      </c>
      <c r="I455" t="s">
        <v>122</v>
      </c>
      <c r="J455" t="s">
        <v>50</v>
      </c>
      <c r="K455">
        <v>45</v>
      </c>
      <c r="L455">
        <v>3</v>
      </c>
    </row>
    <row r="456" spans="1:12" x14ac:dyDescent="0.2">
      <c r="A456" t="s">
        <v>1300</v>
      </c>
      <c r="B456" t="s">
        <v>1301</v>
      </c>
      <c r="C456" t="s">
        <v>73</v>
      </c>
      <c r="D456" t="s">
        <v>15</v>
      </c>
      <c r="E456" t="s">
        <v>55</v>
      </c>
      <c r="F456" t="s">
        <v>1302</v>
      </c>
      <c r="G456" t="s">
        <v>48</v>
      </c>
      <c r="H456">
        <v>182.52</v>
      </c>
      <c r="I456" t="s">
        <v>49</v>
      </c>
      <c r="J456" t="s">
        <v>41</v>
      </c>
      <c r="K456">
        <v>82</v>
      </c>
      <c r="L456">
        <v>5</v>
      </c>
    </row>
    <row r="457" spans="1:12" x14ac:dyDescent="0.2">
      <c r="A457" t="s">
        <v>1303</v>
      </c>
      <c r="B457" t="s">
        <v>1304</v>
      </c>
      <c r="C457" t="s">
        <v>73</v>
      </c>
      <c r="D457" t="s">
        <v>89</v>
      </c>
      <c r="E457" t="s">
        <v>238</v>
      </c>
      <c r="F457" t="s">
        <v>600</v>
      </c>
      <c r="G457" t="s">
        <v>57</v>
      </c>
      <c r="H457">
        <v>171.54</v>
      </c>
      <c r="I457" t="s">
        <v>122</v>
      </c>
      <c r="J457" t="s">
        <v>26</v>
      </c>
      <c r="K457">
        <v>57</v>
      </c>
      <c r="L457">
        <v>2</v>
      </c>
    </row>
    <row r="458" spans="1:12" x14ac:dyDescent="0.2">
      <c r="A458" t="s">
        <v>1305</v>
      </c>
      <c r="B458" t="s">
        <v>1306</v>
      </c>
      <c r="C458" t="s">
        <v>14</v>
      </c>
      <c r="D458" t="s">
        <v>139</v>
      </c>
      <c r="E458" t="s">
        <v>272</v>
      </c>
      <c r="F458" t="s">
        <v>1307</v>
      </c>
      <c r="G458" t="s">
        <v>57</v>
      </c>
      <c r="H458">
        <v>256.49</v>
      </c>
      <c r="I458" t="s">
        <v>122</v>
      </c>
      <c r="J458" t="s">
        <v>41</v>
      </c>
      <c r="K458">
        <v>50</v>
      </c>
      <c r="L458">
        <v>1</v>
      </c>
    </row>
    <row r="459" spans="1:12" x14ac:dyDescent="0.2">
      <c r="A459" t="s">
        <v>1308</v>
      </c>
      <c r="B459" t="s">
        <v>1309</v>
      </c>
      <c r="C459" t="s">
        <v>29</v>
      </c>
      <c r="D459" t="s">
        <v>54</v>
      </c>
      <c r="E459" t="s">
        <v>55</v>
      </c>
      <c r="F459" t="s">
        <v>1310</v>
      </c>
      <c r="G459" t="s">
        <v>33</v>
      </c>
      <c r="H459">
        <v>302.36</v>
      </c>
      <c r="I459" t="s">
        <v>19</v>
      </c>
      <c r="J459" t="s">
        <v>20</v>
      </c>
      <c r="K459">
        <v>35</v>
      </c>
      <c r="L459">
        <v>5</v>
      </c>
    </row>
    <row r="460" spans="1:12" x14ac:dyDescent="0.2">
      <c r="A460" t="s">
        <v>1311</v>
      </c>
      <c r="B460" t="s">
        <v>1312</v>
      </c>
      <c r="C460" t="s">
        <v>117</v>
      </c>
      <c r="D460" t="s">
        <v>54</v>
      </c>
      <c r="E460" t="s">
        <v>24</v>
      </c>
      <c r="F460" t="s">
        <v>1313</v>
      </c>
      <c r="G460" t="s">
        <v>48</v>
      </c>
      <c r="H460">
        <v>169.21</v>
      </c>
      <c r="I460" t="s">
        <v>122</v>
      </c>
      <c r="J460" t="s">
        <v>20</v>
      </c>
      <c r="K460">
        <v>40</v>
      </c>
    </row>
    <row r="461" spans="1:12" x14ac:dyDescent="0.2">
      <c r="A461" t="s">
        <v>1314</v>
      </c>
      <c r="B461" t="s">
        <v>1315</v>
      </c>
      <c r="C461" t="s">
        <v>44</v>
      </c>
      <c r="D461" t="s">
        <v>15</v>
      </c>
      <c r="E461" t="s">
        <v>154</v>
      </c>
      <c r="F461" t="s">
        <v>1316</v>
      </c>
      <c r="G461" t="s">
        <v>57</v>
      </c>
      <c r="H461">
        <v>154.28</v>
      </c>
      <c r="I461" t="s">
        <v>19</v>
      </c>
      <c r="J461" t="s">
        <v>26</v>
      </c>
      <c r="K461">
        <v>80</v>
      </c>
      <c r="L461">
        <v>3</v>
      </c>
    </row>
    <row r="462" spans="1:12" x14ac:dyDescent="0.2">
      <c r="A462" t="s">
        <v>1317</v>
      </c>
      <c r="B462" t="s">
        <v>1318</v>
      </c>
      <c r="C462" t="s">
        <v>73</v>
      </c>
      <c r="D462" t="s">
        <v>139</v>
      </c>
      <c r="E462" t="s">
        <v>129</v>
      </c>
      <c r="F462" t="s">
        <v>1319</v>
      </c>
      <c r="G462" t="s">
        <v>33</v>
      </c>
      <c r="H462">
        <v>414.75</v>
      </c>
      <c r="I462" t="s">
        <v>49</v>
      </c>
      <c r="J462" t="s">
        <v>41</v>
      </c>
      <c r="K462">
        <v>21</v>
      </c>
      <c r="L462">
        <v>4</v>
      </c>
    </row>
    <row r="463" spans="1:12" x14ac:dyDescent="0.2">
      <c r="A463" t="s">
        <v>1320</v>
      </c>
      <c r="B463" t="s">
        <v>1321</v>
      </c>
      <c r="C463" t="s">
        <v>60</v>
      </c>
      <c r="D463" t="s">
        <v>80</v>
      </c>
      <c r="E463" t="s">
        <v>55</v>
      </c>
      <c r="F463" t="s">
        <v>1322</v>
      </c>
      <c r="G463" t="s">
        <v>64</v>
      </c>
      <c r="H463">
        <v>233.41</v>
      </c>
      <c r="I463" t="s">
        <v>65</v>
      </c>
      <c r="J463" t="s">
        <v>50</v>
      </c>
      <c r="K463">
        <v>16</v>
      </c>
      <c r="L463">
        <v>1</v>
      </c>
    </row>
    <row r="464" spans="1:12" x14ac:dyDescent="0.2">
      <c r="A464" t="s">
        <v>1323</v>
      </c>
      <c r="B464" t="s">
        <v>1324</v>
      </c>
      <c r="C464" t="s">
        <v>23</v>
      </c>
      <c r="D464" t="s">
        <v>61</v>
      </c>
      <c r="E464" t="s">
        <v>102</v>
      </c>
      <c r="F464" t="s">
        <v>1299</v>
      </c>
      <c r="G464" t="s">
        <v>18</v>
      </c>
      <c r="H464">
        <v>170.13</v>
      </c>
      <c r="I464" t="s">
        <v>65</v>
      </c>
      <c r="J464" t="s">
        <v>26</v>
      </c>
      <c r="K464">
        <v>77</v>
      </c>
      <c r="L464">
        <v>4</v>
      </c>
    </row>
    <row r="465" spans="1:12" x14ac:dyDescent="0.2">
      <c r="A465" t="s">
        <v>1325</v>
      </c>
      <c r="B465" t="s">
        <v>1326</v>
      </c>
      <c r="C465" t="s">
        <v>68</v>
      </c>
      <c r="D465" t="s">
        <v>15</v>
      </c>
      <c r="E465" t="s">
        <v>24</v>
      </c>
      <c r="F465" t="s">
        <v>1327</v>
      </c>
      <c r="G465" t="s">
        <v>77</v>
      </c>
      <c r="H465">
        <v>279.73</v>
      </c>
      <c r="I465" t="s">
        <v>65</v>
      </c>
      <c r="J465" t="s">
        <v>26</v>
      </c>
      <c r="K465">
        <v>49</v>
      </c>
      <c r="L465">
        <v>3</v>
      </c>
    </row>
    <row r="466" spans="1:12" x14ac:dyDescent="0.2">
      <c r="A466" t="s">
        <v>1328</v>
      </c>
      <c r="B466" t="s">
        <v>1329</v>
      </c>
      <c r="C466" t="s">
        <v>106</v>
      </c>
      <c r="D466" t="s">
        <v>54</v>
      </c>
      <c r="E466" t="s">
        <v>343</v>
      </c>
      <c r="F466" t="s">
        <v>476</v>
      </c>
      <c r="G466" t="s">
        <v>91</v>
      </c>
      <c r="H466">
        <v>426.83</v>
      </c>
      <c r="I466" t="s">
        <v>65</v>
      </c>
      <c r="J466" t="s">
        <v>26</v>
      </c>
      <c r="K466">
        <v>64</v>
      </c>
      <c r="L466">
        <v>5</v>
      </c>
    </row>
    <row r="467" spans="1:12" x14ac:dyDescent="0.2">
      <c r="A467" t="s">
        <v>1330</v>
      </c>
      <c r="B467" t="s">
        <v>1331</v>
      </c>
      <c r="C467" t="s">
        <v>68</v>
      </c>
      <c r="D467" t="s">
        <v>15</v>
      </c>
      <c r="E467" t="s">
        <v>55</v>
      </c>
      <c r="F467" t="s">
        <v>1332</v>
      </c>
      <c r="G467" t="s">
        <v>64</v>
      </c>
      <c r="H467">
        <v>445.93</v>
      </c>
      <c r="I467" t="s">
        <v>65</v>
      </c>
      <c r="J467" t="s">
        <v>50</v>
      </c>
      <c r="K467">
        <v>22</v>
      </c>
      <c r="L467">
        <v>4</v>
      </c>
    </row>
    <row r="468" spans="1:12" x14ac:dyDescent="0.2">
      <c r="A468" t="s">
        <v>1333</v>
      </c>
      <c r="B468" t="s">
        <v>1334</v>
      </c>
      <c r="C468" t="s">
        <v>14</v>
      </c>
      <c r="D468" t="s">
        <v>74</v>
      </c>
      <c r="E468" t="s">
        <v>55</v>
      </c>
      <c r="F468" t="s">
        <v>1335</v>
      </c>
      <c r="G468" t="s">
        <v>57</v>
      </c>
      <c r="H468">
        <v>191.28</v>
      </c>
      <c r="I468" t="s">
        <v>65</v>
      </c>
      <c r="J468" t="s">
        <v>20</v>
      </c>
      <c r="K468">
        <v>75</v>
      </c>
    </row>
    <row r="469" spans="1:12" x14ac:dyDescent="0.2">
      <c r="A469" t="s">
        <v>1336</v>
      </c>
      <c r="B469" t="s">
        <v>1337</v>
      </c>
      <c r="C469" t="s">
        <v>29</v>
      </c>
      <c r="D469" t="s">
        <v>37</v>
      </c>
      <c r="E469" t="s">
        <v>46</v>
      </c>
      <c r="F469" t="s">
        <v>418</v>
      </c>
      <c r="G469" t="s">
        <v>91</v>
      </c>
      <c r="H469">
        <v>203.4</v>
      </c>
      <c r="I469" t="s">
        <v>49</v>
      </c>
      <c r="J469" t="s">
        <v>50</v>
      </c>
      <c r="K469">
        <v>26</v>
      </c>
      <c r="L469">
        <v>3</v>
      </c>
    </row>
    <row r="470" spans="1:12" x14ac:dyDescent="0.2">
      <c r="A470" t="s">
        <v>1338</v>
      </c>
      <c r="B470" t="s">
        <v>1339</v>
      </c>
      <c r="C470" t="s">
        <v>68</v>
      </c>
      <c r="D470" t="s">
        <v>89</v>
      </c>
      <c r="E470" t="s">
        <v>154</v>
      </c>
      <c r="F470" t="s">
        <v>1340</v>
      </c>
      <c r="G470" t="s">
        <v>33</v>
      </c>
      <c r="H470">
        <v>336.03</v>
      </c>
      <c r="I470" t="s">
        <v>49</v>
      </c>
      <c r="J470" t="s">
        <v>26</v>
      </c>
      <c r="K470">
        <v>29</v>
      </c>
    </row>
    <row r="471" spans="1:12" x14ac:dyDescent="0.2">
      <c r="A471" t="s">
        <v>1341</v>
      </c>
      <c r="B471" t="s">
        <v>1342</v>
      </c>
      <c r="C471" t="s">
        <v>106</v>
      </c>
      <c r="D471" t="s">
        <v>54</v>
      </c>
      <c r="E471" t="s">
        <v>81</v>
      </c>
      <c r="F471" t="s">
        <v>482</v>
      </c>
      <c r="G471" t="s">
        <v>77</v>
      </c>
      <c r="H471">
        <v>425.02</v>
      </c>
      <c r="I471" t="s">
        <v>65</v>
      </c>
      <c r="J471" t="s">
        <v>20</v>
      </c>
      <c r="K471">
        <v>65</v>
      </c>
      <c r="L471">
        <v>2</v>
      </c>
    </row>
    <row r="472" spans="1:12" x14ac:dyDescent="0.2">
      <c r="A472" t="s">
        <v>1343</v>
      </c>
      <c r="B472" t="s">
        <v>1344</v>
      </c>
      <c r="C472" t="s">
        <v>106</v>
      </c>
      <c r="D472" t="s">
        <v>45</v>
      </c>
      <c r="E472" t="s">
        <v>62</v>
      </c>
      <c r="F472" t="s">
        <v>997</v>
      </c>
      <c r="G472" t="s">
        <v>33</v>
      </c>
      <c r="H472">
        <v>277.11</v>
      </c>
      <c r="I472" t="s">
        <v>49</v>
      </c>
      <c r="J472" t="s">
        <v>41</v>
      </c>
      <c r="K472">
        <v>24</v>
      </c>
      <c r="L472">
        <v>3</v>
      </c>
    </row>
    <row r="473" spans="1:12" x14ac:dyDescent="0.2">
      <c r="A473" t="s">
        <v>1345</v>
      </c>
      <c r="B473" t="s">
        <v>1346</v>
      </c>
      <c r="C473" t="s">
        <v>73</v>
      </c>
      <c r="D473" t="s">
        <v>89</v>
      </c>
      <c r="E473" t="s">
        <v>257</v>
      </c>
      <c r="F473" t="s">
        <v>1347</v>
      </c>
      <c r="G473" t="s">
        <v>91</v>
      </c>
      <c r="H473">
        <v>482.28</v>
      </c>
      <c r="I473" t="s">
        <v>122</v>
      </c>
      <c r="J473" t="s">
        <v>50</v>
      </c>
      <c r="K473">
        <v>43</v>
      </c>
      <c r="L473">
        <v>4</v>
      </c>
    </row>
    <row r="474" spans="1:12" x14ac:dyDescent="0.2">
      <c r="A474" t="s">
        <v>1348</v>
      </c>
      <c r="B474" t="s">
        <v>1349</v>
      </c>
      <c r="C474" t="s">
        <v>53</v>
      </c>
      <c r="D474" t="s">
        <v>45</v>
      </c>
      <c r="E474" t="s">
        <v>129</v>
      </c>
      <c r="F474" t="s">
        <v>978</v>
      </c>
      <c r="G474" t="s">
        <v>57</v>
      </c>
      <c r="H474">
        <v>86.33</v>
      </c>
      <c r="I474" t="s">
        <v>65</v>
      </c>
      <c r="J474" t="s">
        <v>26</v>
      </c>
      <c r="K474">
        <v>36</v>
      </c>
    </row>
    <row r="475" spans="1:12" x14ac:dyDescent="0.2">
      <c r="A475" t="s">
        <v>1350</v>
      </c>
      <c r="B475" t="s">
        <v>1351</v>
      </c>
      <c r="C475" t="s">
        <v>14</v>
      </c>
      <c r="D475" t="s">
        <v>80</v>
      </c>
      <c r="E475" t="s">
        <v>302</v>
      </c>
      <c r="F475" t="s">
        <v>1352</v>
      </c>
      <c r="G475" t="s">
        <v>57</v>
      </c>
      <c r="H475">
        <v>242.32</v>
      </c>
      <c r="I475" t="s">
        <v>65</v>
      </c>
      <c r="J475" t="s">
        <v>41</v>
      </c>
      <c r="K475">
        <v>89</v>
      </c>
      <c r="L475">
        <v>4</v>
      </c>
    </row>
    <row r="476" spans="1:12" x14ac:dyDescent="0.2">
      <c r="A476" t="s">
        <v>1353</v>
      </c>
      <c r="B476" t="s">
        <v>1354</v>
      </c>
      <c r="C476" t="s">
        <v>44</v>
      </c>
      <c r="D476" t="s">
        <v>45</v>
      </c>
      <c r="E476" t="s">
        <v>144</v>
      </c>
      <c r="F476" t="s">
        <v>1355</v>
      </c>
      <c r="G476" t="s">
        <v>57</v>
      </c>
      <c r="H476">
        <v>271.33</v>
      </c>
      <c r="I476" t="s">
        <v>65</v>
      </c>
      <c r="J476" t="s">
        <v>50</v>
      </c>
      <c r="K476">
        <v>64</v>
      </c>
      <c r="L476">
        <v>2</v>
      </c>
    </row>
    <row r="477" spans="1:12" x14ac:dyDescent="0.2">
      <c r="A477" t="s">
        <v>1356</v>
      </c>
      <c r="B477" t="s">
        <v>1357</v>
      </c>
      <c r="C477" t="s">
        <v>53</v>
      </c>
      <c r="D477" t="s">
        <v>139</v>
      </c>
      <c r="E477" t="s">
        <v>180</v>
      </c>
      <c r="F477" t="s">
        <v>733</v>
      </c>
      <c r="G477" t="s">
        <v>91</v>
      </c>
      <c r="H477">
        <v>350.67</v>
      </c>
      <c r="I477" t="s">
        <v>19</v>
      </c>
      <c r="J477" t="s">
        <v>26</v>
      </c>
      <c r="K477">
        <v>83</v>
      </c>
      <c r="L477">
        <v>5</v>
      </c>
    </row>
    <row r="478" spans="1:12" x14ac:dyDescent="0.2">
      <c r="A478" t="s">
        <v>1358</v>
      </c>
      <c r="B478" t="s">
        <v>1359</v>
      </c>
      <c r="C478" t="s">
        <v>14</v>
      </c>
      <c r="D478" t="s">
        <v>139</v>
      </c>
      <c r="E478" t="s">
        <v>161</v>
      </c>
      <c r="F478" t="s">
        <v>1360</v>
      </c>
      <c r="G478" t="s">
        <v>64</v>
      </c>
      <c r="H478">
        <v>215.3</v>
      </c>
      <c r="I478" t="s">
        <v>49</v>
      </c>
      <c r="J478" t="s">
        <v>41</v>
      </c>
      <c r="K478">
        <v>16</v>
      </c>
      <c r="L478">
        <v>2</v>
      </c>
    </row>
    <row r="479" spans="1:12" x14ac:dyDescent="0.2">
      <c r="A479" t="s">
        <v>1361</v>
      </c>
      <c r="B479" t="s">
        <v>1362</v>
      </c>
      <c r="C479" t="s">
        <v>44</v>
      </c>
      <c r="D479" t="s">
        <v>61</v>
      </c>
      <c r="E479" t="s">
        <v>97</v>
      </c>
      <c r="F479" t="s">
        <v>1363</v>
      </c>
      <c r="G479" t="s">
        <v>91</v>
      </c>
      <c r="H479">
        <v>259.64</v>
      </c>
      <c r="I479" t="s">
        <v>19</v>
      </c>
      <c r="J479" t="s">
        <v>41</v>
      </c>
      <c r="K479">
        <v>64</v>
      </c>
      <c r="L479">
        <v>3</v>
      </c>
    </row>
    <row r="480" spans="1:12" x14ac:dyDescent="0.2">
      <c r="A480" t="s">
        <v>1364</v>
      </c>
      <c r="B480" t="s">
        <v>1365</v>
      </c>
      <c r="C480" t="s">
        <v>53</v>
      </c>
      <c r="D480" t="s">
        <v>74</v>
      </c>
      <c r="E480" t="s">
        <v>343</v>
      </c>
      <c r="F480" t="s">
        <v>1366</v>
      </c>
      <c r="G480" t="s">
        <v>77</v>
      </c>
      <c r="H480">
        <v>147.88999999999999</v>
      </c>
      <c r="I480" t="s">
        <v>19</v>
      </c>
      <c r="J480" t="s">
        <v>50</v>
      </c>
      <c r="K480">
        <v>39</v>
      </c>
      <c r="L480">
        <v>3</v>
      </c>
    </row>
    <row r="481" spans="1:12" x14ac:dyDescent="0.2">
      <c r="A481" t="s">
        <v>1367</v>
      </c>
      <c r="B481" t="s">
        <v>1368</v>
      </c>
      <c r="C481" t="s">
        <v>73</v>
      </c>
      <c r="D481" t="s">
        <v>139</v>
      </c>
      <c r="E481" t="s">
        <v>198</v>
      </c>
      <c r="F481" t="s">
        <v>370</v>
      </c>
      <c r="G481" t="s">
        <v>33</v>
      </c>
      <c r="H481">
        <v>462.89</v>
      </c>
      <c r="I481" t="s">
        <v>65</v>
      </c>
      <c r="J481" t="s">
        <v>20</v>
      </c>
      <c r="K481">
        <v>32</v>
      </c>
      <c r="L481">
        <v>1</v>
      </c>
    </row>
    <row r="482" spans="1:12" x14ac:dyDescent="0.2">
      <c r="A482" t="s">
        <v>1369</v>
      </c>
      <c r="B482" t="s">
        <v>1370</v>
      </c>
      <c r="C482" t="s">
        <v>60</v>
      </c>
      <c r="D482" t="s">
        <v>15</v>
      </c>
      <c r="E482" t="s">
        <v>343</v>
      </c>
      <c r="F482" t="s">
        <v>1131</v>
      </c>
      <c r="G482" t="s">
        <v>48</v>
      </c>
      <c r="H482">
        <v>209.37</v>
      </c>
      <c r="I482" t="s">
        <v>122</v>
      </c>
      <c r="J482" t="s">
        <v>50</v>
      </c>
      <c r="K482">
        <v>64</v>
      </c>
      <c r="L482">
        <v>5</v>
      </c>
    </row>
    <row r="483" spans="1:12" x14ac:dyDescent="0.2">
      <c r="A483" t="s">
        <v>1371</v>
      </c>
      <c r="B483" t="s">
        <v>1372</v>
      </c>
      <c r="C483" t="s">
        <v>44</v>
      </c>
      <c r="D483" t="s">
        <v>89</v>
      </c>
      <c r="E483" t="s">
        <v>144</v>
      </c>
      <c r="F483" t="s">
        <v>892</v>
      </c>
      <c r="G483" t="s">
        <v>48</v>
      </c>
      <c r="H483">
        <v>279.27</v>
      </c>
      <c r="I483" t="s">
        <v>65</v>
      </c>
      <c r="J483" t="s">
        <v>20</v>
      </c>
      <c r="K483">
        <v>22</v>
      </c>
      <c r="L483">
        <v>4</v>
      </c>
    </row>
    <row r="484" spans="1:12" x14ac:dyDescent="0.2">
      <c r="A484" t="s">
        <v>1373</v>
      </c>
      <c r="B484" t="s">
        <v>1374</v>
      </c>
      <c r="C484" t="s">
        <v>106</v>
      </c>
      <c r="D484" t="s">
        <v>54</v>
      </c>
      <c r="E484" t="s">
        <v>343</v>
      </c>
      <c r="F484" t="s">
        <v>1375</v>
      </c>
      <c r="G484" t="s">
        <v>57</v>
      </c>
      <c r="H484">
        <v>85.52</v>
      </c>
      <c r="I484" t="s">
        <v>19</v>
      </c>
      <c r="J484" t="s">
        <v>50</v>
      </c>
      <c r="K484">
        <v>80</v>
      </c>
      <c r="L484">
        <v>5</v>
      </c>
    </row>
    <row r="485" spans="1:12" x14ac:dyDescent="0.2">
      <c r="A485" t="s">
        <v>1376</v>
      </c>
      <c r="B485" t="s">
        <v>1377</v>
      </c>
      <c r="C485" t="s">
        <v>73</v>
      </c>
      <c r="D485" t="s">
        <v>37</v>
      </c>
      <c r="E485" t="s">
        <v>129</v>
      </c>
      <c r="F485" t="s">
        <v>107</v>
      </c>
      <c r="G485" t="s">
        <v>40</v>
      </c>
      <c r="H485">
        <v>335.47</v>
      </c>
      <c r="I485" t="s">
        <v>19</v>
      </c>
      <c r="J485" t="s">
        <v>20</v>
      </c>
      <c r="K485">
        <v>63</v>
      </c>
      <c r="L485">
        <v>2</v>
      </c>
    </row>
    <row r="486" spans="1:12" x14ac:dyDescent="0.2">
      <c r="A486" t="s">
        <v>1378</v>
      </c>
      <c r="B486" t="s">
        <v>1379</v>
      </c>
      <c r="C486" t="s">
        <v>14</v>
      </c>
      <c r="D486" t="s">
        <v>45</v>
      </c>
      <c r="E486" t="s">
        <v>24</v>
      </c>
      <c r="F486" t="s">
        <v>869</v>
      </c>
      <c r="G486" t="s">
        <v>18</v>
      </c>
      <c r="H486">
        <v>184.79</v>
      </c>
      <c r="I486" t="s">
        <v>122</v>
      </c>
      <c r="J486" t="s">
        <v>20</v>
      </c>
      <c r="K486">
        <v>87</v>
      </c>
      <c r="L486">
        <v>3</v>
      </c>
    </row>
    <row r="487" spans="1:12" x14ac:dyDescent="0.2">
      <c r="A487" t="s">
        <v>1380</v>
      </c>
      <c r="B487" t="s">
        <v>1381</v>
      </c>
      <c r="C487" t="s">
        <v>14</v>
      </c>
      <c r="D487" t="s">
        <v>61</v>
      </c>
      <c r="E487" t="s">
        <v>198</v>
      </c>
      <c r="F487" t="s">
        <v>739</v>
      </c>
      <c r="G487" t="s">
        <v>91</v>
      </c>
      <c r="H487">
        <v>431.9</v>
      </c>
      <c r="I487" t="s">
        <v>49</v>
      </c>
      <c r="J487" t="s">
        <v>41</v>
      </c>
      <c r="K487">
        <v>35</v>
      </c>
      <c r="L487">
        <v>1</v>
      </c>
    </row>
    <row r="488" spans="1:12" x14ac:dyDescent="0.2">
      <c r="A488" t="s">
        <v>1382</v>
      </c>
      <c r="B488" t="s">
        <v>1383</v>
      </c>
      <c r="C488" t="s">
        <v>106</v>
      </c>
      <c r="D488" t="s">
        <v>74</v>
      </c>
      <c r="E488" t="s">
        <v>349</v>
      </c>
      <c r="F488" t="s">
        <v>686</v>
      </c>
      <c r="G488" t="s">
        <v>48</v>
      </c>
      <c r="H488">
        <v>404.89</v>
      </c>
      <c r="I488" t="s">
        <v>65</v>
      </c>
      <c r="J488" t="s">
        <v>20</v>
      </c>
      <c r="K488">
        <v>32</v>
      </c>
      <c r="L488">
        <v>1</v>
      </c>
    </row>
    <row r="489" spans="1:12" x14ac:dyDescent="0.2">
      <c r="A489" t="s">
        <v>1384</v>
      </c>
      <c r="B489" t="s">
        <v>1385</v>
      </c>
      <c r="C489" t="s">
        <v>44</v>
      </c>
      <c r="D489" t="s">
        <v>74</v>
      </c>
      <c r="E489" t="s">
        <v>140</v>
      </c>
      <c r="F489" t="s">
        <v>1386</v>
      </c>
      <c r="G489" t="s">
        <v>77</v>
      </c>
      <c r="H489">
        <v>93.69</v>
      </c>
      <c r="I489" t="s">
        <v>122</v>
      </c>
      <c r="J489" t="s">
        <v>20</v>
      </c>
      <c r="K489">
        <v>31</v>
      </c>
      <c r="L489">
        <v>3</v>
      </c>
    </row>
    <row r="490" spans="1:12" x14ac:dyDescent="0.2">
      <c r="A490" t="s">
        <v>1387</v>
      </c>
      <c r="B490" t="s">
        <v>1388</v>
      </c>
      <c r="C490" t="s">
        <v>14</v>
      </c>
      <c r="D490" t="s">
        <v>89</v>
      </c>
      <c r="E490" t="s">
        <v>38</v>
      </c>
      <c r="F490" t="s">
        <v>988</v>
      </c>
      <c r="G490" t="s">
        <v>48</v>
      </c>
      <c r="H490">
        <v>409.19</v>
      </c>
      <c r="I490" t="s">
        <v>65</v>
      </c>
      <c r="J490" t="s">
        <v>41</v>
      </c>
      <c r="K490">
        <v>19</v>
      </c>
      <c r="L490">
        <v>2</v>
      </c>
    </row>
    <row r="491" spans="1:12" x14ac:dyDescent="0.2">
      <c r="A491" t="s">
        <v>1389</v>
      </c>
      <c r="B491" t="s">
        <v>1390</v>
      </c>
      <c r="C491" t="s">
        <v>23</v>
      </c>
      <c r="D491" t="s">
        <v>54</v>
      </c>
      <c r="E491" t="s">
        <v>144</v>
      </c>
      <c r="F491" t="s">
        <v>39</v>
      </c>
      <c r="G491" t="s">
        <v>57</v>
      </c>
      <c r="H491">
        <v>281.18</v>
      </c>
      <c r="I491" t="s">
        <v>49</v>
      </c>
      <c r="J491" t="s">
        <v>20</v>
      </c>
      <c r="K491">
        <v>36</v>
      </c>
      <c r="L491">
        <v>1</v>
      </c>
    </row>
    <row r="492" spans="1:12" x14ac:dyDescent="0.2">
      <c r="A492" t="s">
        <v>1391</v>
      </c>
      <c r="B492" t="s">
        <v>1392</v>
      </c>
      <c r="C492" t="s">
        <v>106</v>
      </c>
      <c r="D492" t="s">
        <v>125</v>
      </c>
      <c r="E492" t="s">
        <v>198</v>
      </c>
      <c r="F492" t="s">
        <v>973</v>
      </c>
      <c r="G492" t="s">
        <v>48</v>
      </c>
      <c r="H492">
        <v>363.53</v>
      </c>
      <c r="I492" t="s">
        <v>65</v>
      </c>
      <c r="J492" t="s">
        <v>20</v>
      </c>
      <c r="K492">
        <v>85</v>
      </c>
      <c r="L492">
        <v>3</v>
      </c>
    </row>
    <row r="493" spans="1:12" x14ac:dyDescent="0.2">
      <c r="A493" t="s">
        <v>1393</v>
      </c>
      <c r="B493" t="s">
        <v>1394</v>
      </c>
      <c r="C493" t="s">
        <v>44</v>
      </c>
      <c r="D493" t="s">
        <v>80</v>
      </c>
      <c r="E493" t="s">
        <v>198</v>
      </c>
      <c r="F493" t="s">
        <v>1395</v>
      </c>
      <c r="G493" t="s">
        <v>40</v>
      </c>
      <c r="H493">
        <v>330.34</v>
      </c>
      <c r="I493" t="s">
        <v>19</v>
      </c>
      <c r="J493" t="s">
        <v>50</v>
      </c>
      <c r="K493">
        <v>38</v>
      </c>
    </row>
    <row r="494" spans="1:12" x14ac:dyDescent="0.2">
      <c r="A494" t="s">
        <v>1396</v>
      </c>
      <c r="B494" t="s">
        <v>1397</v>
      </c>
      <c r="C494" t="s">
        <v>117</v>
      </c>
      <c r="D494" t="s">
        <v>45</v>
      </c>
      <c r="E494" t="s">
        <v>161</v>
      </c>
      <c r="F494" t="s">
        <v>1248</v>
      </c>
      <c r="G494" t="s">
        <v>57</v>
      </c>
      <c r="H494">
        <v>310.22000000000003</v>
      </c>
      <c r="I494" t="s">
        <v>65</v>
      </c>
      <c r="J494" t="s">
        <v>41</v>
      </c>
      <c r="K494">
        <v>26</v>
      </c>
      <c r="L494">
        <v>3</v>
      </c>
    </row>
    <row r="495" spans="1:12" x14ac:dyDescent="0.2">
      <c r="A495" t="s">
        <v>1398</v>
      </c>
      <c r="B495" t="s">
        <v>1399</v>
      </c>
      <c r="C495" t="s">
        <v>106</v>
      </c>
      <c r="D495" t="s">
        <v>61</v>
      </c>
      <c r="E495" t="s">
        <v>272</v>
      </c>
      <c r="F495" t="s">
        <v>285</v>
      </c>
      <c r="G495" t="s">
        <v>91</v>
      </c>
      <c r="H495">
        <v>162.09</v>
      </c>
      <c r="I495" t="s">
        <v>19</v>
      </c>
      <c r="J495" t="s">
        <v>41</v>
      </c>
      <c r="K495">
        <v>58</v>
      </c>
      <c r="L495">
        <v>1</v>
      </c>
    </row>
    <row r="496" spans="1:12" x14ac:dyDescent="0.2">
      <c r="A496" t="s">
        <v>1400</v>
      </c>
      <c r="B496" t="s">
        <v>1401</v>
      </c>
      <c r="C496" t="s">
        <v>44</v>
      </c>
      <c r="D496" t="s">
        <v>80</v>
      </c>
      <c r="E496" t="s">
        <v>257</v>
      </c>
      <c r="F496" t="s">
        <v>1402</v>
      </c>
      <c r="G496" t="s">
        <v>91</v>
      </c>
      <c r="H496">
        <v>169.91</v>
      </c>
      <c r="I496" t="s">
        <v>19</v>
      </c>
      <c r="J496" t="s">
        <v>41</v>
      </c>
      <c r="K496">
        <v>27</v>
      </c>
      <c r="L496">
        <v>2</v>
      </c>
    </row>
    <row r="497" spans="1:12" x14ac:dyDescent="0.2">
      <c r="A497" t="s">
        <v>1403</v>
      </c>
      <c r="B497" t="s">
        <v>1404</v>
      </c>
      <c r="C497" t="s">
        <v>53</v>
      </c>
      <c r="D497" t="s">
        <v>74</v>
      </c>
      <c r="E497" t="s">
        <v>118</v>
      </c>
      <c r="F497" t="s">
        <v>761</v>
      </c>
      <c r="G497" t="s">
        <v>64</v>
      </c>
      <c r="H497">
        <v>499.67</v>
      </c>
      <c r="I497" t="s">
        <v>65</v>
      </c>
      <c r="J497" t="s">
        <v>26</v>
      </c>
      <c r="K497">
        <v>87</v>
      </c>
      <c r="L497">
        <v>2</v>
      </c>
    </row>
    <row r="498" spans="1:12" x14ac:dyDescent="0.2">
      <c r="A498" t="s">
        <v>1405</v>
      </c>
      <c r="B498" t="s">
        <v>1406</v>
      </c>
      <c r="C498" t="s">
        <v>14</v>
      </c>
      <c r="D498" t="s">
        <v>139</v>
      </c>
      <c r="E498" t="s">
        <v>24</v>
      </c>
      <c r="F498" t="s">
        <v>516</v>
      </c>
      <c r="G498" t="s">
        <v>48</v>
      </c>
      <c r="H498">
        <v>345.03</v>
      </c>
      <c r="I498" t="s">
        <v>122</v>
      </c>
      <c r="J498" t="s">
        <v>20</v>
      </c>
      <c r="K498">
        <v>72</v>
      </c>
      <c r="L498">
        <v>5</v>
      </c>
    </row>
    <row r="499" spans="1:12" x14ac:dyDescent="0.2">
      <c r="A499" t="s">
        <v>1407</v>
      </c>
      <c r="B499" t="s">
        <v>1408</v>
      </c>
      <c r="C499" t="s">
        <v>73</v>
      </c>
      <c r="D499" t="s">
        <v>37</v>
      </c>
      <c r="E499" t="s">
        <v>38</v>
      </c>
      <c r="F499" t="s">
        <v>1409</v>
      </c>
      <c r="G499" t="s">
        <v>48</v>
      </c>
      <c r="H499">
        <v>370.06</v>
      </c>
      <c r="I499" t="s">
        <v>65</v>
      </c>
      <c r="J499" t="s">
        <v>26</v>
      </c>
      <c r="K499">
        <v>23</v>
      </c>
      <c r="L499">
        <v>2</v>
      </c>
    </row>
    <row r="500" spans="1:12" x14ac:dyDescent="0.2">
      <c r="A500" t="s">
        <v>1410</v>
      </c>
      <c r="B500" t="s">
        <v>1411</v>
      </c>
      <c r="C500" t="s">
        <v>60</v>
      </c>
      <c r="D500" t="s">
        <v>54</v>
      </c>
      <c r="E500" t="s">
        <v>81</v>
      </c>
      <c r="F500" t="s">
        <v>1412</v>
      </c>
      <c r="G500" t="s">
        <v>64</v>
      </c>
      <c r="H500">
        <v>296.83</v>
      </c>
      <c r="I500" t="s">
        <v>122</v>
      </c>
      <c r="J500" t="s">
        <v>20</v>
      </c>
      <c r="K500">
        <v>18</v>
      </c>
      <c r="L500">
        <v>2</v>
      </c>
    </row>
    <row r="501" spans="1:12" x14ac:dyDescent="0.2">
      <c r="A501" t="s">
        <v>1413</v>
      </c>
      <c r="B501" t="s">
        <v>1414</v>
      </c>
      <c r="C501" t="s">
        <v>53</v>
      </c>
      <c r="D501" t="s">
        <v>125</v>
      </c>
      <c r="E501" t="s">
        <v>140</v>
      </c>
      <c r="F501" t="s">
        <v>621</v>
      </c>
      <c r="G501" t="s">
        <v>18</v>
      </c>
      <c r="H501">
        <v>262.25</v>
      </c>
      <c r="I501" t="s">
        <v>65</v>
      </c>
      <c r="J501" t="s">
        <v>41</v>
      </c>
      <c r="K501">
        <v>57</v>
      </c>
      <c r="L501">
        <v>1</v>
      </c>
    </row>
    <row r="502" spans="1:12" x14ac:dyDescent="0.2">
      <c r="A502" t="s">
        <v>1415</v>
      </c>
      <c r="B502" t="s">
        <v>1416</v>
      </c>
      <c r="C502" t="s">
        <v>44</v>
      </c>
      <c r="D502" t="s">
        <v>61</v>
      </c>
      <c r="E502" t="s">
        <v>140</v>
      </c>
      <c r="F502" t="s">
        <v>1417</v>
      </c>
      <c r="G502" t="s">
        <v>40</v>
      </c>
      <c r="H502">
        <v>72.989999999999995</v>
      </c>
      <c r="I502" t="s">
        <v>122</v>
      </c>
      <c r="J502" t="s">
        <v>20</v>
      </c>
      <c r="K502">
        <v>44</v>
      </c>
      <c r="L502">
        <v>5</v>
      </c>
    </row>
    <row r="503" spans="1:12" x14ac:dyDescent="0.2">
      <c r="A503" t="s">
        <v>1418</v>
      </c>
      <c r="B503" t="s">
        <v>1419</v>
      </c>
      <c r="C503" t="s">
        <v>44</v>
      </c>
      <c r="D503" t="s">
        <v>80</v>
      </c>
      <c r="E503" t="s">
        <v>113</v>
      </c>
      <c r="F503" t="s">
        <v>1192</v>
      </c>
      <c r="G503" t="s">
        <v>91</v>
      </c>
      <c r="H503">
        <v>286.07</v>
      </c>
      <c r="I503" t="s">
        <v>122</v>
      </c>
      <c r="J503" t="s">
        <v>50</v>
      </c>
      <c r="K503">
        <v>53</v>
      </c>
      <c r="L503">
        <v>4</v>
      </c>
    </row>
    <row r="504" spans="1:12" x14ac:dyDescent="0.2">
      <c r="A504" t="s">
        <v>1420</v>
      </c>
      <c r="B504" t="s">
        <v>1421</v>
      </c>
      <c r="C504" t="s">
        <v>29</v>
      </c>
      <c r="D504" t="s">
        <v>37</v>
      </c>
      <c r="E504" t="s">
        <v>317</v>
      </c>
      <c r="F504" t="s">
        <v>1422</v>
      </c>
      <c r="G504" t="s">
        <v>91</v>
      </c>
      <c r="H504">
        <v>130.09</v>
      </c>
      <c r="I504" t="s">
        <v>19</v>
      </c>
      <c r="J504" t="s">
        <v>26</v>
      </c>
      <c r="K504">
        <v>22</v>
      </c>
      <c r="L504">
        <v>1</v>
      </c>
    </row>
    <row r="505" spans="1:12" x14ac:dyDescent="0.2">
      <c r="A505" t="s">
        <v>1423</v>
      </c>
      <c r="B505" t="s">
        <v>1424</v>
      </c>
      <c r="C505" t="s">
        <v>23</v>
      </c>
      <c r="D505" t="s">
        <v>61</v>
      </c>
      <c r="E505" t="s">
        <v>31</v>
      </c>
      <c r="F505" t="s">
        <v>1425</v>
      </c>
      <c r="G505" t="s">
        <v>33</v>
      </c>
      <c r="H505">
        <v>450.92</v>
      </c>
      <c r="I505" t="s">
        <v>65</v>
      </c>
      <c r="J505" t="s">
        <v>50</v>
      </c>
      <c r="K505">
        <v>65</v>
      </c>
      <c r="L505">
        <v>5</v>
      </c>
    </row>
    <row r="506" spans="1:12" x14ac:dyDescent="0.2">
      <c r="A506" t="s">
        <v>1426</v>
      </c>
      <c r="B506" t="s">
        <v>1427</v>
      </c>
      <c r="C506" t="s">
        <v>73</v>
      </c>
      <c r="D506" t="s">
        <v>45</v>
      </c>
      <c r="E506" t="s">
        <v>132</v>
      </c>
      <c r="F506" t="s">
        <v>1428</v>
      </c>
      <c r="G506" t="s">
        <v>91</v>
      </c>
      <c r="H506">
        <v>330.28</v>
      </c>
      <c r="I506" t="s">
        <v>122</v>
      </c>
      <c r="J506" t="s">
        <v>20</v>
      </c>
      <c r="K506">
        <v>64</v>
      </c>
      <c r="L506">
        <v>3</v>
      </c>
    </row>
    <row r="507" spans="1:12" x14ac:dyDescent="0.2">
      <c r="A507" t="s">
        <v>1429</v>
      </c>
      <c r="B507" t="s">
        <v>1430</v>
      </c>
      <c r="C507" t="s">
        <v>53</v>
      </c>
      <c r="D507" t="s">
        <v>139</v>
      </c>
      <c r="E507" t="s">
        <v>129</v>
      </c>
      <c r="F507" t="s">
        <v>223</v>
      </c>
      <c r="G507" t="s">
        <v>40</v>
      </c>
      <c r="H507">
        <v>324.26</v>
      </c>
      <c r="I507" t="s">
        <v>49</v>
      </c>
      <c r="J507" t="s">
        <v>20</v>
      </c>
      <c r="K507">
        <v>65</v>
      </c>
      <c r="L507">
        <v>5</v>
      </c>
    </row>
    <row r="508" spans="1:12" x14ac:dyDescent="0.2">
      <c r="A508" t="s">
        <v>1431</v>
      </c>
      <c r="B508" t="s">
        <v>952</v>
      </c>
      <c r="C508" t="s">
        <v>73</v>
      </c>
      <c r="D508" t="s">
        <v>125</v>
      </c>
      <c r="E508" t="s">
        <v>97</v>
      </c>
      <c r="F508" t="s">
        <v>956</v>
      </c>
      <c r="G508" t="s">
        <v>91</v>
      </c>
      <c r="H508">
        <v>366.04</v>
      </c>
      <c r="I508" t="s">
        <v>122</v>
      </c>
      <c r="J508" t="s">
        <v>41</v>
      </c>
      <c r="K508">
        <v>18</v>
      </c>
      <c r="L508">
        <v>5</v>
      </c>
    </row>
    <row r="509" spans="1:12" x14ac:dyDescent="0.2">
      <c r="A509" t="s">
        <v>1432</v>
      </c>
      <c r="B509" t="s">
        <v>1433</v>
      </c>
      <c r="C509" t="s">
        <v>117</v>
      </c>
      <c r="D509" t="s">
        <v>80</v>
      </c>
      <c r="E509" t="s">
        <v>113</v>
      </c>
      <c r="F509" t="s">
        <v>1028</v>
      </c>
      <c r="G509" t="s">
        <v>91</v>
      </c>
      <c r="H509">
        <v>132.44999999999999</v>
      </c>
      <c r="I509" t="s">
        <v>19</v>
      </c>
      <c r="J509" t="s">
        <v>41</v>
      </c>
      <c r="K509">
        <v>43</v>
      </c>
      <c r="L509">
        <v>2</v>
      </c>
    </row>
    <row r="510" spans="1:12" x14ac:dyDescent="0.2">
      <c r="A510" t="s">
        <v>1434</v>
      </c>
      <c r="B510" t="s">
        <v>1435</v>
      </c>
      <c r="C510" t="s">
        <v>73</v>
      </c>
      <c r="D510" t="s">
        <v>37</v>
      </c>
      <c r="E510" t="s">
        <v>16</v>
      </c>
      <c r="F510" t="s">
        <v>1105</v>
      </c>
      <c r="G510" t="s">
        <v>57</v>
      </c>
      <c r="H510">
        <v>115.96</v>
      </c>
      <c r="I510" t="s">
        <v>19</v>
      </c>
      <c r="J510" t="s">
        <v>26</v>
      </c>
      <c r="K510">
        <v>88</v>
      </c>
      <c r="L510">
        <v>3</v>
      </c>
    </row>
    <row r="511" spans="1:12" x14ac:dyDescent="0.2">
      <c r="A511" t="s">
        <v>1436</v>
      </c>
      <c r="B511" t="s">
        <v>1033</v>
      </c>
      <c r="C511" t="s">
        <v>23</v>
      </c>
      <c r="D511" t="s">
        <v>125</v>
      </c>
      <c r="E511" t="s">
        <v>85</v>
      </c>
      <c r="F511" t="s">
        <v>1437</v>
      </c>
      <c r="G511" t="s">
        <v>91</v>
      </c>
      <c r="H511">
        <v>97.18</v>
      </c>
      <c r="I511" t="s">
        <v>19</v>
      </c>
      <c r="J511" t="s">
        <v>26</v>
      </c>
      <c r="K511">
        <v>59</v>
      </c>
      <c r="L511">
        <v>2</v>
      </c>
    </row>
    <row r="512" spans="1:12" x14ac:dyDescent="0.2">
      <c r="A512" t="s">
        <v>1438</v>
      </c>
      <c r="B512" t="s">
        <v>1439</v>
      </c>
      <c r="C512" t="s">
        <v>29</v>
      </c>
      <c r="D512" t="s">
        <v>15</v>
      </c>
      <c r="E512" t="s">
        <v>16</v>
      </c>
      <c r="F512" t="s">
        <v>214</v>
      </c>
      <c r="G512" t="s">
        <v>40</v>
      </c>
      <c r="H512">
        <v>455.53</v>
      </c>
      <c r="I512" t="s">
        <v>65</v>
      </c>
      <c r="J512" t="s">
        <v>20</v>
      </c>
      <c r="K512">
        <v>45</v>
      </c>
      <c r="L512">
        <v>2</v>
      </c>
    </row>
    <row r="513" spans="1:12" x14ac:dyDescent="0.2">
      <c r="A513" t="s">
        <v>1440</v>
      </c>
      <c r="B513" t="s">
        <v>1441</v>
      </c>
      <c r="C513" t="s">
        <v>60</v>
      </c>
      <c r="D513" t="s">
        <v>45</v>
      </c>
      <c r="E513" t="s">
        <v>349</v>
      </c>
      <c r="F513" t="s">
        <v>1442</v>
      </c>
      <c r="G513" t="s">
        <v>64</v>
      </c>
      <c r="H513">
        <v>327.05</v>
      </c>
      <c r="I513" t="s">
        <v>65</v>
      </c>
      <c r="J513" t="s">
        <v>50</v>
      </c>
      <c r="K513">
        <v>83</v>
      </c>
      <c r="L513">
        <v>3</v>
      </c>
    </row>
    <row r="514" spans="1:12" x14ac:dyDescent="0.2">
      <c r="A514" t="s">
        <v>1443</v>
      </c>
      <c r="B514" t="s">
        <v>1444</v>
      </c>
      <c r="C514" t="s">
        <v>68</v>
      </c>
      <c r="D514" t="s">
        <v>125</v>
      </c>
      <c r="E514" t="s">
        <v>24</v>
      </c>
      <c r="F514" t="s">
        <v>406</v>
      </c>
      <c r="G514" t="s">
        <v>18</v>
      </c>
      <c r="H514">
        <v>175.22</v>
      </c>
      <c r="I514" t="s">
        <v>122</v>
      </c>
      <c r="J514" t="s">
        <v>41</v>
      </c>
      <c r="K514">
        <v>57</v>
      </c>
      <c r="L514">
        <v>1</v>
      </c>
    </row>
    <row r="515" spans="1:12" x14ac:dyDescent="0.2">
      <c r="A515" t="s">
        <v>1445</v>
      </c>
      <c r="B515" t="s">
        <v>1446</v>
      </c>
      <c r="C515" t="s">
        <v>29</v>
      </c>
      <c r="D515" t="s">
        <v>139</v>
      </c>
      <c r="E515" t="s">
        <v>62</v>
      </c>
      <c r="F515" t="s">
        <v>1447</v>
      </c>
      <c r="G515" t="s">
        <v>18</v>
      </c>
      <c r="H515">
        <v>92.01</v>
      </c>
      <c r="I515" t="s">
        <v>65</v>
      </c>
      <c r="J515" t="s">
        <v>41</v>
      </c>
      <c r="K515">
        <v>65</v>
      </c>
      <c r="L515">
        <v>3</v>
      </c>
    </row>
    <row r="516" spans="1:12" x14ac:dyDescent="0.2">
      <c r="A516" t="s">
        <v>1448</v>
      </c>
      <c r="B516" t="s">
        <v>1449</v>
      </c>
      <c r="C516" t="s">
        <v>73</v>
      </c>
      <c r="D516" t="s">
        <v>89</v>
      </c>
      <c r="E516" t="s">
        <v>144</v>
      </c>
      <c r="F516" t="s">
        <v>1450</v>
      </c>
      <c r="G516" t="s">
        <v>33</v>
      </c>
      <c r="H516">
        <v>147.24</v>
      </c>
      <c r="I516" t="s">
        <v>49</v>
      </c>
      <c r="J516" t="s">
        <v>50</v>
      </c>
      <c r="K516">
        <v>75</v>
      </c>
      <c r="L516">
        <v>1</v>
      </c>
    </row>
    <row r="517" spans="1:12" x14ac:dyDescent="0.2">
      <c r="A517" t="s">
        <v>1451</v>
      </c>
      <c r="B517" t="s">
        <v>13</v>
      </c>
      <c r="C517" t="s">
        <v>14</v>
      </c>
      <c r="D517" t="s">
        <v>61</v>
      </c>
      <c r="E517" t="s">
        <v>46</v>
      </c>
      <c r="F517" t="s">
        <v>1054</v>
      </c>
      <c r="G517" t="s">
        <v>18</v>
      </c>
      <c r="H517">
        <v>341.57</v>
      </c>
      <c r="I517" t="s">
        <v>49</v>
      </c>
      <c r="J517" t="s">
        <v>20</v>
      </c>
      <c r="K517">
        <v>46</v>
      </c>
      <c r="L517">
        <v>1</v>
      </c>
    </row>
    <row r="518" spans="1:12" x14ac:dyDescent="0.2">
      <c r="A518" t="s">
        <v>1452</v>
      </c>
      <c r="B518" t="s">
        <v>1453</v>
      </c>
      <c r="C518" t="s">
        <v>29</v>
      </c>
      <c r="D518" t="s">
        <v>45</v>
      </c>
      <c r="E518" t="s">
        <v>38</v>
      </c>
      <c r="F518" t="s">
        <v>829</v>
      </c>
      <c r="G518" t="s">
        <v>40</v>
      </c>
      <c r="H518">
        <v>376.26</v>
      </c>
      <c r="I518" t="s">
        <v>19</v>
      </c>
      <c r="J518" t="s">
        <v>41</v>
      </c>
      <c r="K518">
        <v>28</v>
      </c>
      <c r="L518">
        <v>2</v>
      </c>
    </row>
    <row r="519" spans="1:12" x14ac:dyDescent="0.2">
      <c r="A519" t="s">
        <v>1454</v>
      </c>
      <c r="B519" t="s">
        <v>1455</v>
      </c>
      <c r="C519" t="s">
        <v>68</v>
      </c>
      <c r="D519" t="s">
        <v>15</v>
      </c>
      <c r="E519" t="s">
        <v>55</v>
      </c>
      <c r="F519" t="s">
        <v>647</v>
      </c>
      <c r="G519" t="s">
        <v>48</v>
      </c>
      <c r="H519">
        <v>98.44</v>
      </c>
      <c r="I519" t="s">
        <v>65</v>
      </c>
      <c r="J519" t="s">
        <v>20</v>
      </c>
      <c r="K519">
        <v>60</v>
      </c>
      <c r="L519">
        <v>3</v>
      </c>
    </row>
    <row r="520" spans="1:12" x14ac:dyDescent="0.2">
      <c r="A520" t="s">
        <v>1456</v>
      </c>
      <c r="B520" t="s">
        <v>1457</v>
      </c>
      <c r="C520" t="s">
        <v>117</v>
      </c>
      <c r="D520" t="s">
        <v>139</v>
      </c>
      <c r="E520" t="s">
        <v>132</v>
      </c>
      <c r="F520" t="s">
        <v>854</v>
      </c>
      <c r="G520" t="s">
        <v>18</v>
      </c>
      <c r="H520">
        <v>192.99</v>
      </c>
      <c r="I520" t="s">
        <v>49</v>
      </c>
      <c r="J520" t="s">
        <v>26</v>
      </c>
      <c r="K520">
        <v>61</v>
      </c>
      <c r="L520">
        <v>1</v>
      </c>
    </row>
    <row r="521" spans="1:12" x14ac:dyDescent="0.2">
      <c r="A521" t="s">
        <v>1458</v>
      </c>
      <c r="B521" t="s">
        <v>1459</v>
      </c>
      <c r="C521" t="s">
        <v>14</v>
      </c>
      <c r="D521" t="s">
        <v>74</v>
      </c>
      <c r="E521" t="s">
        <v>129</v>
      </c>
      <c r="F521" t="s">
        <v>591</v>
      </c>
      <c r="G521" t="s">
        <v>57</v>
      </c>
      <c r="H521">
        <v>323.70999999999998</v>
      </c>
      <c r="I521" t="s">
        <v>19</v>
      </c>
      <c r="J521" t="s">
        <v>50</v>
      </c>
      <c r="K521">
        <v>34</v>
      </c>
      <c r="L521">
        <v>3</v>
      </c>
    </row>
    <row r="522" spans="1:12" x14ac:dyDescent="0.2">
      <c r="A522" t="s">
        <v>1460</v>
      </c>
      <c r="B522" t="s">
        <v>1461</v>
      </c>
      <c r="C522" t="s">
        <v>73</v>
      </c>
      <c r="D522" t="s">
        <v>80</v>
      </c>
      <c r="E522" t="s">
        <v>154</v>
      </c>
      <c r="F522" t="s">
        <v>709</v>
      </c>
      <c r="G522" t="s">
        <v>64</v>
      </c>
      <c r="H522">
        <v>183.35</v>
      </c>
      <c r="I522" t="s">
        <v>19</v>
      </c>
      <c r="J522" t="s">
        <v>26</v>
      </c>
      <c r="K522">
        <v>45</v>
      </c>
      <c r="L522">
        <v>5</v>
      </c>
    </row>
    <row r="523" spans="1:12" x14ac:dyDescent="0.2">
      <c r="A523" t="s">
        <v>1462</v>
      </c>
      <c r="B523" t="s">
        <v>1463</v>
      </c>
      <c r="C523" t="s">
        <v>53</v>
      </c>
      <c r="D523" t="s">
        <v>89</v>
      </c>
      <c r="E523" t="s">
        <v>317</v>
      </c>
      <c r="F523" t="s">
        <v>1464</v>
      </c>
      <c r="G523" t="s">
        <v>40</v>
      </c>
      <c r="H523">
        <v>121.12</v>
      </c>
      <c r="I523" t="s">
        <v>65</v>
      </c>
      <c r="J523" t="s">
        <v>41</v>
      </c>
      <c r="K523">
        <v>32</v>
      </c>
      <c r="L523">
        <v>4</v>
      </c>
    </row>
    <row r="524" spans="1:12" x14ac:dyDescent="0.2">
      <c r="A524" t="s">
        <v>1465</v>
      </c>
      <c r="B524" t="s">
        <v>1466</v>
      </c>
      <c r="C524" t="s">
        <v>73</v>
      </c>
      <c r="D524" t="s">
        <v>89</v>
      </c>
      <c r="E524" t="s">
        <v>302</v>
      </c>
      <c r="F524" t="s">
        <v>251</v>
      </c>
      <c r="G524" t="s">
        <v>91</v>
      </c>
      <c r="H524">
        <v>263.42</v>
      </c>
      <c r="I524" t="s">
        <v>122</v>
      </c>
      <c r="J524" t="s">
        <v>41</v>
      </c>
      <c r="K524">
        <v>21</v>
      </c>
      <c r="L524">
        <v>4</v>
      </c>
    </row>
    <row r="525" spans="1:12" x14ac:dyDescent="0.2">
      <c r="A525" t="s">
        <v>1467</v>
      </c>
      <c r="B525" t="s">
        <v>1468</v>
      </c>
      <c r="C525" t="s">
        <v>117</v>
      </c>
      <c r="D525" t="s">
        <v>37</v>
      </c>
      <c r="E525" t="s">
        <v>238</v>
      </c>
      <c r="F525" t="s">
        <v>457</v>
      </c>
      <c r="G525" t="s">
        <v>64</v>
      </c>
      <c r="H525">
        <v>411.68</v>
      </c>
      <c r="I525" t="s">
        <v>49</v>
      </c>
      <c r="J525" t="s">
        <v>41</v>
      </c>
      <c r="K525">
        <v>25</v>
      </c>
      <c r="L525">
        <v>2</v>
      </c>
    </row>
    <row r="526" spans="1:12" x14ac:dyDescent="0.2">
      <c r="A526" t="s">
        <v>1469</v>
      </c>
      <c r="B526" t="s">
        <v>1470</v>
      </c>
      <c r="C526" t="s">
        <v>53</v>
      </c>
      <c r="D526" t="s">
        <v>45</v>
      </c>
      <c r="E526" t="s">
        <v>81</v>
      </c>
      <c r="F526" t="s">
        <v>1471</v>
      </c>
      <c r="G526" t="s">
        <v>33</v>
      </c>
      <c r="H526">
        <v>414.22</v>
      </c>
      <c r="I526" t="s">
        <v>19</v>
      </c>
      <c r="J526" t="s">
        <v>41</v>
      </c>
      <c r="K526">
        <v>18</v>
      </c>
      <c r="L526">
        <v>4</v>
      </c>
    </row>
    <row r="527" spans="1:12" x14ac:dyDescent="0.2">
      <c r="A527" t="s">
        <v>1472</v>
      </c>
      <c r="B527" t="s">
        <v>1473</v>
      </c>
      <c r="C527" t="s">
        <v>29</v>
      </c>
      <c r="D527" t="s">
        <v>89</v>
      </c>
      <c r="E527" t="s">
        <v>198</v>
      </c>
      <c r="F527" t="s">
        <v>1474</v>
      </c>
      <c r="G527" t="s">
        <v>57</v>
      </c>
      <c r="H527">
        <v>150.29</v>
      </c>
      <c r="I527" t="s">
        <v>49</v>
      </c>
      <c r="J527" t="s">
        <v>20</v>
      </c>
      <c r="K527">
        <v>41</v>
      </c>
      <c r="L527">
        <v>4</v>
      </c>
    </row>
    <row r="528" spans="1:12" x14ac:dyDescent="0.2">
      <c r="A528" t="s">
        <v>1475</v>
      </c>
      <c r="B528" t="s">
        <v>1476</v>
      </c>
      <c r="C528" t="s">
        <v>44</v>
      </c>
      <c r="D528" t="s">
        <v>125</v>
      </c>
      <c r="E528" t="s">
        <v>75</v>
      </c>
      <c r="F528" t="s">
        <v>1477</v>
      </c>
      <c r="G528" t="s">
        <v>91</v>
      </c>
      <c r="H528">
        <v>64.489999999999995</v>
      </c>
      <c r="I528" t="s">
        <v>49</v>
      </c>
      <c r="J528" t="s">
        <v>50</v>
      </c>
      <c r="K528">
        <v>46</v>
      </c>
    </row>
    <row r="529" spans="1:12" x14ac:dyDescent="0.2">
      <c r="A529" t="s">
        <v>1478</v>
      </c>
      <c r="B529" t="s">
        <v>1479</v>
      </c>
      <c r="C529" t="s">
        <v>14</v>
      </c>
      <c r="D529" t="s">
        <v>80</v>
      </c>
      <c r="E529" t="s">
        <v>144</v>
      </c>
      <c r="F529" t="s">
        <v>1480</v>
      </c>
      <c r="G529" t="s">
        <v>33</v>
      </c>
      <c r="H529">
        <v>479.64</v>
      </c>
      <c r="I529" t="s">
        <v>49</v>
      </c>
      <c r="J529" t="s">
        <v>20</v>
      </c>
      <c r="K529">
        <v>44</v>
      </c>
      <c r="L529">
        <v>2</v>
      </c>
    </row>
    <row r="530" spans="1:12" x14ac:dyDescent="0.2">
      <c r="A530" t="s">
        <v>1481</v>
      </c>
      <c r="B530" t="s">
        <v>1482</v>
      </c>
      <c r="C530" t="s">
        <v>60</v>
      </c>
      <c r="D530" t="s">
        <v>45</v>
      </c>
      <c r="E530" t="s">
        <v>46</v>
      </c>
      <c r="F530" t="s">
        <v>1483</v>
      </c>
      <c r="G530" t="s">
        <v>64</v>
      </c>
      <c r="H530">
        <v>246.49</v>
      </c>
      <c r="I530" t="s">
        <v>65</v>
      </c>
      <c r="J530" t="s">
        <v>41</v>
      </c>
      <c r="K530">
        <v>67</v>
      </c>
      <c r="L530">
        <v>3</v>
      </c>
    </row>
    <row r="531" spans="1:12" x14ac:dyDescent="0.2">
      <c r="A531" t="s">
        <v>1484</v>
      </c>
      <c r="B531" t="s">
        <v>1485</v>
      </c>
      <c r="C531" t="s">
        <v>23</v>
      </c>
      <c r="D531" t="s">
        <v>37</v>
      </c>
      <c r="E531" t="s">
        <v>473</v>
      </c>
      <c r="F531" t="s">
        <v>1139</v>
      </c>
      <c r="G531" t="s">
        <v>40</v>
      </c>
      <c r="H531">
        <v>286.85000000000002</v>
      </c>
      <c r="I531" t="s">
        <v>122</v>
      </c>
      <c r="J531" t="s">
        <v>20</v>
      </c>
      <c r="K531">
        <v>46</v>
      </c>
      <c r="L531">
        <v>1</v>
      </c>
    </row>
    <row r="532" spans="1:12" x14ac:dyDescent="0.2">
      <c r="A532" t="s">
        <v>1486</v>
      </c>
      <c r="B532" t="s">
        <v>1487</v>
      </c>
      <c r="C532" t="s">
        <v>106</v>
      </c>
      <c r="D532" t="s">
        <v>61</v>
      </c>
      <c r="E532" t="s">
        <v>343</v>
      </c>
      <c r="F532" t="s">
        <v>528</v>
      </c>
      <c r="G532" t="s">
        <v>91</v>
      </c>
      <c r="H532">
        <v>237.97</v>
      </c>
      <c r="I532" t="s">
        <v>19</v>
      </c>
      <c r="J532" t="s">
        <v>20</v>
      </c>
      <c r="K532">
        <v>45</v>
      </c>
      <c r="L532">
        <v>5</v>
      </c>
    </row>
    <row r="533" spans="1:12" x14ac:dyDescent="0.2">
      <c r="A533" t="s">
        <v>1488</v>
      </c>
      <c r="B533" t="s">
        <v>1489</v>
      </c>
      <c r="C533" t="s">
        <v>29</v>
      </c>
      <c r="D533" t="s">
        <v>80</v>
      </c>
      <c r="E533" t="s">
        <v>272</v>
      </c>
      <c r="F533" t="s">
        <v>866</v>
      </c>
      <c r="G533" t="s">
        <v>48</v>
      </c>
      <c r="H533">
        <v>344.82</v>
      </c>
      <c r="I533" t="s">
        <v>122</v>
      </c>
      <c r="J533" t="s">
        <v>20</v>
      </c>
      <c r="K533">
        <v>79</v>
      </c>
      <c r="L533">
        <v>3</v>
      </c>
    </row>
    <row r="534" spans="1:12" x14ac:dyDescent="0.2">
      <c r="A534" t="s">
        <v>1490</v>
      </c>
      <c r="B534" t="s">
        <v>1491</v>
      </c>
      <c r="C534" t="s">
        <v>68</v>
      </c>
      <c r="D534" t="s">
        <v>15</v>
      </c>
      <c r="E534" t="s">
        <v>257</v>
      </c>
      <c r="F534" t="s">
        <v>315</v>
      </c>
      <c r="G534" t="s">
        <v>40</v>
      </c>
      <c r="H534">
        <v>337.35</v>
      </c>
      <c r="I534" t="s">
        <v>19</v>
      </c>
      <c r="J534" t="s">
        <v>41</v>
      </c>
      <c r="K534">
        <v>42</v>
      </c>
    </row>
    <row r="535" spans="1:12" x14ac:dyDescent="0.2">
      <c r="A535" t="s">
        <v>1492</v>
      </c>
      <c r="B535" t="s">
        <v>1493</v>
      </c>
      <c r="C535" t="s">
        <v>53</v>
      </c>
      <c r="D535" t="s">
        <v>80</v>
      </c>
      <c r="E535" t="s">
        <v>154</v>
      </c>
      <c r="F535" t="s">
        <v>580</v>
      </c>
      <c r="G535" t="s">
        <v>91</v>
      </c>
      <c r="H535">
        <v>396.62</v>
      </c>
      <c r="I535" t="s">
        <v>49</v>
      </c>
      <c r="J535" t="s">
        <v>20</v>
      </c>
      <c r="K535">
        <v>83</v>
      </c>
      <c r="L535">
        <v>1</v>
      </c>
    </row>
    <row r="536" spans="1:12" x14ac:dyDescent="0.2">
      <c r="A536" t="s">
        <v>1494</v>
      </c>
      <c r="B536" t="s">
        <v>1495</v>
      </c>
      <c r="C536" t="s">
        <v>73</v>
      </c>
      <c r="D536" t="s">
        <v>37</v>
      </c>
      <c r="E536" t="s">
        <v>31</v>
      </c>
      <c r="F536" t="s">
        <v>1496</v>
      </c>
      <c r="G536" t="s">
        <v>18</v>
      </c>
      <c r="H536">
        <v>377.11</v>
      </c>
      <c r="I536" t="s">
        <v>122</v>
      </c>
      <c r="J536" t="s">
        <v>26</v>
      </c>
      <c r="K536">
        <v>71</v>
      </c>
      <c r="L536">
        <v>3</v>
      </c>
    </row>
    <row r="537" spans="1:12" x14ac:dyDescent="0.2">
      <c r="A537" t="s">
        <v>1497</v>
      </c>
      <c r="B537" t="s">
        <v>1498</v>
      </c>
      <c r="C537" t="s">
        <v>117</v>
      </c>
      <c r="D537" t="s">
        <v>74</v>
      </c>
      <c r="E537" t="s">
        <v>75</v>
      </c>
      <c r="F537" t="s">
        <v>1499</v>
      </c>
      <c r="G537" t="s">
        <v>18</v>
      </c>
      <c r="H537">
        <v>454.26</v>
      </c>
      <c r="I537" t="s">
        <v>19</v>
      </c>
      <c r="J537" t="s">
        <v>26</v>
      </c>
      <c r="K537">
        <v>35</v>
      </c>
      <c r="L537">
        <v>3</v>
      </c>
    </row>
    <row r="538" spans="1:12" x14ac:dyDescent="0.2">
      <c r="A538" t="s">
        <v>1500</v>
      </c>
      <c r="B538" t="s">
        <v>1501</v>
      </c>
      <c r="C538" t="s">
        <v>14</v>
      </c>
      <c r="D538" t="s">
        <v>15</v>
      </c>
      <c r="E538" t="s">
        <v>473</v>
      </c>
      <c r="F538" t="s">
        <v>1502</v>
      </c>
      <c r="G538" t="s">
        <v>57</v>
      </c>
      <c r="H538">
        <v>232.98</v>
      </c>
      <c r="I538" t="s">
        <v>19</v>
      </c>
      <c r="J538" t="s">
        <v>50</v>
      </c>
      <c r="K538">
        <v>63</v>
      </c>
      <c r="L538">
        <v>3</v>
      </c>
    </row>
    <row r="539" spans="1:12" x14ac:dyDescent="0.2">
      <c r="A539" t="s">
        <v>1503</v>
      </c>
      <c r="B539" t="s">
        <v>1504</v>
      </c>
      <c r="C539" t="s">
        <v>53</v>
      </c>
      <c r="D539" t="s">
        <v>139</v>
      </c>
      <c r="E539" t="s">
        <v>343</v>
      </c>
      <c r="F539" t="s">
        <v>1505</v>
      </c>
      <c r="G539" t="s">
        <v>33</v>
      </c>
      <c r="H539">
        <v>396.19</v>
      </c>
      <c r="I539" t="s">
        <v>122</v>
      </c>
      <c r="J539" t="s">
        <v>41</v>
      </c>
      <c r="K539">
        <v>44</v>
      </c>
      <c r="L539">
        <v>3</v>
      </c>
    </row>
    <row r="540" spans="1:12" x14ac:dyDescent="0.2">
      <c r="A540" t="s">
        <v>1506</v>
      </c>
      <c r="B540" t="s">
        <v>1507</v>
      </c>
      <c r="C540" t="s">
        <v>106</v>
      </c>
      <c r="D540" t="s">
        <v>54</v>
      </c>
      <c r="E540" t="s">
        <v>46</v>
      </c>
      <c r="F540" t="s">
        <v>689</v>
      </c>
      <c r="G540" t="s">
        <v>33</v>
      </c>
      <c r="H540">
        <v>334.8</v>
      </c>
      <c r="I540" t="s">
        <v>65</v>
      </c>
      <c r="J540" t="s">
        <v>50</v>
      </c>
      <c r="K540">
        <v>23</v>
      </c>
    </row>
    <row r="541" spans="1:12" x14ac:dyDescent="0.2">
      <c r="A541" t="s">
        <v>1508</v>
      </c>
      <c r="B541" t="s">
        <v>1091</v>
      </c>
      <c r="C541" t="s">
        <v>117</v>
      </c>
      <c r="D541" t="s">
        <v>139</v>
      </c>
      <c r="E541" t="s">
        <v>46</v>
      </c>
      <c r="F541" t="s">
        <v>168</v>
      </c>
      <c r="G541" t="s">
        <v>64</v>
      </c>
      <c r="H541">
        <v>443.62</v>
      </c>
      <c r="I541" t="s">
        <v>19</v>
      </c>
      <c r="J541" t="s">
        <v>41</v>
      </c>
      <c r="K541">
        <v>76</v>
      </c>
    </row>
    <row r="542" spans="1:12" x14ac:dyDescent="0.2">
      <c r="A542" t="s">
        <v>1509</v>
      </c>
      <c r="B542" t="s">
        <v>1510</v>
      </c>
      <c r="C542" t="s">
        <v>14</v>
      </c>
      <c r="D542" t="s">
        <v>139</v>
      </c>
      <c r="E542" t="s">
        <v>140</v>
      </c>
      <c r="F542" t="s">
        <v>1511</v>
      </c>
      <c r="G542" t="s">
        <v>57</v>
      </c>
      <c r="H542">
        <v>415.35</v>
      </c>
      <c r="I542" t="s">
        <v>65</v>
      </c>
      <c r="J542" t="s">
        <v>26</v>
      </c>
      <c r="K542">
        <v>55</v>
      </c>
      <c r="L542">
        <v>5</v>
      </c>
    </row>
    <row r="543" spans="1:12" x14ac:dyDescent="0.2">
      <c r="A543" t="s">
        <v>1512</v>
      </c>
      <c r="B543" t="s">
        <v>1513</v>
      </c>
      <c r="C543" t="s">
        <v>14</v>
      </c>
      <c r="D543" t="s">
        <v>74</v>
      </c>
      <c r="E543" t="s">
        <v>238</v>
      </c>
      <c r="F543" t="s">
        <v>1514</v>
      </c>
      <c r="G543" t="s">
        <v>40</v>
      </c>
      <c r="H543">
        <v>329.73</v>
      </c>
      <c r="I543" t="s">
        <v>49</v>
      </c>
      <c r="J543" t="s">
        <v>20</v>
      </c>
      <c r="K543">
        <v>39</v>
      </c>
    </row>
    <row r="544" spans="1:12" x14ac:dyDescent="0.2">
      <c r="A544" t="s">
        <v>1515</v>
      </c>
      <c r="B544" t="s">
        <v>1516</v>
      </c>
      <c r="C544" t="s">
        <v>73</v>
      </c>
      <c r="D544" t="s">
        <v>61</v>
      </c>
      <c r="E544" t="s">
        <v>154</v>
      </c>
      <c r="F544" t="s">
        <v>1517</v>
      </c>
      <c r="G544" t="s">
        <v>57</v>
      </c>
      <c r="H544">
        <v>318.45</v>
      </c>
      <c r="I544" t="s">
        <v>122</v>
      </c>
      <c r="J544" t="s">
        <v>50</v>
      </c>
      <c r="K544">
        <v>38</v>
      </c>
      <c r="L544">
        <v>3</v>
      </c>
    </row>
    <row r="545" spans="1:12" x14ac:dyDescent="0.2">
      <c r="A545" t="s">
        <v>1518</v>
      </c>
      <c r="B545" t="s">
        <v>1519</v>
      </c>
      <c r="C545" t="s">
        <v>60</v>
      </c>
      <c r="D545" t="s">
        <v>80</v>
      </c>
      <c r="E545" t="s">
        <v>257</v>
      </c>
      <c r="F545" t="s">
        <v>1395</v>
      </c>
      <c r="G545" t="s">
        <v>77</v>
      </c>
      <c r="H545">
        <v>165</v>
      </c>
      <c r="I545" t="s">
        <v>19</v>
      </c>
      <c r="J545" t="s">
        <v>50</v>
      </c>
      <c r="K545">
        <v>70</v>
      </c>
      <c r="L545">
        <v>4</v>
      </c>
    </row>
    <row r="546" spans="1:12" x14ac:dyDescent="0.2">
      <c r="A546" t="s">
        <v>1520</v>
      </c>
      <c r="B546" t="s">
        <v>1521</v>
      </c>
      <c r="C546" t="s">
        <v>14</v>
      </c>
      <c r="D546" t="s">
        <v>61</v>
      </c>
      <c r="E546" t="s">
        <v>69</v>
      </c>
      <c r="F546" t="s">
        <v>334</v>
      </c>
      <c r="G546" t="s">
        <v>57</v>
      </c>
      <c r="H546">
        <v>77.98</v>
      </c>
      <c r="I546" t="s">
        <v>19</v>
      </c>
      <c r="J546" t="s">
        <v>41</v>
      </c>
      <c r="K546">
        <v>86</v>
      </c>
      <c r="L546">
        <v>1</v>
      </c>
    </row>
    <row r="547" spans="1:12" x14ac:dyDescent="0.2">
      <c r="A547" t="s">
        <v>1522</v>
      </c>
      <c r="B547" t="s">
        <v>1523</v>
      </c>
      <c r="C547" t="s">
        <v>60</v>
      </c>
      <c r="D547" t="s">
        <v>37</v>
      </c>
      <c r="E547" t="s">
        <v>102</v>
      </c>
      <c r="F547" t="s">
        <v>953</v>
      </c>
      <c r="G547" t="s">
        <v>91</v>
      </c>
      <c r="H547">
        <v>169.29</v>
      </c>
      <c r="I547" t="s">
        <v>49</v>
      </c>
      <c r="J547" t="s">
        <v>41</v>
      </c>
      <c r="K547">
        <v>90</v>
      </c>
      <c r="L547">
        <v>1</v>
      </c>
    </row>
    <row r="548" spans="1:12" x14ac:dyDescent="0.2">
      <c r="A548" t="s">
        <v>1524</v>
      </c>
      <c r="B548" t="s">
        <v>1525</v>
      </c>
      <c r="C548" t="s">
        <v>68</v>
      </c>
      <c r="D548" t="s">
        <v>125</v>
      </c>
      <c r="E548" t="s">
        <v>140</v>
      </c>
      <c r="F548" t="s">
        <v>1526</v>
      </c>
      <c r="G548" t="s">
        <v>33</v>
      </c>
      <c r="H548">
        <v>275.39999999999998</v>
      </c>
      <c r="I548" t="s">
        <v>65</v>
      </c>
      <c r="J548" t="s">
        <v>50</v>
      </c>
      <c r="K548">
        <v>47</v>
      </c>
      <c r="L548">
        <v>4</v>
      </c>
    </row>
    <row r="549" spans="1:12" x14ac:dyDescent="0.2">
      <c r="A549" t="s">
        <v>1527</v>
      </c>
      <c r="B549" t="s">
        <v>1528</v>
      </c>
      <c r="C549" t="s">
        <v>68</v>
      </c>
      <c r="D549" t="s">
        <v>37</v>
      </c>
      <c r="E549" t="s">
        <v>154</v>
      </c>
      <c r="F549" t="s">
        <v>264</v>
      </c>
      <c r="G549" t="s">
        <v>91</v>
      </c>
      <c r="H549">
        <v>243.69</v>
      </c>
      <c r="I549" t="s">
        <v>122</v>
      </c>
      <c r="J549" t="s">
        <v>50</v>
      </c>
      <c r="K549">
        <v>16</v>
      </c>
      <c r="L549">
        <v>3</v>
      </c>
    </row>
    <row r="550" spans="1:12" x14ac:dyDescent="0.2">
      <c r="A550" t="s">
        <v>1529</v>
      </c>
      <c r="B550" t="s">
        <v>1530</v>
      </c>
      <c r="C550" t="s">
        <v>14</v>
      </c>
      <c r="D550" t="s">
        <v>89</v>
      </c>
      <c r="E550" t="s">
        <v>97</v>
      </c>
      <c r="F550" t="s">
        <v>1531</v>
      </c>
      <c r="G550" t="s">
        <v>40</v>
      </c>
      <c r="H550">
        <v>383.29</v>
      </c>
      <c r="I550" t="s">
        <v>65</v>
      </c>
      <c r="J550" t="s">
        <v>20</v>
      </c>
      <c r="K550">
        <v>69</v>
      </c>
      <c r="L550">
        <v>5</v>
      </c>
    </row>
    <row r="551" spans="1:12" x14ac:dyDescent="0.2">
      <c r="A551" t="s">
        <v>1532</v>
      </c>
      <c r="B551" t="s">
        <v>1533</v>
      </c>
      <c r="C551" t="s">
        <v>117</v>
      </c>
      <c r="D551" t="s">
        <v>61</v>
      </c>
      <c r="E551" t="s">
        <v>144</v>
      </c>
      <c r="F551" t="s">
        <v>561</v>
      </c>
      <c r="G551" t="s">
        <v>18</v>
      </c>
      <c r="H551">
        <v>300.95999999999998</v>
      </c>
      <c r="I551" t="s">
        <v>19</v>
      </c>
      <c r="J551" t="s">
        <v>41</v>
      </c>
      <c r="K551">
        <v>75</v>
      </c>
      <c r="L551">
        <v>2</v>
      </c>
    </row>
    <row r="552" spans="1:12" x14ac:dyDescent="0.2">
      <c r="A552" t="s">
        <v>1534</v>
      </c>
      <c r="B552" t="s">
        <v>1535</v>
      </c>
      <c r="C552" t="s">
        <v>106</v>
      </c>
      <c r="D552" t="s">
        <v>54</v>
      </c>
      <c r="E552" t="s">
        <v>238</v>
      </c>
      <c r="F552" t="s">
        <v>1335</v>
      </c>
      <c r="G552" t="s">
        <v>18</v>
      </c>
      <c r="H552">
        <v>382.17</v>
      </c>
      <c r="I552" t="s">
        <v>19</v>
      </c>
      <c r="J552" t="s">
        <v>26</v>
      </c>
      <c r="K552">
        <v>50</v>
      </c>
      <c r="L552">
        <v>1</v>
      </c>
    </row>
    <row r="553" spans="1:12" x14ac:dyDescent="0.2">
      <c r="A553" t="s">
        <v>1536</v>
      </c>
      <c r="B553" t="s">
        <v>1537</v>
      </c>
      <c r="C553" t="s">
        <v>117</v>
      </c>
      <c r="D553" t="s">
        <v>45</v>
      </c>
      <c r="E553" t="s">
        <v>302</v>
      </c>
      <c r="F553" t="s">
        <v>457</v>
      </c>
      <c r="G553" t="s">
        <v>48</v>
      </c>
      <c r="H553">
        <v>155.96</v>
      </c>
      <c r="I553" t="s">
        <v>65</v>
      </c>
      <c r="J553" t="s">
        <v>20</v>
      </c>
      <c r="K553">
        <v>52</v>
      </c>
      <c r="L553">
        <v>1</v>
      </c>
    </row>
    <row r="554" spans="1:12" x14ac:dyDescent="0.2">
      <c r="A554" t="s">
        <v>1538</v>
      </c>
      <c r="B554" t="s">
        <v>1539</v>
      </c>
      <c r="C554" t="s">
        <v>60</v>
      </c>
      <c r="D554" t="s">
        <v>54</v>
      </c>
      <c r="E554" t="s">
        <v>118</v>
      </c>
      <c r="F554" t="s">
        <v>1540</v>
      </c>
      <c r="G554" t="s">
        <v>18</v>
      </c>
      <c r="H554">
        <v>70.45</v>
      </c>
      <c r="I554" t="s">
        <v>65</v>
      </c>
      <c r="J554" t="s">
        <v>26</v>
      </c>
      <c r="K554">
        <v>58</v>
      </c>
      <c r="L554">
        <v>1</v>
      </c>
    </row>
    <row r="555" spans="1:12" x14ac:dyDescent="0.2">
      <c r="A555" t="s">
        <v>1541</v>
      </c>
      <c r="B555" t="s">
        <v>1542</v>
      </c>
      <c r="C555" t="s">
        <v>53</v>
      </c>
      <c r="D555" t="s">
        <v>45</v>
      </c>
      <c r="E555" t="s">
        <v>102</v>
      </c>
      <c r="F555" t="s">
        <v>1543</v>
      </c>
      <c r="G555" t="s">
        <v>48</v>
      </c>
      <c r="H555">
        <v>207.03</v>
      </c>
      <c r="I555" t="s">
        <v>49</v>
      </c>
      <c r="J555" t="s">
        <v>50</v>
      </c>
      <c r="K555">
        <v>44</v>
      </c>
      <c r="L555">
        <v>1</v>
      </c>
    </row>
    <row r="556" spans="1:12" x14ac:dyDescent="0.2">
      <c r="A556" t="s">
        <v>1544</v>
      </c>
      <c r="B556" t="s">
        <v>1545</v>
      </c>
      <c r="C556" t="s">
        <v>23</v>
      </c>
      <c r="D556" t="s">
        <v>125</v>
      </c>
      <c r="E556" t="s">
        <v>46</v>
      </c>
      <c r="F556" t="s">
        <v>418</v>
      </c>
      <c r="G556" t="s">
        <v>33</v>
      </c>
      <c r="H556">
        <v>194.98</v>
      </c>
      <c r="I556" t="s">
        <v>19</v>
      </c>
      <c r="J556" t="s">
        <v>26</v>
      </c>
      <c r="K556">
        <v>90</v>
      </c>
      <c r="L556">
        <v>4</v>
      </c>
    </row>
    <row r="557" spans="1:12" x14ac:dyDescent="0.2">
      <c r="A557" t="s">
        <v>1546</v>
      </c>
      <c r="B557" t="s">
        <v>1547</v>
      </c>
      <c r="C557" t="s">
        <v>23</v>
      </c>
      <c r="D557" t="s">
        <v>45</v>
      </c>
      <c r="E557" t="s">
        <v>343</v>
      </c>
      <c r="F557" t="s">
        <v>1548</v>
      </c>
      <c r="G557" t="s">
        <v>18</v>
      </c>
      <c r="H557">
        <v>250.21</v>
      </c>
      <c r="I557" t="s">
        <v>49</v>
      </c>
      <c r="J557" t="s">
        <v>41</v>
      </c>
      <c r="K557">
        <v>22</v>
      </c>
      <c r="L557">
        <v>4</v>
      </c>
    </row>
    <row r="558" spans="1:12" x14ac:dyDescent="0.2">
      <c r="A558" t="s">
        <v>1549</v>
      </c>
      <c r="B558" t="s">
        <v>1550</v>
      </c>
      <c r="C558" t="s">
        <v>14</v>
      </c>
      <c r="D558" t="s">
        <v>37</v>
      </c>
      <c r="E558" t="s">
        <v>85</v>
      </c>
      <c r="F558" t="s">
        <v>165</v>
      </c>
      <c r="G558" t="s">
        <v>40</v>
      </c>
      <c r="H558">
        <v>434.61</v>
      </c>
      <c r="I558" t="s">
        <v>122</v>
      </c>
      <c r="J558" t="s">
        <v>26</v>
      </c>
      <c r="K558">
        <v>24</v>
      </c>
      <c r="L558">
        <v>1</v>
      </c>
    </row>
    <row r="559" spans="1:12" x14ac:dyDescent="0.2">
      <c r="A559" t="s">
        <v>1551</v>
      </c>
      <c r="B559" t="s">
        <v>1552</v>
      </c>
      <c r="C559" t="s">
        <v>117</v>
      </c>
      <c r="D559" t="s">
        <v>80</v>
      </c>
      <c r="E559" t="s">
        <v>473</v>
      </c>
      <c r="F559" t="s">
        <v>1553</v>
      </c>
      <c r="G559" t="s">
        <v>33</v>
      </c>
      <c r="H559">
        <v>188.35</v>
      </c>
      <c r="I559" t="s">
        <v>65</v>
      </c>
      <c r="J559" t="s">
        <v>26</v>
      </c>
      <c r="K559">
        <v>52</v>
      </c>
      <c r="L559">
        <v>1</v>
      </c>
    </row>
    <row r="560" spans="1:12" x14ac:dyDescent="0.2">
      <c r="A560" t="s">
        <v>1554</v>
      </c>
      <c r="B560" t="s">
        <v>1555</v>
      </c>
      <c r="C560" t="s">
        <v>29</v>
      </c>
      <c r="D560" t="s">
        <v>74</v>
      </c>
      <c r="E560" t="s">
        <v>198</v>
      </c>
      <c r="F560" t="s">
        <v>437</v>
      </c>
      <c r="G560" t="s">
        <v>48</v>
      </c>
      <c r="H560">
        <v>68.239999999999995</v>
      </c>
      <c r="I560" t="s">
        <v>122</v>
      </c>
      <c r="J560" t="s">
        <v>41</v>
      </c>
      <c r="K560">
        <v>23</v>
      </c>
      <c r="L560">
        <v>5</v>
      </c>
    </row>
    <row r="561" spans="1:12" x14ac:dyDescent="0.2">
      <c r="A561" t="s">
        <v>1556</v>
      </c>
      <c r="B561" t="s">
        <v>1557</v>
      </c>
      <c r="C561" t="s">
        <v>73</v>
      </c>
      <c r="D561" t="s">
        <v>45</v>
      </c>
      <c r="E561" t="s">
        <v>140</v>
      </c>
      <c r="F561" t="s">
        <v>208</v>
      </c>
      <c r="G561" t="s">
        <v>57</v>
      </c>
      <c r="H561">
        <v>353.24</v>
      </c>
      <c r="I561" t="s">
        <v>19</v>
      </c>
      <c r="J561" t="s">
        <v>20</v>
      </c>
      <c r="K561">
        <v>45</v>
      </c>
      <c r="L561">
        <v>4</v>
      </c>
    </row>
    <row r="562" spans="1:12" x14ac:dyDescent="0.2">
      <c r="A562" t="s">
        <v>1558</v>
      </c>
      <c r="B562" t="s">
        <v>1559</v>
      </c>
      <c r="C562" t="s">
        <v>106</v>
      </c>
      <c r="D562" t="s">
        <v>74</v>
      </c>
      <c r="E562" t="s">
        <v>349</v>
      </c>
      <c r="F562" t="s">
        <v>665</v>
      </c>
      <c r="G562" t="s">
        <v>48</v>
      </c>
      <c r="H562">
        <v>351.4</v>
      </c>
      <c r="I562" t="s">
        <v>65</v>
      </c>
      <c r="J562" t="s">
        <v>26</v>
      </c>
      <c r="K562">
        <v>64</v>
      </c>
      <c r="L562">
        <v>4</v>
      </c>
    </row>
    <row r="563" spans="1:12" x14ac:dyDescent="0.2">
      <c r="A563" t="s">
        <v>1560</v>
      </c>
      <c r="B563" t="s">
        <v>1561</v>
      </c>
      <c r="C563" t="s">
        <v>44</v>
      </c>
      <c r="D563" t="s">
        <v>125</v>
      </c>
      <c r="E563" t="s">
        <v>140</v>
      </c>
      <c r="F563" t="s">
        <v>1562</v>
      </c>
      <c r="G563" t="s">
        <v>57</v>
      </c>
      <c r="H563">
        <v>383.74</v>
      </c>
      <c r="I563" t="s">
        <v>19</v>
      </c>
      <c r="J563" t="s">
        <v>50</v>
      </c>
      <c r="K563">
        <v>52</v>
      </c>
      <c r="L563">
        <v>4</v>
      </c>
    </row>
    <row r="564" spans="1:12" x14ac:dyDescent="0.2">
      <c r="A564" t="s">
        <v>1563</v>
      </c>
      <c r="B564" t="s">
        <v>1564</v>
      </c>
      <c r="C564" t="s">
        <v>60</v>
      </c>
      <c r="D564" t="s">
        <v>139</v>
      </c>
      <c r="E564" t="s">
        <v>31</v>
      </c>
      <c r="F564" t="s">
        <v>882</v>
      </c>
      <c r="G564" t="s">
        <v>48</v>
      </c>
      <c r="H564">
        <v>184.89</v>
      </c>
      <c r="I564" t="s">
        <v>65</v>
      </c>
      <c r="J564" t="s">
        <v>20</v>
      </c>
      <c r="K564">
        <v>71</v>
      </c>
      <c r="L564">
        <v>1</v>
      </c>
    </row>
    <row r="565" spans="1:12" x14ac:dyDescent="0.2">
      <c r="A565" t="s">
        <v>1565</v>
      </c>
      <c r="B565" t="s">
        <v>1566</v>
      </c>
      <c r="C565" t="s">
        <v>44</v>
      </c>
      <c r="D565" t="s">
        <v>89</v>
      </c>
      <c r="E565" t="s">
        <v>75</v>
      </c>
      <c r="F565" t="s">
        <v>1567</v>
      </c>
      <c r="G565" t="s">
        <v>33</v>
      </c>
      <c r="H565">
        <v>131.05000000000001</v>
      </c>
      <c r="I565" t="s">
        <v>19</v>
      </c>
      <c r="J565" t="s">
        <v>20</v>
      </c>
      <c r="K565">
        <v>56</v>
      </c>
      <c r="L565">
        <v>3</v>
      </c>
    </row>
    <row r="566" spans="1:12" x14ac:dyDescent="0.2">
      <c r="A566" t="s">
        <v>1568</v>
      </c>
      <c r="B566" t="s">
        <v>1569</v>
      </c>
      <c r="C566" t="s">
        <v>73</v>
      </c>
      <c r="D566" t="s">
        <v>89</v>
      </c>
      <c r="E566" t="s">
        <v>113</v>
      </c>
      <c r="F566" t="s">
        <v>1570</v>
      </c>
      <c r="G566" t="s">
        <v>40</v>
      </c>
      <c r="H566">
        <v>56.73</v>
      </c>
      <c r="I566" t="s">
        <v>65</v>
      </c>
      <c r="J566" t="s">
        <v>20</v>
      </c>
      <c r="K566">
        <v>69</v>
      </c>
      <c r="L566">
        <v>2</v>
      </c>
    </row>
    <row r="567" spans="1:12" x14ac:dyDescent="0.2">
      <c r="A567" t="s">
        <v>1571</v>
      </c>
      <c r="B567" t="s">
        <v>1572</v>
      </c>
      <c r="C567" t="s">
        <v>68</v>
      </c>
      <c r="D567" t="s">
        <v>15</v>
      </c>
      <c r="E567" t="s">
        <v>113</v>
      </c>
      <c r="F567" t="s">
        <v>849</v>
      </c>
      <c r="G567" t="s">
        <v>64</v>
      </c>
      <c r="H567">
        <v>495.43</v>
      </c>
      <c r="I567" t="s">
        <v>65</v>
      </c>
      <c r="J567" t="s">
        <v>26</v>
      </c>
      <c r="K567">
        <v>89</v>
      </c>
    </row>
    <row r="568" spans="1:12" x14ac:dyDescent="0.2">
      <c r="A568" t="s">
        <v>1573</v>
      </c>
      <c r="B568" t="s">
        <v>1574</v>
      </c>
      <c r="C568" t="s">
        <v>23</v>
      </c>
      <c r="D568" t="s">
        <v>15</v>
      </c>
      <c r="E568" t="s">
        <v>129</v>
      </c>
      <c r="F568" t="s">
        <v>502</v>
      </c>
      <c r="G568" t="s">
        <v>40</v>
      </c>
      <c r="H568">
        <v>242.52</v>
      </c>
      <c r="I568" t="s">
        <v>49</v>
      </c>
      <c r="J568" t="s">
        <v>26</v>
      </c>
      <c r="K568">
        <v>50</v>
      </c>
      <c r="L568">
        <v>3</v>
      </c>
    </row>
    <row r="569" spans="1:12" x14ac:dyDescent="0.2">
      <c r="A569" t="s">
        <v>1575</v>
      </c>
      <c r="B569" t="s">
        <v>1576</v>
      </c>
      <c r="C569" t="s">
        <v>29</v>
      </c>
      <c r="D569" t="s">
        <v>89</v>
      </c>
      <c r="E569" t="s">
        <v>180</v>
      </c>
      <c r="F569" t="s">
        <v>1174</v>
      </c>
      <c r="G569" t="s">
        <v>64</v>
      </c>
      <c r="H569">
        <v>284.67</v>
      </c>
      <c r="I569" t="s">
        <v>49</v>
      </c>
      <c r="J569" t="s">
        <v>20</v>
      </c>
      <c r="K569">
        <v>23</v>
      </c>
      <c r="L569">
        <v>1</v>
      </c>
    </row>
    <row r="570" spans="1:12" x14ac:dyDescent="0.2">
      <c r="A570" t="s">
        <v>1577</v>
      </c>
      <c r="B570" t="s">
        <v>1578</v>
      </c>
      <c r="C570" t="s">
        <v>117</v>
      </c>
      <c r="D570" t="s">
        <v>45</v>
      </c>
      <c r="E570" t="s">
        <v>238</v>
      </c>
      <c r="F570" t="s">
        <v>1579</v>
      </c>
      <c r="G570" t="s">
        <v>57</v>
      </c>
      <c r="H570">
        <v>109.98</v>
      </c>
      <c r="I570" t="s">
        <v>122</v>
      </c>
      <c r="J570" t="s">
        <v>26</v>
      </c>
      <c r="K570">
        <v>39</v>
      </c>
      <c r="L570">
        <v>5</v>
      </c>
    </row>
    <row r="571" spans="1:12" x14ac:dyDescent="0.2">
      <c r="A571" t="s">
        <v>1580</v>
      </c>
      <c r="B571" t="s">
        <v>1581</v>
      </c>
      <c r="C571" t="s">
        <v>44</v>
      </c>
      <c r="D571" t="s">
        <v>37</v>
      </c>
      <c r="E571" t="s">
        <v>180</v>
      </c>
      <c r="F571" t="s">
        <v>1582</v>
      </c>
      <c r="G571" t="s">
        <v>91</v>
      </c>
      <c r="H571">
        <v>256.58</v>
      </c>
      <c r="I571" t="s">
        <v>19</v>
      </c>
      <c r="J571" t="s">
        <v>26</v>
      </c>
      <c r="K571">
        <v>46</v>
      </c>
    </row>
    <row r="572" spans="1:12" x14ac:dyDescent="0.2">
      <c r="A572" t="s">
        <v>1583</v>
      </c>
      <c r="B572" t="s">
        <v>1584</v>
      </c>
      <c r="C572" t="s">
        <v>14</v>
      </c>
      <c r="D572" t="s">
        <v>54</v>
      </c>
      <c r="E572" t="s">
        <v>154</v>
      </c>
      <c r="F572" t="s">
        <v>318</v>
      </c>
      <c r="G572" t="s">
        <v>33</v>
      </c>
      <c r="H572">
        <v>427.94</v>
      </c>
      <c r="I572" t="s">
        <v>122</v>
      </c>
      <c r="J572" t="s">
        <v>50</v>
      </c>
      <c r="K572">
        <v>20</v>
      </c>
    </row>
    <row r="573" spans="1:12" x14ac:dyDescent="0.2">
      <c r="A573" t="s">
        <v>1585</v>
      </c>
      <c r="B573" t="s">
        <v>1586</v>
      </c>
      <c r="C573" t="s">
        <v>68</v>
      </c>
      <c r="D573" t="s">
        <v>61</v>
      </c>
      <c r="E573" t="s">
        <v>46</v>
      </c>
      <c r="F573" t="s">
        <v>1587</v>
      </c>
      <c r="G573" t="s">
        <v>33</v>
      </c>
      <c r="H573">
        <v>201.87</v>
      </c>
      <c r="I573" t="s">
        <v>19</v>
      </c>
      <c r="J573" t="s">
        <v>26</v>
      </c>
      <c r="K573">
        <v>46</v>
      </c>
      <c r="L573">
        <v>3</v>
      </c>
    </row>
    <row r="574" spans="1:12" x14ac:dyDescent="0.2">
      <c r="A574" t="s">
        <v>1588</v>
      </c>
      <c r="B574" t="s">
        <v>1589</v>
      </c>
      <c r="C574" t="s">
        <v>106</v>
      </c>
      <c r="D574" t="s">
        <v>139</v>
      </c>
      <c r="E574" t="s">
        <v>198</v>
      </c>
      <c r="F574" t="s">
        <v>829</v>
      </c>
      <c r="G574" t="s">
        <v>91</v>
      </c>
      <c r="H574">
        <v>192.48</v>
      </c>
      <c r="I574" t="s">
        <v>49</v>
      </c>
      <c r="J574" t="s">
        <v>41</v>
      </c>
      <c r="K574">
        <v>88</v>
      </c>
    </row>
    <row r="575" spans="1:12" x14ac:dyDescent="0.2">
      <c r="A575" t="s">
        <v>1590</v>
      </c>
      <c r="B575" t="s">
        <v>1591</v>
      </c>
      <c r="C575" t="s">
        <v>44</v>
      </c>
      <c r="D575" t="s">
        <v>37</v>
      </c>
      <c r="E575" t="s">
        <v>38</v>
      </c>
      <c r="F575" t="s">
        <v>1526</v>
      </c>
      <c r="G575" t="s">
        <v>18</v>
      </c>
      <c r="H575">
        <v>81.760000000000005</v>
      </c>
      <c r="I575" t="s">
        <v>19</v>
      </c>
      <c r="J575" t="s">
        <v>50</v>
      </c>
      <c r="K575">
        <v>79</v>
      </c>
      <c r="L575">
        <v>2</v>
      </c>
    </row>
    <row r="576" spans="1:12" x14ac:dyDescent="0.2">
      <c r="A576" t="s">
        <v>1592</v>
      </c>
      <c r="B576" t="s">
        <v>1593</v>
      </c>
      <c r="C576" t="s">
        <v>29</v>
      </c>
      <c r="D576" t="s">
        <v>74</v>
      </c>
      <c r="E576" t="s">
        <v>38</v>
      </c>
      <c r="F576" t="s">
        <v>624</v>
      </c>
      <c r="G576" t="s">
        <v>57</v>
      </c>
      <c r="H576">
        <v>478.76</v>
      </c>
      <c r="I576" t="s">
        <v>65</v>
      </c>
      <c r="J576" t="s">
        <v>20</v>
      </c>
      <c r="K576">
        <v>86</v>
      </c>
      <c r="L576">
        <v>3</v>
      </c>
    </row>
    <row r="577" spans="1:12" x14ac:dyDescent="0.2">
      <c r="A577" t="s">
        <v>1594</v>
      </c>
      <c r="B577" t="s">
        <v>1595</v>
      </c>
      <c r="C577" t="s">
        <v>29</v>
      </c>
      <c r="D577" t="s">
        <v>37</v>
      </c>
      <c r="E577" t="s">
        <v>343</v>
      </c>
      <c r="F577" t="s">
        <v>1596</v>
      </c>
      <c r="G577" t="s">
        <v>64</v>
      </c>
      <c r="H577">
        <v>100.21</v>
      </c>
      <c r="I577" t="s">
        <v>49</v>
      </c>
      <c r="J577" t="s">
        <v>41</v>
      </c>
      <c r="K577">
        <v>38</v>
      </c>
      <c r="L577">
        <v>5</v>
      </c>
    </row>
    <row r="578" spans="1:12" x14ac:dyDescent="0.2">
      <c r="A578" t="s">
        <v>1597</v>
      </c>
      <c r="B578" t="s">
        <v>1598</v>
      </c>
      <c r="C578" t="s">
        <v>117</v>
      </c>
      <c r="D578" t="s">
        <v>15</v>
      </c>
      <c r="E578" t="s">
        <v>97</v>
      </c>
      <c r="F578" t="s">
        <v>1599</v>
      </c>
      <c r="G578" t="s">
        <v>77</v>
      </c>
      <c r="H578">
        <v>382.89</v>
      </c>
      <c r="I578" t="s">
        <v>122</v>
      </c>
      <c r="J578" t="s">
        <v>26</v>
      </c>
      <c r="K578">
        <v>82</v>
      </c>
      <c r="L578">
        <v>2</v>
      </c>
    </row>
    <row r="579" spans="1:12" x14ac:dyDescent="0.2">
      <c r="A579" t="s">
        <v>1600</v>
      </c>
      <c r="B579" t="s">
        <v>1601</v>
      </c>
      <c r="C579" t="s">
        <v>73</v>
      </c>
      <c r="D579" t="s">
        <v>54</v>
      </c>
      <c r="E579" t="s">
        <v>473</v>
      </c>
      <c r="F579" t="s">
        <v>264</v>
      </c>
      <c r="G579" t="s">
        <v>64</v>
      </c>
      <c r="H579">
        <v>76.760000000000005</v>
      </c>
      <c r="I579" t="s">
        <v>49</v>
      </c>
      <c r="J579" t="s">
        <v>20</v>
      </c>
      <c r="K579">
        <v>52</v>
      </c>
      <c r="L579">
        <v>1</v>
      </c>
    </row>
    <row r="580" spans="1:12" x14ac:dyDescent="0.2">
      <c r="A580" t="s">
        <v>1602</v>
      </c>
      <c r="B580" t="s">
        <v>1603</v>
      </c>
      <c r="C580" t="s">
        <v>106</v>
      </c>
      <c r="D580" t="s">
        <v>89</v>
      </c>
      <c r="E580" t="s">
        <v>46</v>
      </c>
      <c r="F580" t="s">
        <v>1604</v>
      </c>
      <c r="G580" t="s">
        <v>48</v>
      </c>
      <c r="H580">
        <v>497.02</v>
      </c>
      <c r="I580" t="s">
        <v>122</v>
      </c>
      <c r="J580" t="s">
        <v>20</v>
      </c>
      <c r="K580">
        <v>19</v>
      </c>
      <c r="L580">
        <v>2</v>
      </c>
    </row>
    <row r="581" spans="1:12" x14ac:dyDescent="0.2">
      <c r="A581" t="s">
        <v>1605</v>
      </c>
      <c r="B581" t="s">
        <v>1606</v>
      </c>
      <c r="C581" t="s">
        <v>44</v>
      </c>
      <c r="D581" t="s">
        <v>74</v>
      </c>
      <c r="E581" t="s">
        <v>144</v>
      </c>
      <c r="F581" t="s">
        <v>528</v>
      </c>
      <c r="G581" t="s">
        <v>33</v>
      </c>
      <c r="H581">
        <v>393.7</v>
      </c>
      <c r="I581" t="s">
        <v>49</v>
      </c>
      <c r="J581" t="s">
        <v>41</v>
      </c>
      <c r="K581">
        <v>72</v>
      </c>
      <c r="L581">
        <v>1</v>
      </c>
    </row>
    <row r="582" spans="1:12" x14ac:dyDescent="0.2">
      <c r="A582" t="s">
        <v>1607</v>
      </c>
      <c r="B582" t="s">
        <v>1608</v>
      </c>
      <c r="C582" t="s">
        <v>53</v>
      </c>
      <c r="D582" t="s">
        <v>61</v>
      </c>
      <c r="E582" t="s">
        <v>272</v>
      </c>
      <c r="F582" t="s">
        <v>393</v>
      </c>
      <c r="G582" t="s">
        <v>48</v>
      </c>
      <c r="H582">
        <v>258.95999999999998</v>
      </c>
      <c r="I582" t="s">
        <v>19</v>
      </c>
      <c r="J582" t="s">
        <v>50</v>
      </c>
      <c r="K582">
        <v>75</v>
      </c>
      <c r="L582">
        <v>4</v>
      </c>
    </row>
    <row r="583" spans="1:12" x14ac:dyDescent="0.2">
      <c r="A583" t="s">
        <v>1609</v>
      </c>
      <c r="B583" t="s">
        <v>1610</v>
      </c>
      <c r="C583" t="s">
        <v>44</v>
      </c>
      <c r="D583" t="s">
        <v>54</v>
      </c>
      <c r="E583" t="s">
        <v>161</v>
      </c>
      <c r="F583" t="s">
        <v>1611</v>
      </c>
      <c r="G583" t="s">
        <v>33</v>
      </c>
      <c r="H583">
        <v>328.02</v>
      </c>
      <c r="I583" t="s">
        <v>49</v>
      </c>
      <c r="J583" t="s">
        <v>20</v>
      </c>
      <c r="K583">
        <v>27</v>
      </c>
      <c r="L583">
        <v>4</v>
      </c>
    </row>
    <row r="584" spans="1:12" x14ac:dyDescent="0.2">
      <c r="A584" t="s">
        <v>1612</v>
      </c>
      <c r="B584" t="s">
        <v>1613</v>
      </c>
      <c r="C584" t="s">
        <v>60</v>
      </c>
      <c r="D584" t="s">
        <v>15</v>
      </c>
      <c r="E584" t="s">
        <v>97</v>
      </c>
      <c r="F584" t="s">
        <v>211</v>
      </c>
      <c r="G584" t="s">
        <v>18</v>
      </c>
      <c r="H584">
        <v>353.78</v>
      </c>
      <c r="I584" t="s">
        <v>122</v>
      </c>
      <c r="J584" t="s">
        <v>50</v>
      </c>
      <c r="K584">
        <v>29</v>
      </c>
      <c r="L584">
        <v>2</v>
      </c>
    </row>
    <row r="585" spans="1:12" x14ac:dyDescent="0.2">
      <c r="A585" t="s">
        <v>1614</v>
      </c>
      <c r="B585" t="s">
        <v>1615</v>
      </c>
      <c r="C585" t="s">
        <v>60</v>
      </c>
      <c r="D585" t="s">
        <v>37</v>
      </c>
      <c r="E585" t="s">
        <v>75</v>
      </c>
      <c r="F585" t="s">
        <v>1616</v>
      </c>
      <c r="G585" t="s">
        <v>57</v>
      </c>
      <c r="H585">
        <v>484.25</v>
      </c>
      <c r="I585" t="s">
        <v>122</v>
      </c>
      <c r="J585" t="s">
        <v>41</v>
      </c>
      <c r="K585">
        <v>19</v>
      </c>
      <c r="L585">
        <v>1</v>
      </c>
    </row>
    <row r="586" spans="1:12" x14ac:dyDescent="0.2">
      <c r="A586" t="s">
        <v>1617</v>
      </c>
      <c r="B586" t="s">
        <v>1618</v>
      </c>
      <c r="C586" t="s">
        <v>29</v>
      </c>
      <c r="D586" t="s">
        <v>89</v>
      </c>
      <c r="E586" t="s">
        <v>343</v>
      </c>
      <c r="F586" t="s">
        <v>1619</v>
      </c>
      <c r="G586" t="s">
        <v>64</v>
      </c>
      <c r="H586">
        <v>378.36</v>
      </c>
      <c r="I586" t="s">
        <v>122</v>
      </c>
      <c r="J586" t="s">
        <v>26</v>
      </c>
      <c r="K586">
        <v>38</v>
      </c>
    </row>
    <row r="587" spans="1:12" x14ac:dyDescent="0.2">
      <c r="A587" t="s">
        <v>1620</v>
      </c>
      <c r="B587" t="s">
        <v>1621</v>
      </c>
      <c r="C587" t="s">
        <v>44</v>
      </c>
      <c r="D587" t="s">
        <v>125</v>
      </c>
      <c r="E587" t="s">
        <v>161</v>
      </c>
      <c r="F587" t="s">
        <v>1622</v>
      </c>
      <c r="G587" t="s">
        <v>57</v>
      </c>
      <c r="H587">
        <v>244.96</v>
      </c>
      <c r="I587" t="s">
        <v>122</v>
      </c>
      <c r="J587" t="s">
        <v>50</v>
      </c>
      <c r="K587">
        <v>54</v>
      </c>
    </row>
    <row r="588" spans="1:12" x14ac:dyDescent="0.2">
      <c r="A588" t="s">
        <v>1623</v>
      </c>
      <c r="B588" t="s">
        <v>1276</v>
      </c>
      <c r="C588" t="s">
        <v>117</v>
      </c>
      <c r="D588" t="s">
        <v>139</v>
      </c>
      <c r="E588" t="s">
        <v>144</v>
      </c>
      <c r="F588" t="s">
        <v>1624</v>
      </c>
      <c r="G588" t="s">
        <v>33</v>
      </c>
      <c r="H588">
        <v>204.03</v>
      </c>
      <c r="I588" t="s">
        <v>49</v>
      </c>
      <c r="J588" t="s">
        <v>20</v>
      </c>
      <c r="K588">
        <v>55</v>
      </c>
      <c r="L588">
        <v>4</v>
      </c>
    </row>
    <row r="589" spans="1:12" x14ac:dyDescent="0.2">
      <c r="A589" t="s">
        <v>1625</v>
      </c>
      <c r="B589" t="s">
        <v>1626</v>
      </c>
      <c r="C589" t="s">
        <v>60</v>
      </c>
      <c r="D589" t="s">
        <v>45</v>
      </c>
      <c r="E589" t="s">
        <v>97</v>
      </c>
      <c r="F589" t="s">
        <v>1627</v>
      </c>
      <c r="G589" t="s">
        <v>33</v>
      </c>
      <c r="H589">
        <v>126.64</v>
      </c>
      <c r="I589" t="s">
        <v>49</v>
      </c>
      <c r="J589" t="s">
        <v>50</v>
      </c>
      <c r="K589">
        <v>56</v>
      </c>
      <c r="L589">
        <v>2</v>
      </c>
    </row>
    <row r="590" spans="1:12" x14ac:dyDescent="0.2">
      <c r="A590" t="s">
        <v>1628</v>
      </c>
      <c r="B590" t="s">
        <v>1629</v>
      </c>
      <c r="C590" t="s">
        <v>14</v>
      </c>
      <c r="D590" t="s">
        <v>45</v>
      </c>
      <c r="E590" t="s">
        <v>69</v>
      </c>
      <c r="F590" t="s">
        <v>1619</v>
      </c>
      <c r="G590" t="s">
        <v>18</v>
      </c>
      <c r="H590">
        <v>146.1</v>
      </c>
      <c r="I590" t="s">
        <v>49</v>
      </c>
      <c r="J590" t="s">
        <v>41</v>
      </c>
      <c r="K590">
        <v>62</v>
      </c>
      <c r="L590">
        <v>4</v>
      </c>
    </row>
    <row r="591" spans="1:12" x14ac:dyDescent="0.2">
      <c r="A591" t="s">
        <v>1630</v>
      </c>
      <c r="B591" t="s">
        <v>1631</v>
      </c>
      <c r="C591" t="s">
        <v>106</v>
      </c>
      <c r="D591" t="s">
        <v>54</v>
      </c>
      <c r="E591" t="s">
        <v>473</v>
      </c>
      <c r="F591" t="s">
        <v>558</v>
      </c>
      <c r="G591" t="s">
        <v>48</v>
      </c>
      <c r="H591">
        <v>413.22</v>
      </c>
      <c r="I591" t="s">
        <v>65</v>
      </c>
      <c r="J591" t="s">
        <v>50</v>
      </c>
      <c r="K591">
        <v>53</v>
      </c>
    </row>
    <row r="592" spans="1:12" x14ac:dyDescent="0.2">
      <c r="A592" t="s">
        <v>1632</v>
      </c>
      <c r="B592" t="s">
        <v>1633</v>
      </c>
      <c r="C592" t="s">
        <v>29</v>
      </c>
      <c r="D592" t="s">
        <v>74</v>
      </c>
      <c r="E592" t="s">
        <v>69</v>
      </c>
      <c r="F592" t="s">
        <v>497</v>
      </c>
      <c r="G592" t="s">
        <v>91</v>
      </c>
      <c r="H592">
        <v>493.22</v>
      </c>
      <c r="I592" t="s">
        <v>65</v>
      </c>
      <c r="J592" t="s">
        <v>50</v>
      </c>
      <c r="K592">
        <v>78</v>
      </c>
      <c r="L592">
        <v>5</v>
      </c>
    </row>
    <row r="593" spans="1:12" x14ac:dyDescent="0.2">
      <c r="A593" t="s">
        <v>1634</v>
      </c>
      <c r="B593" t="s">
        <v>1635</v>
      </c>
      <c r="C593" t="s">
        <v>53</v>
      </c>
      <c r="D593" t="s">
        <v>125</v>
      </c>
      <c r="E593" t="s">
        <v>272</v>
      </c>
      <c r="F593" t="s">
        <v>1636</v>
      </c>
      <c r="G593" t="s">
        <v>18</v>
      </c>
      <c r="H593">
        <v>451.1</v>
      </c>
      <c r="I593" t="s">
        <v>65</v>
      </c>
      <c r="J593" t="s">
        <v>41</v>
      </c>
      <c r="K593">
        <v>82</v>
      </c>
      <c r="L593">
        <v>2</v>
      </c>
    </row>
    <row r="594" spans="1:12" x14ac:dyDescent="0.2">
      <c r="A594" t="s">
        <v>1637</v>
      </c>
      <c r="B594" t="s">
        <v>1638</v>
      </c>
      <c r="C594" t="s">
        <v>44</v>
      </c>
      <c r="D594" t="s">
        <v>74</v>
      </c>
      <c r="E594" t="s">
        <v>46</v>
      </c>
      <c r="F594" t="s">
        <v>674</v>
      </c>
      <c r="G594" t="s">
        <v>18</v>
      </c>
      <c r="H594">
        <v>282.43</v>
      </c>
      <c r="I594" t="s">
        <v>19</v>
      </c>
      <c r="J594" t="s">
        <v>20</v>
      </c>
      <c r="K594">
        <v>52</v>
      </c>
      <c r="L594">
        <v>4</v>
      </c>
    </row>
    <row r="595" spans="1:12" x14ac:dyDescent="0.2">
      <c r="A595" t="s">
        <v>1639</v>
      </c>
      <c r="B595" t="s">
        <v>1640</v>
      </c>
      <c r="C595" t="s">
        <v>117</v>
      </c>
      <c r="D595" t="s">
        <v>45</v>
      </c>
      <c r="E595" t="s">
        <v>75</v>
      </c>
      <c r="F595" t="s">
        <v>1641</v>
      </c>
      <c r="G595" t="s">
        <v>64</v>
      </c>
      <c r="H595">
        <v>396.98</v>
      </c>
      <c r="I595" t="s">
        <v>19</v>
      </c>
      <c r="J595" t="s">
        <v>26</v>
      </c>
      <c r="K595">
        <v>21</v>
      </c>
      <c r="L595">
        <v>3</v>
      </c>
    </row>
    <row r="596" spans="1:12" x14ac:dyDescent="0.2">
      <c r="A596" t="s">
        <v>1642</v>
      </c>
      <c r="B596" t="s">
        <v>1643</v>
      </c>
      <c r="C596" t="s">
        <v>117</v>
      </c>
      <c r="D596" t="s">
        <v>89</v>
      </c>
      <c r="E596" t="s">
        <v>132</v>
      </c>
      <c r="F596" t="s">
        <v>1203</v>
      </c>
      <c r="G596" t="s">
        <v>57</v>
      </c>
      <c r="H596">
        <v>103.88</v>
      </c>
      <c r="I596" t="s">
        <v>122</v>
      </c>
      <c r="J596" t="s">
        <v>20</v>
      </c>
      <c r="K596">
        <v>20</v>
      </c>
      <c r="L596">
        <v>1</v>
      </c>
    </row>
    <row r="597" spans="1:12" x14ac:dyDescent="0.2">
      <c r="A597" t="s">
        <v>1644</v>
      </c>
      <c r="B597" t="s">
        <v>1645</v>
      </c>
      <c r="C597" t="s">
        <v>44</v>
      </c>
      <c r="D597" t="s">
        <v>80</v>
      </c>
      <c r="E597" t="s">
        <v>161</v>
      </c>
      <c r="F597" t="s">
        <v>1646</v>
      </c>
      <c r="G597" t="s">
        <v>91</v>
      </c>
      <c r="H597">
        <v>425.22</v>
      </c>
      <c r="I597" t="s">
        <v>122</v>
      </c>
      <c r="J597" t="s">
        <v>20</v>
      </c>
      <c r="K597">
        <v>66</v>
      </c>
      <c r="L597">
        <v>3</v>
      </c>
    </row>
    <row r="598" spans="1:12" x14ac:dyDescent="0.2">
      <c r="A598" t="s">
        <v>1647</v>
      </c>
      <c r="B598" t="s">
        <v>1648</v>
      </c>
      <c r="C598" t="s">
        <v>29</v>
      </c>
      <c r="D598" t="s">
        <v>139</v>
      </c>
      <c r="E598" t="s">
        <v>198</v>
      </c>
      <c r="F598" t="s">
        <v>1649</v>
      </c>
      <c r="G598" t="s">
        <v>33</v>
      </c>
      <c r="H598">
        <v>156.21</v>
      </c>
      <c r="I598" t="s">
        <v>49</v>
      </c>
      <c r="J598" t="s">
        <v>26</v>
      </c>
      <c r="K598">
        <v>71</v>
      </c>
    </row>
    <row r="599" spans="1:12" x14ac:dyDescent="0.2">
      <c r="A599" t="s">
        <v>1650</v>
      </c>
      <c r="B599" t="s">
        <v>1651</v>
      </c>
      <c r="C599" t="s">
        <v>106</v>
      </c>
      <c r="D599" t="s">
        <v>61</v>
      </c>
      <c r="E599" t="s">
        <v>317</v>
      </c>
      <c r="F599" t="s">
        <v>988</v>
      </c>
      <c r="G599" t="s">
        <v>77</v>
      </c>
      <c r="H599">
        <v>338.63</v>
      </c>
      <c r="I599" t="s">
        <v>49</v>
      </c>
      <c r="J599" t="s">
        <v>50</v>
      </c>
      <c r="K599">
        <v>62</v>
      </c>
      <c r="L599">
        <v>1</v>
      </c>
    </row>
    <row r="600" spans="1:12" x14ac:dyDescent="0.2">
      <c r="A600" t="s">
        <v>1652</v>
      </c>
      <c r="B600" t="s">
        <v>1653</v>
      </c>
      <c r="C600" t="s">
        <v>44</v>
      </c>
      <c r="D600" t="s">
        <v>80</v>
      </c>
      <c r="E600" t="s">
        <v>16</v>
      </c>
      <c r="F600" t="s">
        <v>1113</v>
      </c>
      <c r="G600" t="s">
        <v>64</v>
      </c>
      <c r="H600">
        <v>426.35</v>
      </c>
      <c r="I600" t="s">
        <v>19</v>
      </c>
      <c r="J600" t="s">
        <v>41</v>
      </c>
      <c r="K600">
        <v>89</v>
      </c>
      <c r="L600">
        <v>3</v>
      </c>
    </row>
    <row r="601" spans="1:12" x14ac:dyDescent="0.2">
      <c r="A601" t="s">
        <v>1654</v>
      </c>
      <c r="B601" t="s">
        <v>1655</v>
      </c>
      <c r="C601" t="s">
        <v>14</v>
      </c>
      <c r="D601" t="s">
        <v>74</v>
      </c>
      <c r="E601" t="s">
        <v>16</v>
      </c>
      <c r="F601" t="s">
        <v>1656</v>
      </c>
      <c r="G601" t="s">
        <v>18</v>
      </c>
      <c r="H601">
        <v>459.95</v>
      </c>
      <c r="I601" t="s">
        <v>122</v>
      </c>
      <c r="J601" t="s">
        <v>41</v>
      </c>
      <c r="K601">
        <v>62</v>
      </c>
      <c r="L601">
        <v>5</v>
      </c>
    </row>
    <row r="602" spans="1:12" x14ac:dyDescent="0.2">
      <c r="A602" t="s">
        <v>1657</v>
      </c>
      <c r="B602" t="s">
        <v>1658</v>
      </c>
      <c r="C602" t="s">
        <v>29</v>
      </c>
      <c r="D602" t="s">
        <v>15</v>
      </c>
      <c r="E602" t="s">
        <v>69</v>
      </c>
      <c r="F602" t="s">
        <v>1316</v>
      </c>
      <c r="G602" t="s">
        <v>57</v>
      </c>
      <c r="H602">
        <v>287.17</v>
      </c>
      <c r="I602" t="s">
        <v>19</v>
      </c>
      <c r="J602" t="s">
        <v>26</v>
      </c>
      <c r="K602">
        <v>89</v>
      </c>
      <c r="L602">
        <v>1</v>
      </c>
    </row>
    <row r="603" spans="1:12" x14ac:dyDescent="0.2">
      <c r="A603" t="s">
        <v>1659</v>
      </c>
      <c r="B603" t="s">
        <v>1660</v>
      </c>
      <c r="C603" t="s">
        <v>60</v>
      </c>
      <c r="D603" t="s">
        <v>54</v>
      </c>
      <c r="E603" t="s">
        <v>24</v>
      </c>
      <c r="F603" t="s">
        <v>1229</v>
      </c>
      <c r="G603" t="s">
        <v>91</v>
      </c>
      <c r="H603">
        <v>459.47</v>
      </c>
      <c r="I603" t="s">
        <v>65</v>
      </c>
      <c r="J603" t="s">
        <v>50</v>
      </c>
      <c r="K603">
        <v>78</v>
      </c>
    </row>
    <row r="604" spans="1:12" x14ac:dyDescent="0.2">
      <c r="A604" t="s">
        <v>1661</v>
      </c>
      <c r="B604" t="s">
        <v>1662</v>
      </c>
      <c r="C604" t="s">
        <v>14</v>
      </c>
      <c r="D604" t="s">
        <v>37</v>
      </c>
      <c r="E604" t="s">
        <v>69</v>
      </c>
      <c r="F604" t="s">
        <v>1663</v>
      </c>
      <c r="G604" t="s">
        <v>33</v>
      </c>
      <c r="H604">
        <v>334.22</v>
      </c>
      <c r="I604" t="s">
        <v>122</v>
      </c>
      <c r="J604" t="s">
        <v>26</v>
      </c>
      <c r="K604">
        <v>80</v>
      </c>
      <c r="L604">
        <v>3</v>
      </c>
    </row>
    <row r="605" spans="1:12" x14ac:dyDescent="0.2">
      <c r="A605" t="s">
        <v>1664</v>
      </c>
      <c r="B605" t="s">
        <v>1665</v>
      </c>
      <c r="C605" t="s">
        <v>14</v>
      </c>
      <c r="D605" t="s">
        <v>139</v>
      </c>
      <c r="E605" t="s">
        <v>62</v>
      </c>
      <c r="F605" t="s">
        <v>1299</v>
      </c>
      <c r="G605" t="s">
        <v>77</v>
      </c>
      <c r="H605">
        <v>332.86</v>
      </c>
      <c r="I605" t="s">
        <v>122</v>
      </c>
      <c r="J605" t="s">
        <v>26</v>
      </c>
      <c r="K605">
        <v>45</v>
      </c>
      <c r="L605">
        <v>5</v>
      </c>
    </row>
    <row r="606" spans="1:12" x14ac:dyDescent="0.2">
      <c r="A606" t="s">
        <v>1666</v>
      </c>
      <c r="B606" t="s">
        <v>1667</v>
      </c>
      <c r="C606" t="s">
        <v>14</v>
      </c>
      <c r="D606" t="s">
        <v>37</v>
      </c>
      <c r="E606" t="s">
        <v>473</v>
      </c>
      <c r="F606" t="s">
        <v>1668</v>
      </c>
      <c r="G606" t="s">
        <v>33</v>
      </c>
      <c r="H606">
        <v>307.57</v>
      </c>
      <c r="I606" t="s">
        <v>19</v>
      </c>
      <c r="J606" t="s">
        <v>50</v>
      </c>
      <c r="K606">
        <v>47</v>
      </c>
      <c r="L606">
        <v>2</v>
      </c>
    </row>
    <row r="607" spans="1:12" x14ac:dyDescent="0.2">
      <c r="A607" t="s">
        <v>1669</v>
      </c>
      <c r="B607" t="s">
        <v>1670</v>
      </c>
      <c r="C607" t="s">
        <v>60</v>
      </c>
      <c r="D607" t="s">
        <v>15</v>
      </c>
      <c r="E607" t="s">
        <v>38</v>
      </c>
      <c r="F607" t="s">
        <v>1671</v>
      </c>
      <c r="G607" t="s">
        <v>33</v>
      </c>
      <c r="H607">
        <v>481.23</v>
      </c>
      <c r="I607" t="s">
        <v>65</v>
      </c>
      <c r="J607" t="s">
        <v>41</v>
      </c>
      <c r="K607">
        <v>27</v>
      </c>
      <c r="L607">
        <v>5</v>
      </c>
    </row>
    <row r="608" spans="1:12" x14ac:dyDescent="0.2">
      <c r="A608" t="s">
        <v>1672</v>
      </c>
      <c r="B608" t="s">
        <v>1673</v>
      </c>
      <c r="C608" t="s">
        <v>29</v>
      </c>
      <c r="D608" t="s">
        <v>15</v>
      </c>
      <c r="E608" t="s">
        <v>343</v>
      </c>
      <c r="F608" t="s">
        <v>1235</v>
      </c>
      <c r="G608" t="s">
        <v>48</v>
      </c>
      <c r="H608">
        <v>198.85</v>
      </c>
      <c r="I608" t="s">
        <v>65</v>
      </c>
      <c r="J608" t="s">
        <v>41</v>
      </c>
      <c r="K608">
        <v>62</v>
      </c>
      <c r="L608">
        <v>3</v>
      </c>
    </row>
    <row r="609" spans="1:12" x14ac:dyDescent="0.2">
      <c r="A609" t="s">
        <v>1674</v>
      </c>
      <c r="B609" t="s">
        <v>1675</v>
      </c>
      <c r="C609" t="s">
        <v>29</v>
      </c>
      <c r="D609" t="s">
        <v>37</v>
      </c>
      <c r="E609" t="s">
        <v>257</v>
      </c>
      <c r="F609" t="s">
        <v>1676</v>
      </c>
      <c r="G609" t="s">
        <v>64</v>
      </c>
      <c r="H609">
        <v>498.17</v>
      </c>
      <c r="I609" t="s">
        <v>122</v>
      </c>
      <c r="J609" t="s">
        <v>26</v>
      </c>
      <c r="K609">
        <v>41</v>
      </c>
      <c r="L609">
        <v>5</v>
      </c>
    </row>
    <row r="610" spans="1:12" x14ac:dyDescent="0.2">
      <c r="A610" t="s">
        <v>1677</v>
      </c>
      <c r="B610" t="s">
        <v>1678</v>
      </c>
      <c r="C610" t="s">
        <v>68</v>
      </c>
      <c r="D610" t="s">
        <v>45</v>
      </c>
      <c r="E610" t="s">
        <v>272</v>
      </c>
      <c r="F610" t="s">
        <v>211</v>
      </c>
      <c r="G610" t="s">
        <v>57</v>
      </c>
      <c r="H610">
        <v>178.34</v>
      </c>
      <c r="I610" t="s">
        <v>49</v>
      </c>
      <c r="J610" t="s">
        <v>41</v>
      </c>
      <c r="K610">
        <v>39</v>
      </c>
    </row>
    <row r="611" spans="1:12" x14ac:dyDescent="0.2">
      <c r="A611" t="s">
        <v>1679</v>
      </c>
      <c r="B611" t="s">
        <v>1680</v>
      </c>
      <c r="C611" t="s">
        <v>60</v>
      </c>
      <c r="D611" t="s">
        <v>15</v>
      </c>
      <c r="E611" t="s">
        <v>46</v>
      </c>
      <c r="F611" t="s">
        <v>424</v>
      </c>
      <c r="G611" t="s">
        <v>18</v>
      </c>
      <c r="H611">
        <v>302.2</v>
      </c>
      <c r="I611" t="s">
        <v>19</v>
      </c>
      <c r="J611" t="s">
        <v>26</v>
      </c>
      <c r="K611">
        <v>61</v>
      </c>
      <c r="L611">
        <v>3</v>
      </c>
    </row>
    <row r="612" spans="1:12" x14ac:dyDescent="0.2">
      <c r="A612" t="s">
        <v>1681</v>
      </c>
      <c r="B612" t="s">
        <v>1682</v>
      </c>
      <c r="C612" t="s">
        <v>73</v>
      </c>
      <c r="D612" t="s">
        <v>15</v>
      </c>
      <c r="E612" t="s">
        <v>129</v>
      </c>
      <c r="F612" t="s">
        <v>1683</v>
      </c>
      <c r="G612" t="s">
        <v>57</v>
      </c>
      <c r="H612">
        <v>170.67</v>
      </c>
      <c r="I612" t="s">
        <v>19</v>
      </c>
      <c r="J612" t="s">
        <v>41</v>
      </c>
      <c r="K612">
        <v>35</v>
      </c>
      <c r="L612">
        <v>4</v>
      </c>
    </row>
    <row r="613" spans="1:12" x14ac:dyDescent="0.2">
      <c r="A613" t="s">
        <v>1684</v>
      </c>
      <c r="B613" t="s">
        <v>1685</v>
      </c>
      <c r="C613" t="s">
        <v>106</v>
      </c>
      <c r="D613" t="s">
        <v>89</v>
      </c>
      <c r="E613" t="s">
        <v>46</v>
      </c>
      <c r="F613" t="s">
        <v>1686</v>
      </c>
      <c r="G613" t="s">
        <v>33</v>
      </c>
      <c r="H613">
        <v>235.78</v>
      </c>
      <c r="I613" t="s">
        <v>65</v>
      </c>
      <c r="J613" t="s">
        <v>41</v>
      </c>
      <c r="K613">
        <v>69</v>
      </c>
      <c r="L613">
        <v>5</v>
      </c>
    </row>
    <row r="614" spans="1:12" x14ac:dyDescent="0.2">
      <c r="A614" t="s">
        <v>1687</v>
      </c>
      <c r="B614" t="s">
        <v>1688</v>
      </c>
      <c r="C614" t="s">
        <v>73</v>
      </c>
      <c r="D614" t="s">
        <v>74</v>
      </c>
      <c r="E614" t="s">
        <v>343</v>
      </c>
      <c r="F614" t="s">
        <v>1689</v>
      </c>
      <c r="G614" t="s">
        <v>33</v>
      </c>
      <c r="H614">
        <v>134.56</v>
      </c>
      <c r="I614" t="s">
        <v>49</v>
      </c>
      <c r="J614" t="s">
        <v>20</v>
      </c>
      <c r="K614">
        <v>77</v>
      </c>
      <c r="L614">
        <v>3</v>
      </c>
    </row>
    <row r="615" spans="1:12" x14ac:dyDescent="0.2">
      <c r="A615" t="s">
        <v>1690</v>
      </c>
      <c r="B615" t="s">
        <v>1691</v>
      </c>
      <c r="C615" t="s">
        <v>73</v>
      </c>
      <c r="D615" t="s">
        <v>74</v>
      </c>
      <c r="E615" t="s">
        <v>198</v>
      </c>
      <c r="F615" t="s">
        <v>709</v>
      </c>
      <c r="G615" t="s">
        <v>40</v>
      </c>
      <c r="H615">
        <v>334.7</v>
      </c>
      <c r="I615" t="s">
        <v>49</v>
      </c>
      <c r="J615" t="s">
        <v>26</v>
      </c>
      <c r="K615">
        <v>46</v>
      </c>
      <c r="L615">
        <v>2</v>
      </c>
    </row>
    <row r="616" spans="1:12" x14ac:dyDescent="0.2">
      <c r="A616" t="s">
        <v>1692</v>
      </c>
      <c r="B616" t="s">
        <v>1693</v>
      </c>
      <c r="C616" t="s">
        <v>14</v>
      </c>
      <c r="D616" t="s">
        <v>125</v>
      </c>
      <c r="E616" t="s">
        <v>198</v>
      </c>
      <c r="F616" t="s">
        <v>1164</v>
      </c>
      <c r="G616" t="s">
        <v>18</v>
      </c>
      <c r="H616">
        <v>184.73</v>
      </c>
      <c r="I616" t="s">
        <v>19</v>
      </c>
      <c r="J616" t="s">
        <v>50</v>
      </c>
      <c r="K616">
        <v>61</v>
      </c>
      <c r="L616">
        <v>1</v>
      </c>
    </row>
    <row r="617" spans="1:12" x14ac:dyDescent="0.2">
      <c r="A617" t="s">
        <v>1694</v>
      </c>
      <c r="B617" t="s">
        <v>1695</v>
      </c>
      <c r="C617" t="s">
        <v>60</v>
      </c>
      <c r="D617" t="s">
        <v>54</v>
      </c>
      <c r="E617" t="s">
        <v>349</v>
      </c>
      <c r="F617" t="s">
        <v>497</v>
      </c>
      <c r="G617" t="s">
        <v>48</v>
      </c>
      <c r="H617">
        <v>124.27</v>
      </c>
      <c r="I617" t="s">
        <v>19</v>
      </c>
      <c r="J617" t="s">
        <v>20</v>
      </c>
      <c r="K617">
        <v>23</v>
      </c>
      <c r="L617">
        <v>1</v>
      </c>
    </row>
    <row r="618" spans="1:12" x14ac:dyDescent="0.2">
      <c r="A618" t="s">
        <v>1696</v>
      </c>
      <c r="B618" t="s">
        <v>1697</v>
      </c>
      <c r="C618" t="s">
        <v>44</v>
      </c>
      <c r="D618" t="s">
        <v>54</v>
      </c>
      <c r="E618" t="s">
        <v>317</v>
      </c>
      <c r="F618" t="s">
        <v>1562</v>
      </c>
      <c r="G618" t="s">
        <v>91</v>
      </c>
      <c r="H618">
        <v>401.39</v>
      </c>
      <c r="I618" t="s">
        <v>122</v>
      </c>
      <c r="J618" t="s">
        <v>50</v>
      </c>
      <c r="K618">
        <v>74</v>
      </c>
      <c r="L618">
        <v>4</v>
      </c>
    </row>
    <row r="619" spans="1:12" x14ac:dyDescent="0.2">
      <c r="A619" t="s">
        <v>1698</v>
      </c>
      <c r="B619" t="s">
        <v>1699</v>
      </c>
      <c r="C619" t="s">
        <v>73</v>
      </c>
      <c r="D619" t="s">
        <v>139</v>
      </c>
      <c r="E619" t="s">
        <v>38</v>
      </c>
      <c r="F619" t="s">
        <v>211</v>
      </c>
      <c r="G619" t="s">
        <v>64</v>
      </c>
      <c r="H619">
        <v>498.76</v>
      </c>
      <c r="I619" t="s">
        <v>19</v>
      </c>
      <c r="J619" t="s">
        <v>26</v>
      </c>
      <c r="K619">
        <v>53</v>
      </c>
      <c r="L619">
        <v>1</v>
      </c>
    </row>
    <row r="620" spans="1:12" x14ac:dyDescent="0.2">
      <c r="A620" t="s">
        <v>1700</v>
      </c>
      <c r="B620" t="s">
        <v>1701</v>
      </c>
      <c r="C620" t="s">
        <v>68</v>
      </c>
      <c r="D620" t="s">
        <v>45</v>
      </c>
      <c r="E620" t="s">
        <v>154</v>
      </c>
      <c r="F620" t="s">
        <v>730</v>
      </c>
      <c r="G620" t="s">
        <v>91</v>
      </c>
      <c r="H620">
        <v>255.95</v>
      </c>
      <c r="I620" t="s">
        <v>122</v>
      </c>
      <c r="J620" t="s">
        <v>41</v>
      </c>
      <c r="K620">
        <v>64</v>
      </c>
    </row>
    <row r="621" spans="1:12" x14ac:dyDescent="0.2">
      <c r="A621" t="s">
        <v>1702</v>
      </c>
      <c r="B621" t="s">
        <v>1703</v>
      </c>
      <c r="C621" t="s">
        <v>53</v>
      </c>
      <c r="D621" t="s">
        <v>61</v>
      </c>
      <c r="E621" t="s">
        <v>161</v>
      </c>
      <c r="F621" t="s">
        <v>1496</v>
      </c>
      <c r="G621" t="s">
        <v>18</v>
      </c>
      <c r="H621">
        <v>258.24</v>
      </c>
      <c r="I621" t="s">
        <v>122</v>
      </c>
      <c r="J621" t="s">
        <v>41</v>
      </c>
      <c r="K621">
        <v>80</v>
      </c>
      <c r="L621">
        <v>2</v>
      </c>
    </row>
    <row r="622" spans="1:12" x14ac:dyDescent="0.2">
      <c r="A622" t="s">
        <v>1704</v>
      </c>
      <c r="B622" t="s">
        <v>1705</v>
      </c>
      <c r="C622" t="s">
        <v>53</v>
      </c>
      <c r="D622" t="s">
        <v>37</v>
      </c>
      <c r="E622" t="s">
        <v>132</v>
      </c>
      <c r="F622" t="s">
        <v>1212</v>
      </c>
      <c r="G622" t="s">
        <v>48</v>
      </c>
      <c r="H622">
        <v>148.85</v>
      </c>
      <c r="I622" t="s">
        <v>122</v>
      </c>
      <c r="J622" t="s">
        <v>41</v>
      </c>
      <c r="K622">
        <v>62</v>
      </c>
    </row>
    <row r="623" spans="1:12" x14ac:dyDescent="0.2">
      <c r="A623" t="s">
        <v>1706</v>
      </c>
      <c r="B623" t="s">
        <v>1707</v>
      </c>
      <c r="C623" t="s">
        <v>23</v>
      </c>
      <c r="D623" t="s">
        <v>45</v>
      </c>
      <c r="E623" t="s">
        <v>349</v>
      </c>
      <c r="F623" t="s">
        <v>1708</v>
      </c>
      <c r="G623" t="s">
        <v>91</v>
      </c>
      <c r="H623">
        <v>107.01</v>
      </c>
      <c r="I623" t="s">
        <v>19</v>
      </c>
      <c r="J623" t="s">
        <v>50</v>
      </c>
      <c r="K623">
        <v>41</v>
      </c>
      <c r="L623">
        <v>5</v>
      </c>
    </row>
    <row r="624" spans="1:12" x14ac:dyDescent="0.2">
      <c r="A624" t="s">
        <v>1709</v>
      </c>
      <c r="B624" t="s">
        <v>1710</v>
      </c>
      <c r="C624" t="s">
        <v>53</v>
      </c>
      <c r="D624" t="s">
        <v>89</v>
      </c>
      <c r="E624" t="s">
        <v>238</v>
      </c>
      <c r="F624" t="s">
        <v>1711</v>
      </c>
      <c r="G624" t="s">
        <v>64</v>
      </c>
      <c r="H624">
        <v>372.39</v>
      </c>
      <c r="I624" t="s">
        <v>19</v>
      </c>
      <c r="J624" t="s">
        <v>20</v>
      </c>
      <c r="K624">
        <v>35</v>
      </c>
      <c r="L624">
        <v>5</v>
      </c>
    </row>
    <row r="625" spans="1:12" x14ac:dyDescent="0.2">
      <c r="A625" t="s">
        <v>1712</v>
      </c>
      <c r="B625" t="s">
        <v>1713</v>
      </c>
      <c r="C625" t="s">
        <v>117</v>
      </c>
      <c r="D625" t="s">
        <v>61</v>
      </c>
      <c r="E625" t="s">
        <v>118</v>
      </c>
      <c r="F625" t="s">
        <v>1711</v>
      </c>
      <c r="G625" t="s">
        <v>57</v>
      </c>
      <c r="H625">
        <v>139.08000000000001</v>
      </c>
      <c r="I625" t="s">
        <v>49</v>
      </c>
      <c r="J625" t="s">
        <v>20</v>
      </c>
      <c r="K625">
        <v>87</v>
      </c>
      <c r="L625">
        <v>4</v>
      </c>
    </row>
    <row r="626" spans="1:12" x14ac:dyDescent="0.2">
      <c r="A626" t="s">
        <v>1714</v>
      </c>
      <c r="B626" t="s">
        <v>1715</v>
      </c>
      <c r="C626" t="s">
        <v>14</v>
      </c>
      <c r="D626" t="s">
        <v>139</v>
      </c>
      <c r="E626" t="s">
        <v>85</v>
      </c>
      <c r="F626" t="s">
        <v>866</v>
      </c>
      <c r="G626" t="s">
        <v>40</v>
      </c>
      <c r="H626">
        <v>325.14</v>
      </c>
      <c r="I626" t="s">
        <v>65</v>
      </c>
      <c r="J626" t="s">
        <v>41</v>
      </c>
      <c r="K626">
        <v>82</v>
      </c>
      <c r="L626">
        <v>2</v>
      </c>
    </row>
    <row r="627" spans="1:12" x14ac:dyDescent="0.2">
      <c r="A627" t="s">
        <v>1716</v>
      </c>
      <c r="B627" t="s">
        <v>911</v>
      </c>
      <c r="C627" t="s">
        <v>23</v>
      </c>
      <c r="D627" t="s">
        <v>54</v>
      </c>
      <c r="E627" t="s">
        <v>257</v>
      </c>
      <c r="F627" t="s">
        <v>819</v>
      </c>
      <c r="G627" t="s">
        <v>40</v>
      </c>
      <c r="H627">
        <v>291.24</v>
      </c>
      <c r="I627" t="s">
        <v>19</v>
      </c>
      <c r="J627" t="s">
        <v>41</v>
      </c>
      <c r="K627">
        <v>47</v>
      </c>
      <c r="L627">
        <v>1</v>
      </c>
    </row>
    <row r="628" spans="1:12" x14ac:dyDescent="0.2">
      <c r="A628" t="s">
        <v>1717</v>
      </c>
      <c r="B628" t="s">
        <v>1718</v>
      </c>
      <c r="C628" t="s">
        <v>23</v>
      </c>
      <c r="D628" t="s">
        <v>139</v>
      </c>
      <c r="E628" t="s">
        <v>62</v>
      </c>
      <c r="F628" t="s">
        <v>1719</v>
      </c>
      <c r="G628" t="s">
        <v>77</v>
      </c>
      <c r="H628">
        <v>208.92</v>
      </c>
      <c r="I628" t="s">
        <v>19</v>
      </c>
      <c r="J628" t="s">
        <v>26</v>
      </c>
      <c r="K628">
        <v>77</v>
      </c>
      <c r="L628">
        <v>2</v>
      </c>
    </row>
    <row r="629" spans="1:12" x14ac:dyDescent="0.2">
      <c r="A629" t="s">
        <v>1720</v>
      </c>
      <c r="B629" t="s">
        <v>1721</v>
      </c>
      <c r="C629" t="s">
        <v>60</v>
      </c>
      <c r="D629" t="s">
        <v>80</v>
      </c>
      <c r="E629" t="s">
        <v>257</v>
      </c>
      <c r="F629" t="s">
        <v>906</v>
      </c>
      <c r="G629" t="s">
        <v>40</v>
      </c>
      <c r="H629">
        <v>244.78</v>
      </c>
      <c r="I629" t="s">
        <v>49</v>
      </c>
      <c r="J629" t="s">
        <v>50</v>
      </c>
      <c r="K629">
        <v>90</v>
      </c>
      <c r="L629">
        <v>5</v>
      </c>
    </row>
    <row r="630" spans="1:12" x14ac:dyDescent="0.2">
      <c r="A630" t="s">
        <v>1722</v>
      </c>
      <c r="B630" t="s">
        <v>1723</v>
      </c>
      <c r="C630" t="s">
        <v>73</v>
      </c>
      <c r="D630" t="s">
        <v>37</v>
      </c>
      <c r="E630" t="s">
        <v>144</v>
      </c>
      <c r="F630" t="s">
        <v>258</v>
      </c>
      <c r="G630" t="s">
        <v>91</v>
      </c>
      <c r="H630">
        <v>469.29</v>
      </c>
      <c r="I630" t="s">
        <v>49</v>
      </c>
      <c r="J630" t="s">
        <v>41</v>
      </c>
      <c r="K630">
        <v>40</v>
      </c>
      <c r="L630">
        <v>3</v>
      </c>
    </row>
    <row r="631" spans="1:12" x14ac:dyDescent="0.2">
      <c r="A631" t="s">
        <v>1724</v>
      </c>
      <c r="B631" t="s">
        <v>1725</v>
      </c>
      <c r="C631" t="s">
        <v>73</v>
      </c>
      <c r="D631" t="s">
        <v>74</v>
      </c>
      <c r="E631" t="s">
        <v>132</v>
      </c>
      <c r="F631" t="s">
        <v>141</v>
      </c>
      <c r="G631" t="s">
        <v>64</v>
      </c>
      <c r="H631">
        <v>391.9</v>
      </c>
      <c r="I631" t="s">
        <v>19</v>
      </c>
      <c r="J631" t="s">
        <v>26</v>
      </c>
      <c r="K631">
        <v>89</v>
      </c>
      <c r="L631">
        <v>4</v>
      </c>
    </row>
    <row r="632" spans="1:12" x14ac:dyDescent="0.2">
      <c r="A632" t="s">
        <v>1726</v>
      </c>
      <c r="B632" t="s">
        <v>1727</v>
      </c>
      <c r="C632" t="s">
        <v>73</v>
      </c>
      <c r="D632" t="s">
        <v>80</v>
      </c>
      <c r="E632" t="s">
        <v>85</v>
      </c>
      <c r="F632" t="s">
        <v>110</v>
      </c>
      <c r="G632" t="s">
        <v>57</v>
      </c>
      <c r="H632">
        <v>98.97</v>
      </c>
      <c r="I632" t="s">
        <v>19</v>
      </c>
      <c r="J632" t="s">
        <v>20</v>
      </c>
      <c r="K632">
        <v>85</v>
      </c>
      <c r="L632">
        <v>4</v>
      </c>
    </row>
    <row r="633" spans="1:12" x14ac:dyDescent="0.2">
      <c r="A633" t="s">
        <v>1728</v>
      </c>
      <c r="B633" t="s">
        <v>1729</v>
      </c>
      <c r="C633" t="s">
        <v>44</v>
      </c>
      <c r="D633" t="s">
        <v>80</v>
      </c>
      <c r="E633" t="s">
        <v>161</v>
      </c>
      <c r="F633" t="s">
        <v>195</v>
      </c>
      <c r="G633" t="s">
        <v>77</v>
      </c>
      <c r="H633">
        <v>374.04</v>
      </c>
      <c r="I633" t="s">
        <v>49</v>
      </c>
      <c r="J633" t="s">
        <v>41</v>
      </c>
      <c r="K633">
        <v>89</v>
      </c>
    </row>
    <row r="634" spans="1:12" x14ac:dyDescent="0.2">
      <c r="A634" t="s">
        <v>1730</v>
      </c>
      <c r="B634" t="s">
        <v>1731</v>
      </c>
      <c r="C634" t="s">
        <v>23</v>
      </c>
      <c r="D634" t="s">
        <v>54</v>
      </c>
      <c r="E634" t="s">
        <v>180</v>
      </c>
      <c r="F634" t="s">
        <v>1319</v>
      </c>
      <c r="G634" t="s">
        <v>57</v>
      </c>
      <c r="H634">
        <v>238.8</v>
      </c>
      <c r="I634" t="s">
        <v>65</v>
      </c>
      <c r="J634" t="s">
        <v>26</v>
      </c>
      <c r="K634">
        <v>79</v>
      </c>
      <c r="L634">
        <v>4</v>
      </c>
    </row>
    <row r="635" spans="1:12" x14ac:dyDescent="0.2">
      <c r="A635" t="s">
        <v>1732</v>
      </c>
      <c r="B635" t="s">
        <v>1733</v>
      </c>
      <c r="C635" t="s">
        <v>73</v>
      </c>
      <c r="D635" t="s">
        <v>80</v>
      </c>
      <c r="E635" t="s">
        <v>272</v>
      </c>
      <c r="F635" t="s">
        <v>1734</v>
      </c>
      <c r="G635" t="s">
        <v>18</v>
      </c>
      <c r="H635">
        <v>81.14</v>
      </c>
      <c r="I635" t="s">
        <v>65</v>
      </c>
      <c r="J635" t="s">
        <v>26</v>
      </c>
      <c r="K635">
        <v>65</v>
      </c>
      <c r="L635">
        <v>5</v>
      </c>
    </row>
    <row r="636" spans="1:12" x14ac:dyDescent="0.2">
      <c r="A636" t="s">
        <v>1735</v>
      </c>
      <c r="B636" t="s">
        <v>1736</v>
      </c>
      <c r="C636" t="s">
        <v>23</v>
      </c>
      <c r="D636" t="s">
        <v>54</v>
      </c>
      <c r="E636" t="s">
        <v>198</v>
      </c>
      <c r="F636" t="s">
        <v>340</v>
      </c>
      <c r="G636" t="s">
        <v>57</v>
      </c>
      <c r="H636">
        <v>447.01</v>
      </c>
      <c r="I636" t="s">
        <v>49</v>
      </c>
      <c r="J636" t="s">
        <v>20</v>
      </c>
      <c r="K636">
        <v>38</v>
      </c>
      <c r="L636">
        <v>4</v>
      </c>
    </row>
    <row r="637" spans="1:12" x14ac:dyDescent="0.2">
      <c r="A637" t="s">
        <v>1737</v>
      </c>
      <c r="B637" t="s">
        <v>1738</v>
      </c>
      <c r="C637" t="s">
        <v>14</v>
      </c>
      <c r="D637" t="s">
        <v>74</v>
      </c>
      <c r="E637" t="s">
        <v>473</v>
      </c>
      <c r="F637" t="s">
        <v>1739</v>
      </c>
      <c r="G637" t="s">
        <v>57</v>
      </c>
      <c r="H637">
        <v>160.87</v>
      </c>
      <c r="I637" t="s">
        <v>122</v>
      </c>
      <c r="J637" t="s">
        <v>50</v>
      </c>
      <c r="K637">
        <v>88</v>
      </c>
      <c r="L637">
        <v>1</v>
      </c>
    </row>
    <row r="638" spans="1:12" x14ac:dyDescent="0.2">
      <c r="A638" t="s">
        <v>1740</v>
      </c>
      <c r="B638" t="s">
        <v>1741</v>
      </c>
      <c r="C638" t="s">
        <v>29</v>
      </c>
      <c r="D638" t="s">
        <v>139</v>
      </c>
      <c r="E638" t="s">
        <v>38</v>
      </c>
      <c r="F638" t="s">
        <v>211</v>
      </c>
      <c r="G638" t="s">
        <v>48</v>
      </c>
      <c r="H638">
        <v>286.77999999999997</v>
      </c>
      <c r="I638" t="s">
        <v>49</v>
      </c>
      <c r="J638" t="s">
        <v>50</v>
      </c>
      <c r="K638">
        <v>16</v>
      </c>
      <c r="L638">
        <v>3</v>
      </c>
    </row>
    <row r="639" spans="1:12" x14ac:dyDescent="0.2">
      <c r="A639" t="s">
        <v>1742</v>
      </c>
      <c r="B639" t="s">
        <v>1743</v>
      </c>
      <c r="C639" t="s">
        <v>29</v>
      </c>
      <c r="D639" t="s">
        <v>54</v>
      </c>
      <c r="E639" t="s">
        <v>75</v>
      </c>
      <c r="F639" t="s">
        <v>1676</v>
      </c>
      <c r="G639" t="s">
        <v>57</v>
      </c>
      <c r="H639">
        <v>323.83</v>
      </c>
      <c r="I639" t="s">
        <v>65</v>
      </c>
      <c r="J639" t="s">
        <v>41</v>
      </c>
      <c r="K639">
        <v>56</v>
      </c>
      <c r="L639">
        <v>2</v>
      </c>
    </row>
    <row r="640" spans="1:12" x14ac:dyDescent="0.2">
      <c r="A640" t="s">
        <v>1744</v>
      </c>
      <c r="B640" t="s">
        <v>1745</v>
      </c>
      <c r="C640" t="s">
        <v>73</v>
      </c>
      <c r="D640" t="s">
        <v>37</v>
      </c>
      <c r="E640" t="s">
        <v>102</v>
      </c>
      <c r="F640" t="s">
        <v>1005</v>
      </c>
      <c r="G640" t="s">
        <v>48</v>
      </c>
      <c r="H640">
        <v>361.76</v>
      </c>
      <c r="I640" t="s">
        <v>49</v>
      </c>
      <c r="J640" t="s">
        <v>26</v>
      </c>
      <c r="K640">
        <v>25</v>
      </c>
      <c r="L640">
        <v>5</v>
      </c>
    </row>
    <row r="641" spans="1:12" x14ac:dyDescent="0.2">
      <c r="A641" t="s">
        <v>1746</v>
      </c>
      <c r="B641" t="s">
        <v>1747</v>
      </c>
      <c r="C641" t="s">
        <v>53</v>
      </c>
      <c r="D641" t="s">
        <v>54</v>
      </c>
      <c r="E641" t="s">
        <v>55</v>
      </c>
      <c r="F641" t="s">
        <v>470</v>
      </c>
      <c r="G641" t="s">
        <v>57</v>
      </c>
      <c r="H641">
        <v>354.95</v>
      </c>
      <c r="I641" t="s">
        <v>19</v>
      </c>
      <c r="J641" t="s">
        <v>41</v>
      </c>
      <c r="K641">
        <v>76</v>
      </c>
    </row>
    <row r="642" spans="1:12" x14ac:dyDescent="0.2">
      <c r="A642" t="s">
        <v>1748</v>
      </c>
      <c r="B642" t="s">
        <v>1749</v>
      </c>
      <c r="C642" t="s">
        <v>53</v>
      </c>
      <c r="D642" t="s">
        <v>61</v>
      </c>
      <c r="E642" t="s">
        <v>198</v>
      </c>
      <c r="F642" t="s">
        <v>925</v>
      </c>
      <c r="G642" t="s">
        <v>77</v>
      </c>
      <c r="H642">
        <v>51.6</v>
      </c>
      <c r="I642" t="s">
        <v>65</v>
      </c>
      <c r="J642" t="s">
        <v>26</v>
      </c>
      <c r="K642">
        <v>44</v>
      </c>
      <c r="L642">
        <v>2</v>
      </c>
    </row>
    <row r="643" spans="1:12" x14ac:dyDescent="0.2">
      <c r="A643" t="s">
        <v>1750</v>
      </c>
      <c r="B643" t="s">
        <v>1751</v>
      </c>
      <c r="C643" t="s">
        <v>53</v>
      </c>
      <c r="D643" t="s">
        <v>37</v>
      </c>
      <c r="E643" t="s">
        <v>272</v>
      </c>
      <c r="F643" t="s">
        <v>1752</v>
      </c>
      <c r="G643" t="s">
        <v>64</v>
      </c>
      <c r="H643">
        <v>52.19</v>
      </c>
      <c r="I643" t="s">
        <v>49</v>
      </c>
      <c r="J643" t="s">
        <v>50</v>
      </c>
      <c r="K643">
        <v>69</v>
      </c>
      <c r="L643">
        <v>3</v>
      </c>
    </row>
    <row r="644" spans="1:12" x14ac:dyDescent="0.2">
      <c r="A644" t="s">
        <v>1753</v>
      </c>
      <c r="B644" t="s">
        <v>1754</v>
      </c>
      <c r="C644" t="s">
        <v>68</v>
      </c>
      <c r="D644" t="s">
        <v>80</v>
      </c>
      <c r="E644" t="s">
        <v>257</v>
      </c>
      <c r="F644" t="s">
        <v>145</v>
      </c>
      <c r="G644" t="s">
        <v>64</v>
      </c>
      <c r="H644">
        <v>393.9</v>
      </c>
      <c r="I644" t="s">
        <v>65</v>
      </c>
      <c r="J644" t="s">
        <v>41</v>
      </c>
      <c r="K644">
        <v>17</v>
      </c>
      <c r="L644">
        <v>3</v>
      </c>
    </row>
    <row r="645" spans="1:12" x14ac:dyDescent="0.2">
      <c r="A645" t="s">
        <v>1755</v>
      </c>
      <c r="B645" t="s">
        <v>1756</v>
      </c>
      <c r="C645" t="s">
        <v>68</v>
      </c>
      <c r="D645" t="s">
        <v>15</v>
      </c>
      <c r="E645" t="s">
        <v>161</v>
      </c>
      <c r="F645" t="s">
        <v>1757</v>
      </c>
      <c r="G645" t="s">
        <v>18</v>
      </c>
      <c r="H645">
        <v>268.75</v>
      </c>
      <c r="I645" t="s">
        <v>65</v>
      </c>
      <c r="J645" t="s">
        <v>50</v>
      </c>
      <c r="K645">
        <v>39</v>
      </c>
      <c r="L645">
        <v>4</v>
      </c>
    </row>
    <row r="646" spans="1:12" x14ac:dyDescent="0.2">
      <c r="A646" t="s">
        <v>1758</v>
      </c>
      <c r="B646" t="s">
        <v>1759</v>
      </c>
      <c r="C646" t="s">
        <v>68</v>
      </c>
      <c r="D646" t="s">
        <v>80</v>
      </c>
      <c r="E646" t="s">
        <v>55</v>
      </c>
      <c r="F646" t="s">
        <v>1760</v>
      </c>
      <c r="G646" t="s">
        <v>77</v>
      </c>
      <c r="H646">
        <v>100.25</v>
      </c>
      <c r="I646" t="s">
        <v>122</v>
      </c>
      <c r="J646" t="s">
        <v>50</v>
      </c>
      <c r="K646">
        <v>49</v>
      </c>
      <c r="L646">
        <v>5</v>
      </c>
    </row>
    <row r="647" spans="1:12" x14ac:dyDescent="0.2">
      <c r="A647" t="s">
        <v>1761</v>
      </c>
      <c r="B647" t="s">
        <v>1762</v>
      </c>
      <c r="C647" t="s">
        <v>68</v>
      </c>
      <c r="D647" t="s">
        <v>54</v>
      </c>
      <c r="E647" t="s">
        <v>118</v>
      </c>
      <c r="F647" t="s">
        <v>616</v>
      </c>
      <c r="G647" t="s">
        <v>91</v>
      </c>
      <c r="H647">
        <v>470.15</v>
      </c>
      <c r="I647" t="s">
        <v>122</v>
      </c>
      <c r="J647" t="s">
        <v>41</v>
      </c>
      <c r="K647">
        <v>25</v>
      </c>
      <c r="L647">
        <v>5</v>
      </c>
    </row>
    <row r="648" spans="1:12" x14ac:dyDescent="0.2">
      <c r="A648" t="s">
        <v>1763</v>
      </c>
      <c r="B648" t="s">
        <v>1764</v>
      </c>
      <c r="C648" t="s">
        <v>23</v>
      </c>
      <c r="D648" t="s">
        <v>54</v>
      </c>
      <c r="E648" t="s">
        <v>102</v>
      </c>
      <c r="F648" t="s">
        <v>1293</v>
      </c>
      <c r="G648" t="s">
        <v>91</v>
      </c>
      <c r="H648">
        <v>468.63</v>
      </c>
      <c r="I648" t="s">
        <v>65</v>
      </c>
      <c r="J648" t="s">
        <v>41</v>
      </c>
      <c r="K648">
        <v>27</v>
      </c>
    </row>
    <row r="649" spans="1:12" x14ac:dyDescent="0.2">
      <c r="A649" t="s">
        <v>1765</v>
      </c>
      <c r="B649" t="s">
        <v>1766</v>
      </c>
      <c r="C649" t="s">
        <v>44</v>
      </c>
      <c r="D649" t="s">
        <v>125</v>
      </c>
      <c r="E649" t="s">
        <v>69</v>
      </c>
      <c r="F649" t="s">
        <v>1767</v>
      </c>
      <c r="G649" t="s">
        <v>18</v>
      </c>
      <c r="H649">
        <v>291.2</v>
      </c>
      <c r="I649" t="s">
        <v>122</v>
      </c>
      <c r="J649" t="s">
        <v>50</v>
      </c>
      <c r="K649">
        <v>76</v>
      </c>
      <c r="L649">
        <v>1</v>
      </c>
    </row>
    <row r="650" spans="1:12" x14ac:dyDescent="0.2">
      <c r="A650" t="s">
        <v>1768</v>
      </c>
      <c r="B650" t="s">
        <v>1769</v>
      </c>
      <c r="C650" t="s">
        <v>68</v>
      </c>
      <c r="D650" t="s">
        <v>61</v>
      </c>
      <c r="E650" t="s">
        <v>129</v>
      </c>
      <c r="F650" t="s">
        <v>1770</v>
      </c>
      <c r="G650" t="s">
        <v>18</v>
      </c>
      <c r="H650">
        <v>231.32</v>
      </c>
      <c r="I650" t="s">
        <v>49</v>
      </c>
      <c r="J650" t="s">
        <v>41</v>
      </c>
      <c r="K650">
        <v>35</v>
      </c>
      <c r="L650">
        <v>1</v>
      </c>
    </row>
    <row r="651" spans="1:12" x14ac:dyDescent="0.2">
      <c r="A651" t="s">
        <v>1771</v>
      </c>
      <c r="B651" t="s">
        <v>851</v>
      </c>
      <c r="C651" t="s">
        <v>117</v>
      </c>
      <c r="D651" t="s">
        <v>89</v>
      </c>
      <c r="E651" t="s">
        <v>317</v>
      </c>
      <c r="F651" t="s">
        <v>1036</v>
      </c>
      <c r="G651" t="s">
        <v>48</v>
      </c>
      <c r="H651">
        <v>364</v>
      </c>
      <c r="I651" t="s">
        <v>49</v>
      </c>
      <c r="J651" t="s">
        <v>26</v>
      </c>
      <c r="K651">
        <v>57</v>
      </c>
      <c r="L651">
        <v>3</v>
      </c>
    </row>
    <row r="652" spans="1:12" x14ac:dyDescent="0.2">
      <c r="A652" t="s">
        <v>1772</v>
      </c>
      <c r="B652" t="s">
        <v>1773</v>
      </c>
      <c r="C652" t="s">
        <v>60</v>
      </c>
      <c r="D652" t="s">
        <v>139</v>
      </c>
      <c r="E652" t="s">
        <v>343</v>
      </c>
      <c r="F652" t="s">
        <v>1531</v>
      </c>
      <c r="G652" t="s">
        <v>18</v>
      </c>
      <c r="H652">
        <v>293.64</v>
      </c>
      <c r="I652" t="s">
        <v>65</v>
      </c>
      <c r="J652" t="s">
        <v>41</v>
      </c>
      <c r="K652">
        <v>23</v>
      </c>
      <c r="L652">
        <v>3</v>
      </c>
    </row>
    <row r="653" spans="1:12" x14ac:dyDescent="0.2">
      <c r="A653" t="s">
        <v>1774</v>
      </c>
      <c r="B653" t="s">
        <v>1775</v>
      </c>
      <c r="C653" t="s">
        <v>29</v>
      </c>
      <c r="D653" t="s">
        <v>125</v>
      </c>
      <c r="E653" t="s">
        <v>62</v>
      </c>
      <c r="F653" t="s">
        <v>482</v>
      </c>
      <c r="G653" t="s">
        <v>18</v>
      </c>
      <c r="H653">
        <v>445</v>
      </c>
      <c r="I653" t="s">
        <v>122</v>
      </c>
      <c r="J653" t="s">
        <v>50</v>
      </c>
      <c r="K653">
        <v>32</v>
      </c>
      <c r="L653">
        <v>1</v>
      </c>
    </row>
    <row r="654" spans="1:12" x14ac:dyDescent="0.2">
      <c r="A654" t="s">
        <v>1776</v>
      </c>
      <c r="B654" t="s">
        <v>1777</v>
      </c>
      <c r="C654" t="s">
        <v>60</v>
      </c>
      <c r="D654" t="s">
        <v>61</v>
      </c>
      <c r="E654" t="s">
        <v>238</v>
      </c>
      <c r="F654" t="s">
        <v>110</v>
      </c>
      <c r="G654" t="s">
        <v>64</v>
      </c>
      <c r="H654">
        <v>358.64</v>
      </c>
      <c r="I654" t="s">
        <v>65</v>
      </c>
      <c r="J654" t="s">
        <v>41</v>
      </c>
      <c r="K654">
        <v>62</v>
      </c>
      <c r="L654">
        <v>1</v>
      </c>
    </row>
    <row r="655" spans="1:12" x14ac:dyDescent="0.2">
      <c r="A655" t="s">
        <v>1778</v>
      </c>
      <c r="B655" t="s">
        <v>1779</v>
      </c>
      <c r="C655" t="s">
        <v>44</v>
      </c>
      <c r="D655" t="s">
        <v>45</v>
      </c>
      <c r="E655" t="s">
        <v>257</v>
      </c>
      <c r="F655" t="s">
        <v>806</v>
      </c>
      <c r="G655" t="s">
        <v>57</v>
      </c>
      <c r="H655">
        <v>418.93</v>
      </c>
      <c r="I655" t="s">
        <v>65</v>
      </c>
      <c r="J655" t="s">
        <v>50</v>
      </c>
      <c r="K655">
        <v>22</v>
      </c>
      <c r="L655">
        <v>4</v>
      </c>
    </row>
    <row r="656" spans="1:12" x14ac:dyDescent="0.2">
      <c r="A656" t="s">
        <v>1780</v>
      </c>
      <c r="B656" t="s">
        <v>1781</v>
      </c>
      <c r="C656" t="s">
        <v>44</v>
      </c>
      <c r="D656" t="s">
        <v>45</v>
      </c>
      <c r="E656" t="s">
        <v>154</v>
      </c>
      <c r="F656" t="s">
        <v>1258</v>
      </c>
      <c r="G656" t="s">
        <v>18</v>
      </c>
      <c r="H656">
        <v>376.06</v>
      </c>
      <c r="I656" t="s">
        <v>122</v>
      </c>
      <c r="J656" t="s">
        <v>50</v>
      </c>
      <c r="K656">
        <v>22</v>
      </c>
    </row>
    <row r="657" spans="1:12" x14ac:dyDescent="0.2">
      <c r="A657" t="s">
        <v>1782</v>
      </c>
      <c r="B657" t="s">
        <v>1453</v>
      </c>
      <c r="C657" t="s">
        <v>23</v>
      </c>
      <c r="D657" t="s">
        <v>74</v>
      </c>
      <c r="E657" t="s">
        <v>257</v>
      </c>
      <c r="F657" t="s">
        <v>1783</v>
      </c>
      <c r="G657" t="s">
        <v>40</v>
      </c>
      <c r="H657">
        <v>95.26</v>
      </c>
      <c r="I657" t="s">
        <v>122</v>
      </c>
      <c r="J657" t="s">
        <v>26</v>
      </c>
      <c r="K657">
        <v>16</v>
      </c>
      <c r="L657">
        <v>1</v>
      </c>
    </row>
    <row r="658" spans="1:12" x14ac:dyDescent="0.2">
      <c r="A658" t="s">
        <v>1784</v>
      </c>
      <c r="B658" t="s">
        <v>1785</v>
      </c>
      <c r="C658" t="s">
        <v>53</v>
      </c>
      <c r="D658" t="s">
        <v>54</v>
      </c>
      <c r="E658" t="s">
        <v>31</v>
      </c>
      <c r="F658" t="s">
        <v>470</v>
      </c>
      <c r="G658" t="s">
        <v>18</v>
      </c>
      <c r="H658">
        <v>53.71</v>
      </c>
      <c r="I658" t="s">
        <v>49</v>
      </c>
      <c r="J658" t="s">
        <v>50</v>
      </c>
      <c r="K658">
        <v>60</v>
      </c>
      <c r="L658">
        <v>3</v>
      </c>
    </row>
    <row r="659" spans="1:12" x14ac:dyDescent="0.2">
      <c r="A659" t="s">
        <v>1786</v>
      </c>
      <c r="B659" t="s">
        <v>1787</v>
      </c>
      <c r="C659" t="s">
        <v>73</v>
      </c>
      <c r="D659" t="s">
        <v>74</v>
      </c>
      <c r="E659" t="s">
        <v>272</v>
      </c>
      <c r="F659" t="s">
        <v>1788</v>
      </c>
      <c r="G659" t="s">
        <v>40</v>
      </c>
      <c r="H659">
        <v>482.8</v>
      </c>
      <c r="I659" t="s">
        <v>19</v>
      </c>
      <c r="J659" t="s">
        <v>20</v>
      </c>
      <c r="K659">
        <v>77</v>
      </c>
      <c r="L659">
        <v>1</v>
      </c>
    </row>
    <row r="660" spans="1:12" x14ac:dyDescent="0.2">
      <c r="A660" t="s">
        <v>1789</v>
      </c>
      <c r="B660" t="s">
        <v>1790</v>
      </c>
      <c r="C660" t="s">
        <v>73</v>
      </c>
      <c r="D660" t="s">
        <v>54</v>
      </c>
      <c r="E660" t="s">
        <v>317</v>
      </c>
      <c r="F660" t="s">
        <v>1269</v>
      </c>
      <c r="G660" t="s">
        <v>33</v>
      </c>
      <c r="H660">
        <v>294.68</v>
      </c>
      <c r="I660" t="s">
        <v>65</v>
      </c>
      <c r="J660" t="s">
        <v>50</v>
      </c>
      <c r="K660">
        <v>52</v>
      </c>
      <c r="L660">
        <v>2</v>
      </c>
    </row>
    <row r="661" spans="1:12" x14ac:dyDescent="0.2">
      <c r="A661" t="s">
        <v>1791</v>
      </c>
      <c r="B661" t="s">
        <v>1792</v>
      </c>
      <c r="C661" t="s">
        <v>44</v>
      </c>
      <c r="D661" t="s">
        <v>45</v>
      </c>
      <c r="E661" t="s">
        <v>272</v>
      </c>
      <c r="F661" t="s">
        <v>1793</v>
      </c>
      <c r="G661" t="s">
        <v>77</v>
      </c>
      <c r="H661">
        <v>356.85</v>
      </c>
      <c r="I661" t="s">
        <v>19</v>
      </c>
      <c r="J661" t="s">
        <v>20</v>
      </c>
      <c r="K661">
        <v>18</v>
      </c>
      <c r="L661">
        <v>3</v>
      </c>
    </row>
    <row r="662" spans="1:12" x14ac:dyDescent="0.2">
      <c r="A662" t="s">
        <v>1794</v>
      </c>
      <c r="B662" t="s">
        <v>1795</v>
      </c>
      <c r="C662" t="s">
        <v>23</v>
      </c>
      <c r="D662" t="s">
        <v>45</v>
      </c>
      <c r="E662" t="s">
        <v>85</v>
      </c>
      <c r="F662" t="s">
        <v>1796</v>
      </c>
      <c r="G662" t="s">
        <v>77</v>
      </c>
      <c r="H662">
        <v>220.87</v>
      </c>
      <c r="I662" t="s">
        <v>65</v>
      </c>
      <c r="J662" t="s">
        <v>26</v>
      </c>
      <c r="K662">
        <v>87</v>
      </c>
      <c r="L662">
        <v>2</v>
      </c>
    </row>
    <row r="663" spans="1:12" x14ac:dyDescent="0.2">
      <c r="A663" t="s">
        <v>1797</v>
      </c>
      <c r="B663" t="s">
        <v>1798</v>
      </c>
      <c r="C663" t="s">
        <v>29</v>
      </c>
      <c r="D663" t="s">
        <v>37</v>
      </c>
      <c r="E663" t="s">
        <v>198</v>
      </c>
      <c r="F663" t="s">
        <v>627</v>
      </c>
      <c r="G663" t="s">
        <v>77</v>
      </c>
      <c r="H663">
        <v>186.27</v>
      </c>
      <c r="I663" t="s">
        <v>49</v>
      </c>
      <c r="J663" t="s">
        <v>20</v>
      </c>
      <c r="K663">
        <v>56</v>
      </c>
    </row>
    <row r="664" spans="1:12" x14ac:dyDescent="0.2">
      <c r="A664" t="s">
        <v>1799</v>
      </c>
      <c r="B664" t="s">
        <v>1800</v>
      </c>
      <c r="C664" t="s">
        <v>68</v>
      </c>
      <c r="D664" t="s">
        <v>61</v>
      </c>
      <c r="E664" t="s">
        <v>238</v>
      </c>
      <c r="F664" t="s">
        <v>1801</v>
      </c>
      <c r="G664" t="s">
        <v>33</v>
      </c>
      <c r="H664">
        <v>247.35</v>
      </c>
      <c r="I664" t="s">
        <v>49</v>
      </c>
      <c r="J664" t="s">
        <v>50</v>
      </c>
      <c r="K664">
        <v>64</v>
      </c>
      <c r="L664">
        <v>2</v>
      </c>
    </row>
    <row r="665" spans="1:12" x14ac:dyDescent="0.2">
      <c r="A665" t="s">
        <v>1802</v>
      </c>
      <c r="B665" t="s">
        <v>1803</v>
      </c>
      <c r="C665" t="s">
        <v>23</v>
      </c>
      <c r="D665" t="s">
        <v>139</v>
      </c>
      <c r="E665" t="s">
        <v>317</v>
      </c>
      <c r="F665" t="s">
        <v>1711</v>
      </c>
      <c r="G665" t="s">
        <v>48</v>
      </c>
      <c r="H665">
        <v>238.86</v>
      </c>
      <c r="I665" t="s">
        <v>19</v>
      </c>
      <c r="J665" t="s">
        <v>50</v>
      </c>
      <c r="K665">
        <v>72</v>
      </c>
      <c r="L665">
        <v>5</v>
      </c>
    </row>
    <row r="666" spans="1:12" x14ac:dyDescent="0.2">
      <c r="A666" t="s">
        <v>1804</v>
      </c>
      <c r="B666" t="s">
        <v>1805</v>
      </c>
      <c r="C666" t="s">
        <v>117</v>
      </c>
      <c r="D666" t="s">
        <v>37</v>
      </c>
      <c r="E666" t="s">
        <v>180</v>
      </c>
      <c r="F666" t="s">
        <v>973</v>
      </c>
      <c r="G666" t="s">
        <v>33</v>
      </c>
      <c r="H666">
        <v>307.52</v>
      </c>
      <c r="I666" t="s">
        <v>65</v>
      </c>
      <c r="J666" t="s">
        <v>20</v>
      </c>
      <c r="K666">
        <v>32</v>
      </c>
      <c r="L666">
        <v>4</v>
      </c>
    </row>
    <row r="667" spans="1:12" x14ac:dyDescent="0.2">
      <c r="A667" t="s">
        <v>1806</v>
      </c>
      <c r="B667" t="s">
        <v>1807</v>
      </c>
      <c r="C667" t="s">
        <v>44</v>
      </c>
      <c r="D667" t="s">
        <v>89</v>
      </c>
      <c r="E667" t="s">
        <v>24</v>
      </c>
      <c r="F667" t="s">
        <v>945</v>
      </c>
      <c r="G667" t="s">
        <v>48</v>
      </c>
      <c r="H667">
        <v>53.92</v>
      </c>
      <c r="I667" t="s">
        <v>19</v>
      </c>
      <c r="J667" t="s">
        <v>20</v>
      </c>
      <c r="K667">
        <v>78</v>
      </c>
      <c r="L667">
        <v>4</v>
      </c>
    </row>
    <row r="668" spans="1:12" x14ac:dyDescent="0.2">
      <c r="A668" t="s">
        <v>1808</v>
      </c>
      <c r="B668" t="s">
        <v>1809</v>
      </c>
      <c r="C668" t="s">
        <v>29</v>
      </c>
      <c r="D668" t="s">
        <v>54</v>
      </c>
      <c r="E668" t="s">
        <v>161</v>
      </c>
      <c r="F668" t="s">
        <v>1767</v>
      </c>
      <c r="G668" t="s">
        <v>18</v>
      </c>
      <c r="H668">
        <v>449.33</v>
      </c>
      <c r="I668" t="s">
        <v>122</v>
      </c>
      <c r="J668" t="s">
        <v>20</v>
      </c>
      <c r="K668">
        <v>59</v>
      </c>
    </row>
    <row r="669" spans="1:12" x14ac:dyDescent="0.2">
      <c r="A669" t="s">
        <v>1810</v>
      </c>
      <c r="B669" t="s">
        <v>1811</v>
      </c>
      <c r="C669" t="s">
        <v>44</v>
      </c>
      <c r="D669" t="s">
        <v>45</v>
      </c>
      <c r="E669" t="s">
        <v>16</v>
      </c>
      <c r="F669" t="s">
        <v>1812</v>
      </c>
      <c r="G669" t="s">
        <v>40</v>
      </c>
      <c r="H669">
        <v>257.87</v>
      </c>
      <c r="I669" t="s">
        <v>19</v>
      </c>
      <c r="J669" t="s">
        <v>26</v>
      </c>
      <c r="K669">
        <v>79</v>
      </c>
      <c r="L669">
        <v>2</v>
      </c>
    </row>
    <row r="670" spans="1:12" x14ac:dyDescent="0.2">
      <c r="A670" t="s">
        <v>1813</v>
      </c>
      <c r="B670" t="s">
        <v>1814</v>
      </c>
      <c r="C670" t="s">
        <v>14</v>
      </c>
      <c r="D670" t="s">
        <v>80</v>
      </c>
      <c r="E670" t="s">
        <v>144</v>
      </c>
      <c r="F670" t="s">
        <v>1815</v>
      </c>
      <c r="G670" t="s">
        <v>18</v>
      </c>
      <c r="H670">
        <v>82.67</v>
      </c>
      <c r="I670" t="s">
        <v>19</v>
      </c>
      <c r="J670" t="s">
        <v>41</v>
      </c>
      <c r="K670">
        <v>18</v>
      </c>
      <c r="L670">
        <v>4</v>
      </c>
    </row>
    <row r="671" spans="1:12" x14ac:dyDescent="0.2">
      <c r="A671" t="s">
        <v>1816</v>
      </c>
      <c r="B671" t="s">
        <v>1817</v>
      </c>
      <c r="C671" t="s">
        <v>73</v>
      </c>
      <c r="D671" t="s">
        <v>45</v>
      </c>
      <c r="E671" t="s">
        <v>473</v>
      </c>
      <c r="F671" t="s">
        <v>1818</v>
      </c>
      <c r="G671" t="s">
        <v>40</v>
      </c>
      <c r="H671">
        <v>286.85000000000002</v>
      </c>
      <c r="I671" t="s">
        <v>19</v>
      </c>
      <c r="J671" t="s">
        <v>26</v>
      </c>
      <c r="K671">
        <v>87</v>
      </c>
      <c r="L671">
        <v>4</v>
      </c>
    </row>
    <row r="672" spans="1:12" x14ac:dyDescent="0.2">
      <c r="A672" t="s">
        <v>1819</v>
      </c>
      <c r="B672" t="s">
        <v>1820</v>
      </c>
      <c r="C672" t="s">
        <v>117</v>
      </c>
      <c r="D672" t="s">
        <v>15</v>
      </c>
      <c r="E672" t="s">
        <v>102</v>
      </c>
      <c r="F672" t="s">
        <v>1821</v>
      </c>
      <c r="G672" t="s">
        <v>48</v>
      </c>
      <c r="H672">
        <v>236.75</v>
      </c>
      <c r="I672" t="s">
        <v>65</v>
      </c>
      <c r="J672" t="s">
        <v>50</v>
      </c>
      <c r="K672">
        <v>20</v>
      </c>
    </row>
    <row r="673" spans="1:12" x14ac:dyDescent="0.2">
      <c r="A673" t="s">
        <v>1822</v>
      </c>
      <c r="B673" t="s">
        <v>1823</v>
      </c>
      <c r="C673" t="s">
        <v>106</v>
      </c>
      <c r="D673" t="s">
        <v>74</v>
      </c>
      <c r="E673" t="s">
        <v>238</v>
      </c>
      <c r="F673" t="s">
        <v>1824</v>
      </c>
      <c r="G673" t="s">
        <v>57</v>
      </c>
      <c r="H673">
        <v>152.12</v>
      </c>
      <c r="I673" t="s">
        <v>122</v>
      </c>
      <c r="J673" t="s">
        <v>20</v>
      </c>
      <c r="K673">
        <v>90</v>
      </c>
      <c r="L673">
        <v>5</v>
      </c>
    </row>
    <row r="674" spans="1:12" x14ac:dyDescent="0.2">
      <c r="A674" t="s">
        <v>1825</v>
      </c>
      <c r="B674" t="s">
        <v>1826</v>
      </c>
      <c r="C674" t="s">
        <v>73</v>
      </c>
      <c r="D674" t="s">
        <v>74</v>
      </c>
      <c r="E674" t="s">
        <v>144</v>
      </c>
      <c r="F674" t="s">
        <v>1827</v>
      </c>
      <c r="G674" t="s">
        <v>40</v>
      </c>
      <c r="H674">
        <v>326.77999999999997</v>
      </c>
      <c r="I674" t="s">
        <v>122</v>
      </c>
      <c r="J674" t="s">
        <v>20</v>
      </c>
      <c r="K674">
        <v>75</v>
      </c>
    </row>
    <row r="675" spans="1:12" x14ac:dyDescent="0.2">
      <c r="A675" t="s">
        <v>1828</v>
      </c>
      <c r="B675" t="s">
        <v>1829</v>
      </c>
      <c r="C675" t="s">
        <v>117</v>
      </c>
      <c r="D675" t="s">
        <v>37</v>
      </c>
      <c r="E675" t="s">
        <v>161</v>
      </c>
      <c r="F675" t="s">
        <v>1248</v>
      </c>
      <c r="G675" t="s">
        <v>40</v>
      </c>
      <c r="H675">
        <v>187.2</v>
      </c>
      <c r="I675" t="s">
        <v>122</v>
      </c>
      <c r="J675" t="s">
        <v>41</v>
      </c>
      <c r="K675">
        <v>74</v>
      </c>
      <c r="L675">
        <v>5</v>
      </c>
    </row>
    <row r="676" spans="1:12" x14ac:dyDescent="0.2">
      <c r="A676" t="s">
        <v>1830</v>
      </c>
      <c r="B676" t="s">
        <v>1831</v>
      </c>
      <c r="C676" t="s">
        <v>68</v>
      </c>
      <c r="D676" t="s">
        <v>45</v>
      </c>
      <c r="E676" t="s">
        <v>144</v>
      </c>
      <c r="F676" t="s">
        <v>613</v>
      </c>
      <c r="G676" t="s">
        <v>77</v>
      </c>
      <c r="H676">
        <v>254.1</v>
      </c>
      <c r="I676" t="s">
        <v>65</v>
      </c>
      <c r="J676" t="s">
        <v>41</v>
      </c>
      <c r="K676">
        <v>79</v>
      </c>
      <c r="L676">
        <v>3</v>
      </c>
    </row>
    <row r="677" spans="1:12" x14ac:dyDescent="0.2">
      <c r="A677" t="s">
        <v>1832</v>
      </c>
      <c r="B677" t="s">
        <v>1833</v>
      </c>
      <c r="C677" t="s">
        <v>23</v>
      </c>
      <c r="D677" t="s">
        <v>45</v>
      </c>
      <c r="E677" t="s">
        <v>129</v>
      </c>
      <c r="F677" t="s">
        <v>199</v>
      </c>
      <c r="G677" t="s">
        <v>33</v>
      </c>
      <c r="H677">
        <v>138.78</v>
      </c>
      <c r="I677" t="s">
        <v>122</v>
      </c>
      <c r="J677" t="s">
        <v>50</v>
      </c>
      <c r="K677">
        <v>34</v>
      </c>
    </row>
    <row r="678" spans="1:12" x14ac:dyDescent="0.2">
      <c r="A678" t="s">
        <v>1834</v>
      </c>
      <c r="B678" t="s">
        <v>1513</v>
      </c>
      <c r="C678" t="s">
        <v>117</v>
      </c>
      <c r="D678" t="s">
        <v>15</v>
      </c>
      <c r="E678" t="s">
        <v>161</v>
      </c>
      <c r="F678" t="s">
        <v>1835</v>
      </c>
      <c r="G678" t="s">
        <v>48</v>
      </c>
      <c r="H678">
        <v>182.02</v>
      </c>
      <c r="I678" t="s">
        <v>65</v>
      </c>
      <c r="J678" t="s">
        <v>41</v>
      </c>
      <c r="K678">
        <v>50</v>
      </c>
      <c r="L678">
        <v>2</v>
      </c>
    </row>
    <row r="679" spans="1:12" x14ac:dyDescent="0.2">
      <c r="A679" t="s">
        <v>1836</v>
      </c>
      <c r="B679" t="s">
        <v>1837</v>
      </c>
      <c r="C679" t="s">
        <v>117</v>
      </c>
      <c r="D679" t="s">
        <v>80</v>
      </c>
      <c r="E679" t="s">
        <v>132</v>
      </c>
      <c r="F679" t="s">
        <v>706</v>
      </c>
      <c r="G679" t="s">
        <v>64</v>
      </c>
      <c r="H679">
        <v>196.46</v>
      </c>
      <c r="I679" t="s">
        <v>65</v>
      </c>
      <c r="J679" t="s">
        <v>50</v>
      </c>
      <c r="K679">
        <v>15</v>
      </c>
    </row>
    <row r="680" spans="1:12" x14ac:dyDescent="0.2">
      <c r="A680" t="s">
        <v>1838</v>
      </c>
      <c r="B680" t="s">
        <v>1839</v>
      </c>
      <c r="C680" t="s">
        <v>29</v>
      </c>
      <c r="D680" t="s">
        <v>54</v>
      </c>
      <c r="E680" t="s">
        <v>257</v>
      </c>
      <c r="F680" t="s">
        <v>906</v>
      </c>
      <c r="G680" t="s">
        <v>64</v>
      </c>
      <c r="H680">
        <v>471.04</v>
      </c>
      <c r="I680" t="s">
        <v>49</v>
      </c>
      <c r="J680" t="s">
        <v>50</v>
      </c>
      <c r="K680">
        <v>65</v>
      </c>
      <c r="L680">
        <v>5</v>
      </c>
    </row>
    <row r="681" spans="1:12" x14ac:dyDescent="0.2">
      <c r="A681" t="s">
        <v>1840</v>
      </c>
      <c r="B681" t="s">
        <v>1841</v>
      </c>
      <c r="C681" t="s">
        <v>68</v>
      </c>
      <c r="D681" t="s">
        <v>37</v>
      </c>
      <c r="E681" t="s">
        <v>113</v>
      </c>
      <c r="F681" t="s">
        <v>770</v>
      </c>
      <c r="G681" t="s">
        <v>48</v>
      </c>
      <c r="H681">
        <v>444.85</v>
      </c>
      <c r="I681" t="s">
        <v>122</v>
      </c>
      <c r="J681" t="s">
        <v>50</v>
      </c>
      <c r="K681">
        <v>21</v>
      </c>
      <c r="L681">
        <v>4</v>
      </c>
    </row>
    <row r="682" spans="1:12" x14ac:dyDescent="0.2">
      <c r="A682" t="s">
        <v>1842</v>
      </c>
      <c r="B682" t="s">
        <v>1843</v>
      </c>
      <c r="C682" t="s">
        <v>23</v>
      </c>
      <c r="D682" t="s">
        <v>37</v>
      </c>
      <c r="E682" t="s">
        <v>62</v>
      </c>
      <c r="F682" t="s">
        <v>1499</v>
      </c>
      <c r="G682" t="s">
        <v>57</v>
      </c>
      <c r="H682">
        <v>90.82</v>
      </c>
      <c r="I682" t="s">
        <v>122</v>
      </c>
      <c r="J682" t="s">
        <v>50</v>
      </c>
      <c r="K682">
        <v>40</v>
      </c>
      <c r="L682">
        <v>3</v>
      </c>
    </row>
    <row r="683" spans="1:12" x14ac:dyDescent="0.2">
      <c r="A683" t="s">
        <v>1844</v>
      </c>
      <c r="B683" t="s">
        <v>1845</v>
      </c>
      <c r="C683" t="s">
        <v>106</v>
      </c>
      <c r="D683" t="s">
        <v>61</v>
      </c>
      <c r="E683" t="s">
        <v>198</v>
      </c>
      <c r="F683" t="s">
        <v>365</v>
      </c>
      <c r="G683" t="s">
        <v>48</v>
      </c>
      <c r="H683">
        <v>86.96</v>
      </c>
      <c r="I683" t="s">
        <v>122</v>
      </c>
      <c r="J683" t="s">
        <v>26</v>
      </c>
      <c r="K683">
        <v>20</v>
      </c>
      <c r="L683">
        <v>4</v>
      </c>
    </row>
    <row r="684" spans="1:12" x14ac:dyDescent="0.2">
      <c r="A684" t="s">
        <v>1846</v>
      </c>
      <c r="B684" t="s">
        <v>1847</v>
      </c>
      <c r="C684" t="s">
        <v>117</v>
      </c>
      <c r="D684" t="s">
        <v>74</v>
      </c>
      <c r="E684" t="s">
        <v>132</v>
      </c>
      <c r="F684" t="s">
        <v>1579</v>
      </c>
      <c r="G684" t="s">
        <v>33</v>
      </c>
      <c r="H684">
        <v>131.86000000000001</v>
      </c>
      <c r="I684" t="s">
        <v>19</v>
      </c>
      <c r="J684" t="s">
        <v>20</v>
      </c>
      <c r="K684">
        <v>20</v>
      </c>
      <c r="L684">
        <v>3</v>
      </c>
    </row>
    <row r="685" spans="1:12" x14ac:dyDescent="0.2">
      <c r="A685" t="s">
        <v>1848</v>
      </c>
      <c r="B685" t="s">
        <v>1849</v>
      </c>
      <c r="C685" t="s">
        <v>14</v>
      </c>
      <c r="D685" t="s">
        <v>80</v>
      </c>
      <c r="E685" t="s">
        <v>85</v>
      </c>
      <c r="F685" t="s">
        <v>1850</v>
      </c>
      <c r="G685" t="s">
        <v>91</v>
      </c>
      <c r="H685">
        <v>80.7</v>
      </c>
      <c r="I685" t="s">
        <v>65</v>
      </c>
      <c r="J685" t="s">
        <v>26</v>
      </c>
      <c r="K685">
        <v>87</v>
      </c>
      <c r="L685">
        <v>1</v>
      </c>
    </row>
    <row r="686" spans="1:12" x14ac:dyDescent="0.2">
      <c r="A686" t="s">
        <v>1851</v>
      </c>
      <c r="B686" t="s">
        <v>1852</v>
      </c>
      <c r="C686" t="s">
        <v>23</v>
      </c>
      <c r="D686" t="s">
        <v>125</v>
      </c>
      <c r="E686" t="s">
        <v>38</v>
      </c>
      <c r="F686" t="s">
        <v>1636</v>
      </c>
      <c r="G686" t="s">
        <v>18</v>
      </c>
      <c r="H686">
        <v>108.59</v>
      </c>
      <c r="I686" t="s">
        <v>65</v>
      </c>
      <c r="J686" t="s">
        <v>20</v>
      </c>
      <c r="K686">
        <v>71</v>
      </c>
    </row>
    <row r="687" spans="1:12" x14ac:dyDescent="0.2">
      <c r="A687" t="s">
        <v>1853</v>
      </c>
      <c r="B687" t="s">
        <v>1854</v>
      </c>
      <c r="C687" t="s">
        <v>73</v>
      </c>
      <c r="D687" t="s">
        <v>61</v>
      </c>
      <c r="E687" t="s">
        <v>46</v>
      </c>
      <c r="F687" t="s">
        <v>1855</v>
      </c>
      <c r="G687" t="s">
        <v>57</v>
      </c>
      <c r="H687">
        <v>467.96</v>
      </c>
      <c r="I687" t="s">
        <v>65</v>
      </c>
      <c r="J687" t="s">
        <v>20</v>
      </c>
      <c r="K687">
        <v>65</v>
      </c>
      <c r="L687">
        <v>4</v>
      </c>
    </row>
    <row r="688" spans="1:12" x14ac:dyDescent="0.2">
      <c r="A688" t="s">
        <v>1856</v>
      </c>
      <c r="B688" t="s">
        <v>1857</v>
      </c>
      <c r="C688" t="s">
        <v>14</v>
      </c>
      <c r="D688" t="s">
        <v>80</v>
      </c>
      <c r="E688" t="s">
        <v>85</v>
      </c>
      <c r="F688" t="s">
        <v>736</v>
      </c>
      <c r="G688" t="s">
        <v>57</v>
      </c>
      <c r="H688">
        <v>404.95</v>
      </c>
      <c r="I688" t="s">
        <v>122</v>
      </c>
      <c r="J688" t="s">
        <v>26</v>
      </c>
      <c r="K688">
        <v>73</v>
      </c>
      <c r="L688">
        <v>5</v>
      </c>
    </row>
    <row r="689" spans="1:12" x14ac:dyDescent="0.2">
      <c r="A689" t="s">
        <v>1858</v>
      </c>
      <c r="B689" t="s">
        <v>1859</v>
      </c>
      <c r="C689" t="s">
        <v>68</v>
      </c>
      <c r="D689" t="s">
        <v>54</v>
      </c>
      <c r="E689" t="s">
        <v>198</v>
      </c>
      <c r="F689" t="s">
        <v>1238</v>
      </c>
      <c r="G689" t="s">
        <v>40</v>
      </c>
      <c r="H689">
        <v>340.96</v>
      </c>
      <c r="I689" t="s">
        <v>65</v>
      </c>
      <c r="J689" t="s">
        <v>50</v>
      </c>
      <c r="K689">
        <v>87</v>
      </c>
      <c r="L689">
        <v>4</v>
      </c>
    </row>
    <row r="690" spans="1:12" x14ac:dyDescent="0.2">
      <c r="A690" t="s">
        <v>1860</v>
      </c>
      <c r="B690" t="s">
        <v>1861</v>
      </c>
      <c r="C690" t="s">
        <v>60</v>
      </c>
      <c r="D690" t="s">
        <v>80</v>
      </c>
      <c r="E690" t="s">
        <v>144</v>
      </c>
      <c r="F690" t="s">
        <v>1082</v>
      </c>
      <c r="G690" t="s">
        <v>57</v>
      </c>
      <c r="H690">
        <v>478.11</v>
      </c>
      <c r="I690" t="s">
        <v>122</v>
      </c>
      <c r="J690" t="s">
        <v>50</v>
      </c>
      <c r="K690">
        <v>31</v>
      </c>
      <c r="L690">
        <v>5</v>
      </c>
    </row>
    <row r="691" spans="1:12" x14ac:dyDescent="0.2">
      <c r="A691" t="s">
        <v>1862</v>
      </c>
      <c r="B691" t="s">
        <v>1863</v>
      </c>
      <c r="C691" t="s">
        <v>29</v>
      </c>
      <c r="D691" t="s">
        <v>54</v>
      </c>
      <c r="E691" t="s">
        <v>24</v>
      </c>
      <c r="F691" t="s">
        <v>1864</v>
      </c>
      <c r="G691" t="s">
        <v>57</v>
      </c>
      <c r="H691">
        <v>498.65</v>
      </c>
      <c r="I691" t="s">
        <v>49</v>
      </c>
      <c r="J691" t="s">
        <v>50</v>
      </c>
      <c r="K691">
        <v>28</v>
      </c>
      <c r="L691">
        <v>5</v>
      </c>
    </row>
    <row r="692" spans="1:12" x14ac:dyDescent="0.2">
      <c r="A692" t="s">
        <v>1865</v>
      </c>
      <c r="B692" t="s">
        <v>1866</v>
      </c>
      <c r="C692" t="s">
        <v>117</v>
      </c>
      <c r="D692" t="s">
        <v>125</v>
      </c>
      <c r="E692" t="s">
        <v>272</v>
      </c>
      <c r="F692" t="s">
        <v>920</v>
      </c>
      <c r="G692" t="s">
        <v>57</v>
      </c>
      <c r="H692">
        <v>150.19</v>
      </c>
      <c r="I692" t="s">
        <v>49</v>
      </c>
      <c r="J692" t="s">
        <v>20</v>
      </c>
      <c r="K692">
        <v>87</v>
      </c>
      <c r="L692">
        <v>1</v>
      </c>
    </row>
    <row r="693" spans="1:12" x14ac:dyDescent="0.2">
      <c r="A693" t="s">
        <v>1867</v>
      </c>
      <c r="B693" t="s">
        <v>1868</v>
      </c>
      <c r="C693" t="s">
        <v>117</v>
      </c>
      <c r="D693" t="s">
        <v>61</v>
      </c>
      <c r="E693" t="s">
        <v>257</v>
      </c>
      <c r="F693" t="s">
        <v>1869</v>
      </c>
      <c r="G693" t="s">
        <v>57</v>
      </c>
      <c r="H693">
        <v>76.790000000000006</v>
      </c>
      <c r="I693" t="s">
        <v>49</v>
      </c>
      <c r="J693" t="s">
        <v>41</v>
      </c>
      <c r="K693">
        <v>83</v>
      </c>
      <c r="L693">
        <v>2</v>
      </c>
    </row>
    <row r="694" spans="1:12" x14ac:dyDescent="0.2">
      <c r="A694" t="s">
        <v>1870</v>
      </c>
      <c r="B694" t="s">
        <v>1871</v>
      </c>
      <c r="C694" t="s">
        <v>23</v>
      </c>
      <c r="D694" t="s">
        <v>61</v>
      </c>
      <c r="E694" t="s">
        <v>102</v>
      </c>
      <c r="F694" t="s">
        <v>1872</v>
      </c>
      <c r="G694" t="s">
        <v>57</v>
      </c>
      <c r="H694">
        <v>113.78</v>
      </c>
      <c r="I694" t="s">
        <v>122</v>
      </c>
      <c r="J694" t="s">
        <v>41</v>
      </c>
      <c r="K694">
        <v>74</v>
      </c>
      <c r="L694">
        <v>2</v>
      </c>
    </row>
    <row r="695" spans="1:12" x14ac:dyDescent="0.2">
      <c r="A695" t="s">
        <v>1873</v>
      </c>
      <c r="B695" t="s">
        <v>1874</v>
      </c>
      <c r="C695" t="s">
        <v>117</v>
      </c>
      <c r="D695" t="s">
        <v>37</v>
      </c>
      <c r="E695" t="s">
        <v>69</v>
      </c>
      <c r="F695" t="s">
        <v>1875</v>
      </c>
      <c r="G695" t="s">
        <v>18</v>
      </c>
      <c r="H695">
        <v>498.8</v>
      </c>
      <c r="I695" t="s">
        <v>19</v>
      </c>
      <c r="J695" t="s">
        <v>26</v>
      </c>
      <c r="K695">
        <v>65</v>
      </c>
    </row>
    <row r="696" spans="1:12" x14ac:dyDescent="0.2">
      <c r="A696" t="s">
        <v>1876</v>
      </c>
      <c r="B696" t="s">
        <v>1877</v>
      </c>
      <c r="C696" t="s">
        <v>53</v>
      </c>
      <c r="D696" t="s">
        <v>37</v>
      </c>
      <c r="E696" t="s">
        <v>349</v>
      </c>
      <c r="F696" t="s">
        <v>1229</v>
      </c>
      <c r="G696" t="s">
        <v>40</v>
      </c>
      <c r="H696">
        <v>212.45</v>
      </c>
      <c r="I696" t="s">
        <v>19</v>
      </c>
      <c r="J696" t="s">
        <v>20</v>
      </c>
      <c r="K696">
        <v>17</v>
      </c>
      <c r="L696">
        <v>4</v>
      </c>
    </row>
    <row r="697" spans="1:12" x14ac:dyDescent="0.2">
      <c r="A697" t="s">
        <v>1878</v>
      </c>
      <c r="B697" t="s">
        <v>1879</v>
      </c>
      <c r="C697" t="s">
        <v>44</v>
      </c>
      <c r="D697" t="s">
        <v>45</v>
      </c>
      <c r="E697" t="s">
        <v>75</v>
      </c>
      <c r="F697" t="s">
        <v>1483</v>
      </c>
      <c r="G697" t="s">
        <v>48</v>
      </c>
      <c r="H697">
        <v>167.44</v>
      </c>
      <c r="I697" t="s">
        <v>65</v>
      </c>
      <c r="J697" t="s">
        <v>20</v>
      </c>
      <c r="K697">
        <v>63</v>
      </c>
      <c r="L697">
        <v>2</v>
      </c>
    </row>
    <row r="698" spans="1:12" x14ac:dyDescent="0.2">
      <c r="A698" t="s">
        <v>1880</v>
      </c>
      <c r="B698" t="s">
        <v>1881</v>
      </c>
      <c r="C698" t="s">
        <v>106</v>
      </c>
      <c r="D698" t="s">
        <v>37</v>
      </c>
      <c r="E698" t="s">
        <v>154</v>
      </c>
      <c r="F698" t="s">
        <v>1882</v>
      </c>
      <c r="G698" t="s">
        <v>18</v>
      </c>
      <c r="H698">
        <v>298.97000000000003</v>
      </c>
      <c r="I698" t="s">
        <v>122</v>
      </c>
      <c r="J698" t="s">
        <v>50</v>
      </c>
      <c r="K698">
        <v>28</v>
      </c>
    </row>
    <row r="699" spans="1:12" x14ac:dyDescent="0.2">
      <c r="A699" t="s">
        <v>1883</v>
      </c>
      <c r="B699" t="s">
        <v>1884</v>
      </c>
      <c r="C699" t="s">
        <v>23</v>
      </c>
      <c r="D699" t="s">
        <v>89</v>
      </c>
      <c r="E699" t="s">
        <v>97</v>
      </c>
      <c r="F699" t="s">
        <v>1885</v>
      </c>
      <c r="G699" t="s">
        <v>91</v>
      </c>
      <c r="H699">
        <v>405.67</v>
      </c>
      <c r="I699" t="s">
        <v>65</v>
      </c>
      <c r="J699" t="s">
        <v>26</v>
      </c>
      <c r="K699">
        <v>59</v>
      </c>
      <c r="L699">
        <v>5</v>
      </c>
    </row>
    <row r="700" spans="1:12" x14ac:dyDescent="0.2">
      <c r="A700" t="s">
        <v>1886</v>
      </c>
      <c r="B700" t="s">
        <v>1887</v>
      </c>
      <c r="C700" t="s">
        <v>44</v>
      </c>
      <c r="D700" t="s">
        <v>125</v>
      </c>
      <c r="E700" t="s">
        <v>24</v>
      </c>
      <c r="F700" t="s">
        <v>220</v>
      </c>
      <c r="G700" t="s">
        <v>64</v>
      </c>
      <c r="H700">
        <v>474.47</v>
      </c>
      <c r="I700" t="s">
        <v>122</v>
      </c>
      <c r="J700" t="s">
        <v>26</v>
      </c>
      <c r="K700">
        <v>38</v>
      </c>
      <c r="L700">
        <v>2</v>
      </c>
    </row>
    <row r="701" spans="1:12" x14ac:dyDescent="0.2">
      <c r="A701" t="s">
        <v>1888</v>
      </c>
      <c r="B701" t="s">
        <v>1889</v>
      </c>
      <c r="C701" t="s">
        <v>68</v>
      </c>
      <c r="D701" t="s">
        <v>15</v>
      </c>
      <c r="E701" t="s">
        <v>257</v>
      </c>
      <c r="F701" t="s">
        <v>522</v>
      </c>
      <c r="G701" t="s">
        <v>77</v>
      </c>
      <c r="H701">
        <v>320.47000000000003</v>
      </c>
      <c r="I701" t="s">
        <v>65</v>
      </c>
      <c r="J701" t="s">
        <v>26</v>
      </c>
      <c r="K701">
        <v>73</v>
      </c>
    </row>
    <row r="702" spans="1:12" x14ac:dyDescent="0.2">
      <c r="A702" t="s">
        <v>1890</v>
      </c>
      <c r="B702" t="s">
        <v>1891</v>
      </c>
      <c r="C702" t="s">
        <v>60</v>
      </c>
      <c r="D702" t="s">
        <v>37</v>
      </c>
      <c r="E702" t="s">
        <v>69</v>
      </c>
      <c r="F702" t="s">
        <v>814</v>
      </c>
      <c r="G702" t="s">
        <v>91</v>
      </c>
      <c r="H702">
        <v>389.26</v>
      </c>
      <c r="I702" t="s">
        <v>122</v>
      </c>
      <c r="J702" t="s">
        <v>26</v>
      </c>
      <c r="K702">
        <v>22</v>
      </c>
      <c r="L702">
        <v>3</v>
      </c>
    </row>
    <row r="703" spans="1:12" x14ac:dyDescent="0.2">
      <c r="A703" t="s">
        <v>1892</v>
      </c>
      <c r="B703" t="s">
        <v>1893</v>
      </c>
      <c r="C703" t="s">
        <v>106</v>
      </c>
      <c r="D703" t="s">
        <v>89</v>
      </c>
      <c r="E703" t="s">
        <v>69</v>
      </c>
      <c r="F703" t="s">
        <v>1366</v>
      </c>
      <c r="G703" t="s">
        <v>57</v>
      </c>
      <c r="H703">
        <v>108.26</v>
      </c>
      <c r="I703" t="s">
        <v>65</v>
      </c>
      <c r="J703" t="s">
        <v>20</v>
      </c>
      <c r="K703">
        <v>64</v>
      </c>
    </row>
    <row r="704" spans="1:12" x14ac:dyDescent="0.2">
      <c r="A704" t="s">
        <v>1894</v>
      </c>
      <c r="B704" t="s">
        <v>1895</v>
      </c>
      <c r="C704" t="s">
        <v>68</v>
      </c>
      <c r="D704" t="s">
        <v>125</v>
      </c>
      <c r="E704" t="s">
        <v>144</v>
      </c>
      <c r="F704" t="s">
        <v>739</v>
      </c>
      <c r="G704" t="s">
        <v>33</v>
      </c>
      <c r="H704">
        <v>219.51</v>
      </c>
      <c r="I704" t="s">
        <v>122</v>
      </c>
      <c r="J704" t="s">
        <v>20</v>
      </c>
      <c r="K704">
        <v>40</v>
      </c>
      <c r="L704">
        <v>3</v>
      </c>
    </row>
    <row r="705" spans="1:12" x14ac:dyDescent="0.2">
      <c r="A705" t="s">
        <v>1896</v>
      </c>
      <c r="B705" t="s">
        <v>1897</v>
      </c>
      <c r="C705" t="s">
        <v>68</v>
      </c>
      <c r="D705" t="s">
        <v>80</v>
      </c>
      <c r="E705" t="s">
        <v>16</v>
      </c>
      <c r="F705" t="s">
        <v>94</v>
      </c>
      <c r="G705" t="s">
        <v>77</v>
      </c>
      <c r="H705">
        <v>118.3</v>
      </c>
      <c r="I705" t="s">
        <v>19</v>
      </c>
      <c r="J705" t="s">
        <v>26</v>
      </c>
      <c r="K705">
        <v>55</v>
      </c>
      <c r="L705">
        <v>1</v>
      </c>
    </row>
    <row r="706" spans="1:12" x14ac:dyDescent="0.2">
      <c r="A706" t="s">
        <v>1898</v>
      </c>
      <c r="B706" t="s">
        <v>1899</v>
      </c>
      <c r="C706" t="s">
        <v>68</v>
      </c>
      <c r="D706" t="s">
        <v>139</v>
      </c>
      <c r="E706" t="s">
        <v>132</v>
      </c>
      <c r="F706" t="s">
        <v>1900</v>
      </c>
      <c r="G706" t="s">
        <v>18</v>
      </c>
      <c r="H706">
        <v>84.44</v>
      </c>
      <c r="I706" t="s">
        <v>122</v>
      </c>
      <c r="J706" t="s">
        <v>26</v>
      </c>
      <c r="K706">
        <v>27</v>
      </c>
      <c r="L706">
        <v>1</v>
      </c>
    </row>
    <row r="707" spans="1:12" x14ac:dyDescent="0.2">
      <c r="A707" t="s">
        <v>1901</v>
      </c>
      <c r="B707" t="s">
        <v>1902</v>
      </c>
      <c r="C707" t="s">
        <v>29</v>
      </c>
      <c r="D707" t="s">
        <v>74</v>
      </c>
      <c r="E707" t="s">
        <v>198</v>
      </c>
      <c r="F707" t="s">
        <v>1903</v>
      </c>
      <c r="G707" t="s">
        <v>48</v>
      </c>
      <c r="H707">
        <v>388.54</v>
      </c>
      <c r="I707" t="s">
        <v>122</v>
      </c>
      <c r="J707" t="s">
        <v>50</v>
      </c>
      <c r="K707">
        <v>88</v>
      </c>
      <c r="L707">
        <v>1</v>
      </c>
    </row>
    <row r="708" spans="1:12" x14ac:dyDescent="0.2">
      <c r="A708" t="s">
        <v>1904</v>
      </c>
      <c r="B708" t="s">
        <v>1905</v>
      </c>
      <c r="C708" t="s">
        <v>68</v>
      </c>
      <c r="D708" t="s">
        <v>45</v>
      </c>
      <c r="E708" t="s">
        <v>113</v>
      </c>
      <c r="F708" t="s">
        <v>242</v>
      </c>
      <c r="G708" t="s">
        <v>48</v>
      </c>
      <c r="H708">
        <v>296.22000000000003</v>
      </c>
      <c r="I708" t="s">
        <v>122</v>
      </c>
      <c r="J708" t="s">
        <v>26</v>
      </c>
      <c r="K708">
        <v>30</v>
      </c>
      <c r="L708">
        <v>4</v>
      </c>
    </row>
    <row r="709" spans="1:12" x14ac:dyDescent="0.2">
      <c r="A709" t="s">
        <v>1906</v>
      </c>
      <c r="B709" t="s">
        <v>1907</v>
      </c>
      <c r="C709" t="s">
        <v>106</v>
      </c>
      <c r="D709" t="s">
        <v>61</v>
      </c>
      <c r="E709" t="s">
        <v>38</v>
      </c>
      <c r="F709" t="s">
        <v>1663</v>
      </c>
      <c r="G709" t="s">
        <v>64</v>
      </c>
      <c r="H709">
        <v>57.67</v>
      </c>
      <c r="I709" t="s">
        <v>122</v>
      </c>
      <c r="J709" t="s">
        <v>26</v>
      </c>
      <c r="K709">
        <v>31</v>
      </c>
      <c r="L709">
        <v>5</v>
      </c>
    </row>
    <row r="710" spans="1:12" x14ac:dyDescent="0.2">
      <c r="A710" t="s">
        <v>1908</v>
      </c>
      <c r="B710" t="s">
        <v>1909</v>
      </c>
      <c r="C710" t="s">
        <v>23</v>
      </c>
      <c r="D710" t="s">
        <v>89</v>
      </c>
      <c r="E710" t="s">
        <v>113</v>
      </c>
      <c r="F710" t="s">
        <v>350</v>
      </c>
      <c r="G710" t="s">
        <v>48</v>
      </c>
      <c r="H710">
        <v>289.58999999999997</v>
      </c>
      <c r="I710" t="s">
        <v>19</v>
      </c>
      <c r="J710" t="s">
        <v>41</v>
      </c>
      <c r="K710">
        <v>22</v>
      </c>
      <c r="L710">
        <v>2</v>
      </c>
    </row>
    <row r="711" spans="1:12" x14ac:dyDescent="0.2">
      <c r="A711" t="s">
        <v>1910</v>
      </c>
      <c r="B711" t="s">
        <v>1911</v>
      </c>
      <c r="C711" t="s">
        <v>106</v>
      </c>
      <c r="D711" t="s">
        <v>15</v>
      </c>
      <c r="E711" t="s">
        <v>132</v>
      </c>
      <c r="F711" t="s">
        <v>1313</v>
      </c>
      <c r="G711" t="s">
        <v>40</v>
      </c>
      <c r="H711">
        <v>455.06</v>
      </c>
      <c r="I711" t="s">
        <v>65</v>
      </c>
      <c r="J711" t="s">
        <v>20</v>
      </c>
      <c r="K711">
        <v>84</v>
      </c>
      <c r="L711">
        <v>4</v>
      </c>
    </row>
    <row r="712" spans="1:12" x14ac:dyDescent="0.2">
      <c r="A712" t="s">
        <v>1912</v>
      </c>
      <c r="B712" t="s">
        <v>1913</v>
      </c>
      <c r="C712" t="s">
        <v>60</v>
      </c>
      <c r="D712" t="s">
        <v>139</v>
      </c>
      <c r="E712" t="s">
        <v>132</v>
      </c>
      <c r="F712" t="s">
        <v>1269</v>
      </c>
      <c r="G712" t="s">
        <v>48</v>
      </c>
      <c r="H712">
        <v>176.71</v>
      </c>
      <c r="I712" t="s">
        <v>122</v>
      </c>
      <c r="J712" t="s">
        <v>41</v>
      </c>
      <c r="K712">
        <v>82</v>
      </c>
      <c r="L712">
        <v>3</v>
      </c>
    </row>
    <row r="713" spans="1:12" x14ac:dyDescent="0.2">
      <c r="A713" t="s">
        <v>1914</v>
      </c>
      <c r="B713" t="s">
        <v>1374</v>
      </c>
      <c r="C713" t="s">
        <v>53</v>
      </c>
      <c r="D713" t="s">
        <v>89</v>
      </c>
      <c r="E713" t="s">
        <v>16</v>
      </c>
      <c r="F713" t="s">
        <v>920</v>
      </c>
      <c r="G713" t="s">
        <v>77</v>
      </c>
      <c r="H713">
        <v>403.16</v>
      </c>
      <c r="I713" t="s">
        <v>65</v>
      </c>
      <c r="J713" t="s">
        <v>26</v>
      </c>
      <c r="K713">
        <v>43</v>
      </c>
      <c r="L713">
        <v>5</v>
      </c>
    </row>
    <row r="714" spans="1:12" x14ac:dyDescent="0.2">
      <c r="A714" t="s">
        <v>1915</v>
      </c>
      <c r="B714" t="s">
        <v>1916</v>
      </c>
      <c r="C714" t="s">
        <v>106</v>
      </c>
      <c r="D714" t="s">
        <v>125</v>
      </c>
      <c r="E714" t="s">
        <v>55</v>
      </c>
      <c r="F714" t="s">
        <v>440</v>
      </c>
      <c r="G714" t="s">
        <v>33</v>
      </c>
      <c r="H714">
        <v>324.79000000000002</v>
      </c>
      <c r="I714" t="s">
        <v>122</v>
      </c>
      <c r="J714" t="s">
        <v>50</v>
      </c>
      <c r="K714">
        <v>74</v>
      </c>
    </row>
    <row r="715" spans="1:12" x14ac:dyDescent="0.2">
      <c r="A715" t="s">
        <v>1917</v>
      </c>
      <c r="B715" t="s">
        <v>1918</v>
      </c>
      <c r="C715" t="s">
        <v>44</v>
      </c>
      <c r="D715" t="s">
        <v>45</v>
      </c>
      <c r="E715" t="s">
        <v>161</v>
      </c>
      <c r="F715" t="s">
        <v>857</v>
      </c>
      <c r="G715" t="s">
        <v>18</v>
      </c>
      <c r="H715">
        <v>432.51</v>
      </c>
      <c r="I715" t="s">
        <v>19</v>
      </c>
      <c r="J715" t="s">
        <v>50</v>
      </c>
      <c r="K715">
        <v>82</v>
      </c>
      <c r="L715">
        <v>4</v>
      </c>
    </row>
    <row r="716" spans="1:12" x14ac:dyDescent="0.2">
      <c r="A716" t="s">
        <v>1919</v>
      </c>
      <c r="B716" t="s">
        <v>1920</v>
      </c>
      <c r="C716" t="s">
        <v>117</v>
      </c>
      <c r="D716" t="s">
        <v>89</v>
      </c>
      <c r="E716" t="s">
        <v>257</v>
      </c>
      <c r="F716" t="s">
        <v>1921</v>
      </c>
      <c r="G716" t="s">
        <v>40</v>
      </c>
      <c r="H716">
        <v>227.22</v>
      </c>
      <c r="I716" t="s">
        <v>19</v>
      </c>
      <c r="J716" t="s">
        <v>41</v>
      </c>
      <c r="K716">
        <v>19</v>
      </c>
      <c r="L716">
        <v>4</v>
      </c>
    </row>
    <row r="717" spans="1:12" x14ac:dyDescent="0.2">
      <c r="A717" t="s">
        <v>1922</v>
      </c>
      <c r="B717" t="s">
        <v>1923</v>
      </c>
      <c r="C717" t="s">
        <v>53</v>
      </c>
      <c r="D717" t="s">
        <v>45</v>
      </c>
      <c r="E717" t="s">
        <v>69</v>
      </c>
      <c r="F717" t="s">
        <v>1483</v>
      </c>
      <c r="G717" t="s">
        <v>40</v>
      </c>
      <c r="H717">
        <v>215.19</v>
      </c>
      <c r="I717" t="s">
        <v>19</v>
      </c>
      <c r="J717" t="s">
        <v>26</v>
      </c>
      <c r="K717">
        <v>38</v>
      </c>
      <c r="L717">
        <v>2</v>
      </c>
    </row>
    <row r="718" spans="1:12" x14ac:dyDescent="0.2">
      <c r="A718" t="s">
        <v>1924</v>
      </c>
      <c r="B718" t="s">
        <v>1925</v>
      </c>
      <c r="C718" t="s">
        <v>23</v>
      </c>
      <c r="D718" t="s">
        <v>89</v>
      </c>
      <c r="E718" t="s">
        <v>473</v>
      </c>
      <c r="F718" t="s">
        <v>1232</v>
      </c>
      <c r="G718" t="s">
        <v>77</v>
      </c>
      <c r="H718">
        <v>201.22</v>
      </c>
      <c r="I718" t="s">
        <v>65</v>
      </c>
      <c r="J718" t="s">
        <v>26</v>
      </c>
      <c r="K718">
        <v>54</v>
      </c>
      <c r="L718">
        <v>1</v>
      </c>
    </row>
    <row r="719" spans="1:12" x14ac:dyDescent="0.2">
      <c r="A719" t="s">
        <v>1926</v>
      </c>
      <c r="B719" t="s">
        <v>1927</v>
      </c>
      <c r="C719" t="s">
        <v>23</v>
      </c>
      <c r="D719" t="s">
        <v>80</v>
      </c>
      <c r="E719" t="s">
        <v>55</v>
      </c>
      <c r="F719" t="s">
        <v>165</v>
      </c>
      <c r="G719" t="s">
        <v>91</v>
      </c>
      <c r="H719">
        <v>130.43</v>
      </c>
      <c r="I719" t="s">
        <v>65</v>
      </c>
      <c r="J719" t="s">
        <v>50</v>
      </c>
      <c r="K719">
        <v>35</v>
      </c>
      <c r="L719">
        <v>3</v>
      </c>
    </row>
    <row r="720" spans="1:12" x14ac:dyDescent="0.2">
      <c r="A720" t="s">
        <v>1928</v>
      </c>
      <c r="B720" t="s">
        <v>1929</v>
      </c>
      <c r="C720" t="s">
        <v>73</v>
      </c>
      <c r="D720" t="s">
        <v>54</v>
      </c>
      <c r="E720" t="s">
        <v>75</v>
      </c>
      <c r="F720" t="s">
        <v>1930</v>
      </c>
      <c r="G720" t="s">
        <v>57</v>
      </c>
      <c r="H720">
        <v>395.59</v>
      </c>
      <c r="I720" t="s">
        <v>65</v>
      </c>
      <c r="J720" t="s">
        <v>26</v>
      </c>
      <c r="K720">
        <v>48</v>
      </c>
      <c r="L720">
        <v>1</v>
      </c>
    </row>
    <row r="721" spans="1:12" x14ac:dyDescent="0.2">
      <c r="A721" t="s">
        <v>1931</v>
      </c>
      <c r="B721" t="s">
        <v>1932</v>
      </c>
      <c r="C721" t="s">
        <v>14</v>
      </c>
      <c r="D721" t="s">
        <v>80</v>
      </c>
      <c r="E721" t="s">
        <v>31</v>
      </c>
      <c r="F721" t="s">
        <v>1933</v>
      </c>
      <c r="G721" t="s">
        <v>57</v>
      </c>
      <c r="H721">
        <v>175.99</v>
      </c>
      <c r="I721" t="s">
        <v>65</v>
      </c>
      <c r="J721" t="s">
        <v>50</v>
      </c>
      <c r="K721">
        <v>80</v>
      </c>
      <c r="L721">
        <v>3</v>
      </c>
    </row>
    <row r="722" spans="1:12" x14ac:dyDescent="0.2">
      <c r="A722" t="s">
        <v>1934</v>
      </c>
      <c r="B722" t="s">
        <v>1935</v>
      </c>
      <c r="C722" t="s">
        <v>23</v>
      </c>
      <c r="D722" t="s">
        <v>15</v>
      </c>
      <c r="E722" t="s">
        <v>75</v>
      </c>
      <c r="F722" t="s">
        <v>1936</v>
      </c>
      <c r="G722" t="s">
        <v>33</v>
      </c>
      <c r="H722">
        <v>326.83999999999997</v>
      </c>
      <c r="I722" t="s">
        <v>65</v>
      </c>
      <c r="J722" t="s">
        <v>26</v>
      </c>
      <c r="K722">
        <v>25</v>
      </c>
      <c r="L722">
        <v>2</v>
      </c>
    </row>
    <row r="723" spans="1:12" x14ac:dyDescent="0.2">
      <c r="A723" t="s">
        <v>1937</v>
      </c>
      <c r="B723" t="s">
        <v>1938</v>
      </c>
      <c r="C723" t="s">
        <v>60</v>
      </c>
      <c r="D723" t="s">
        <v>125</v>
      </c>
      <c r="E723" t="s">
        <v>16</v>
      </c>
      <c r="F723" t="s">
        <v>936</v>
      </c>
      <c r="G723" t="s">
        <v>57</v>
      </c>
      <c r="H723">
        <v>209.29</v>
      </c>
      <c r="I723" t="s">
        <v>49</v>
      </c>
      <c r="J723" t="s">
        <v>20</v>
      </c>
      <c r="K723">
        <v>32</v>
      </c>
      <c r="L723">
        <v>4</v>
      </c>
    </row>
    <row r="724" spans="1:12" x14ac:dyDescent="0.2">
      <c r="A724" t="s">
        <v>1939</v>
      </c>
      <c r="B724" t="s">
        <v>1940</v>
      </c>
      <c r="C724" t="s">
        <v>73</v>
      </c>
      <c r="D724" t="s">
        <v>45</v>
      </c>
      <c r="E724" t="s">
        <v>102</v>
      </c>
      <c r="F724" t="s">
        <v>1941</v>
      </c>
      <c r="G724" t="s">
        <v>33</v>
      </c>
      <c r="H724">
        <v>467.04</v>
      </c>
      <c r="I724" t="s">
        <v>122</v>
      </c>
      <c r="J724" t="s">
        <v>41</v>
      </c>
      <c r="K724">
        <v>16</v>
      </c>
      <c r="L724">
        <v>4</v>
      </c>
    </row>
    <row r="725" spans="1:12" x14ac:dyDescent="0.2">
      <c r="A725" t="s">
        <v>1942</v>
      </c>
      <c r="B725" t="s">
        <v>1943</v>
      </c>
      <c r="C725" t="s">
        <v>60</v>
      </c>
      <c r="D725" t="s">
        <v>125</v>
      </c>
      <c r="E725" t="s">
        <v>38</v>
      </c>
      <c r="F725" t="s">
        <v>1815</v>
      </c>
      <c r="G725" t="s">
        <v>77</v>
      </c>
      <c r="H725">
        <v>145.66</v>
      </c>
      <c r="I725" t="s">
        <v>65</v>
      </c>
      <c r="J725" t="s">
        <v>50</v>
      </c>
      <c r="K725">
        <v>42</v>
      </c>
    </row>
    <row r="726" spans="1:12" x14ac:dyDescent="0.2">
      <c r="A726" t="s">
        <v>1944</v>
      </c>
      <c r="B726" t="s">
        <v>1945</v>
      </c>
      <c r="C726" t="s">
        <v>117</v>
      </c>
      <c r="D726" t="s">
        <v>15</v>
      </c>
      <c r="E726" t="s">
        <v>118</v>
      </c>
      <c r="F726" t="s">
        <v>1310</v>
      </c>
      <c r="G726" t="s">
        <v>40</v>
      </c>
      <c r="H726">
        <v>414.72</v>
      </c>
      <c r="I726" t="s">
        <v>65</v>
      </c>
      <c r="J726" t="s">
        <v>20</v>
      </c>
      <c r="K726">
        <v>39</v>
      </c>
      <c r="L726">
        <v>5</v>
      </c>
    </row>
    <row r="727" spans="1:12" x14ac:dyDescent="0.2">
      <c r="A727" t="s">
        <v>1946</v>
      </c>
      <c r="B727" t="s">
        <v>1947</v>
      </c>
      <c r="C727" t="s">
        <v>68</v>
      </c>
      <c r="D727" t="s">
        <v>89</v>
      </c>
      <c r="E727" t="s">
        <v>343</v>
      </c>
      <c r="F727" t="s">
        <v>1948</v>
      </c>
      <c r="G727" t="s">
        <v>64</v>
      </c>
      <c r="H727">
        <v>160.63</v>
      </c>
      <c r="I727" t="s">
        <v>49</v>
      </c>
      <c r="J727" t="s">
        <v>41</v>
      </c>
      <c r="K727">
        <v>35</v>
      </c>
      <c r="L727">
        <v>4</v>
      </c>
    </row>
    <row r="728" spans="1:12" x14ac:dyDescent="0.2">
      <c r="A728" t="s">
        <v>1949</v>
      </c>
      <c r="B728" t="s">
        <v>1950</v>
      </c>
      <c r="C728" t="s">
        <v>60</v>
      </c>
      <c r="D728" t="s">
        <v>89</v>
      </c>
      <c r="E728" t="s">
        <v>62</v>
      </c>
      <c r="F728" t="s">
        <v>1951</v>
      </c>
      <c r="G728" t="s">
        <v>40</v>
      </c>
      <c r="H728">
        <v>309.43</v>
      </c>
      <c r="I728" t="s">
        <v>19</v>
      </c>
      <c r="J728" t="s">
        <v>41</v>
      </c>
      <c r="K728">
        <v>65</v>
      </c>
      <c r="L728">
        <v>1</v>
      </c>
    </row>
    <row r="729" spans="1:12" x14ac:dyDescent="0.2">
      <c r="A729" t="s">
        <v>1952</v>
      </c>
      <c r="B729" t="s">
        <v>1953</v>
      </c>
      <c r="C729" t="s">
        <v>44</v>
      </c>
      <c r="D729" t="s">
        <v>139</v>
      </c>
      <c r="E729" t="s">
        <v>81</v>
      </c>
      <c r="F729" t="s">
        <v>1954</v>
      </c>
      <c r="G729" t="s">
        <v>40</v>
      </c>
      <c r="H729">
        <v>242.41</v>
      </c>
      <c r="I729" t="s">
        <v>19</v>
      </c>
      <c r="J729" t="s">
        <v>26</v>
      </c>
      <c r="K729">
        <v>88</v>
      </c>
      <c r="L729">
        <v>3</v>
      </c>
    </row>
    <row r="730" spans="1:12" x14ac:dyDescent="0.2">
      <c r="A730" t="s">
        <v>1955</v>
      </c>
      <c r="B730" t="s">
        <v>1956</v>
      </c>
      <c r="C730" t="s">
        <v>29</v>
      </c>
      <c r="D730" t="s">
        <v>54</v>
      </c>
      <c r="E730" t="s">
        <v>62</v>
      </c>
      <c r="F730" t="s">
        <v>1582</v>
      </c>
      <c r="G730" t="s">
        <v>91</v>
      </c>
      <c r="H730">
        <v>72.62</v>
      </c>
      <c r="I730" t="s">
        <v>19</v>
      </c>
      <c r="J730" t="s">
        <v>20</v>
      </c>
      <c r="K730">
        <v>81</v>
      </c>
    </row>
    <row r="731" spans="1:12" x14ac:dyDescent="0.2">
      <c r="A731" t="s">
        <v>1957</v>
      </c>
      <c r="B731" t="s">
        <v>1958</v>
      </c>
      <c r="C731" t="s">
        <v>29</v>
      </c>
      <c r="D731" t="s">
        <v>139</v>
      </c>
      <c r="E731" t="s">
        <v>302</v>
      </c>
      <c r="F731" t="s">
        <v>1959</v>
      </c>
      <c r="G731" t="s">
        <v>40</v>
      </c>
      <c r="H731">
        <v>223.1</v>
      </c>
      <c r="I731" t="s">
        <v>122</v>
      </c>
      <c r="J731" t="s">
        <v>50</v>
      </c>
      <c r="K731">
        <v>51</v>
      </c>
      <c r="L731">
        <v>2</v>
      </c>
    </row>
    <row r="732" spans="1:12" x14ac:dyDescent="0.2">
      <c r="A732" t="s">
        <v>1960</v>
      </c>
      <c r="B732" t="s">
        <v>1961</v>
      </c>
      <c r="C732" t="s">
        <v>60</v>
      </c>
      <c r="D732" t="s">
        <v>89</v>
      </c>
      <c r="E732" t="s">
        <v>24</v>
      </c>
      <c r="F732" t="s">
        <v>824</v>
      </c>
      <c r="G732" t="s">
        <v>40</v>
      </c>
      <c r="H732">
        <v>405.52</v>
      </c>
      <c r="I732" t="s">
        <v>19</v>
      </c>
      <c r="J732" t="s">
        <v>41</v>
      </c>
      <c r="K732">
        <v>22</v>
      </c>
      <c r="L732">
        <v>3</v>
      </c>
    </row>
    <row r="733" spans="1:12" x14ac:dyDescent="0.2">
      <c r="A733" t="s">
        <v>1962</v>
      </c>
      <c r="B733" t="s">
        <v>1963</v>
      </c>
      <c r="C733" t="s">
        <v>117</v>
      </c>
      <c r="D733" t="s">
        <v>54</v>
      </c>
      <c r="E733" t="s">
        <v>161</v>
      </c>
      <c r="F733" t="s">
        <v>1031</v>
      </c>
      <c r="G733" t="s">
        <v>48</v>
      </c>
      <c r="H733">
        <v>236.15</v>
      </c>
      <c r="I733" t="s">
        <v>122</v>
      </c>
      <c r="J733" t="s">
        <v>50</v>
      </c>
      <c r="K733">
        <v>34</v>
      </c>
      <c r="L733">
        <v>4</v>
      </c>
    </row>
    <row r="734" spans="1:12" x14ac:dyDescent="0.2">
      <c r="A734" t="s">
        <v>1964</v>
      </c>
      <c r="B734" t="s">
        <v>1965</v>
      </c>
      <c r="C734" t="s">
        <v>68</v>
      </c>
      <c r="D734" t="s">
        <v>45</v>
      </c>
      <c r="E734" t="s">
        <v>140</v>
      </c>
      <c r="F734" t="s">
        <v>1966</v>
      </c>
      <c r="G734" t="s">
        <v>64</v>
      </c>
      <c r="H734">
        <v>361.87</v>
      </c>
      <c r="I734" t="s">
        <v>122</v>
      </c>
      <c r="J734" t="s">
        <v>26</v>
      </c>
      <c r="K734">
        <v>57</v>
      </c>
      <c r="L734">
        <v>4</v>
      </c>
    </row>
    <row r="735" spans="1:12" x14ac:dyDescent="0.2">
      <c r="A735" t="s">
        <v>1967</v>
      </c>
      <c r="B735" t="s">
        <v>1968</v>
      </c>
      <c r="C735" t="s">
        <v>73</v>
      </c>
      <c r="D735" t="s">
        <v>89</v>
      </c>
      <c r="E735" t="s">
        <v>75</v>
      </c>
      <c r="F735" t="s">
        <v>1969</v>
      </c>
      <c r="G735" t="s">
        <v>40</v>
      </c>
      <c r="H735">
        <v>109.22</v>
      </c>
      <c r="I735" t="s">
        <v>19</v>
      </c>
      <c r="J735" t="s">
        <v>20</v>
      </c>
      <c r="K735">
        <v>22</v>
      </c>
      <c r="L735">
        <v>1</v>
      </c>
    </row>
    <row r="736" spans="1:12" x14ac:dyDescent="0.2">
      <c r="A736" t="s">
        <v>1970</v>
      </c>
      <c r="B736" t="s">
        <v>1971</v>
      </c>
      <c r="C736" t="s">
        <v>23</v>
      </c>
      <c r="D736" t="s">
        <v>45</v>
      </c>
      <c r="E736" t="s">
        <v>257</v>
      </c>
      <c r="F736" t="s">
        <v>1649</v>
      </c>
      <c r="G736" t="s">
        <v>57</v>
      </c>
      <c r="H736">
        <v>137.86000000000001</v>
      </c>
      <c r="I736" t="s">
        <v>65</v>
      </c>
      <c r="J736" t="s">
        <v>26</v>
      </c>
      <c r="K736">
        <v>73</v>
      </c>
      <c r="L736">
        <v>3</v>
      </c>
    </row>
    <row r="737" spans="1:12" x14ac:dyDescent="0.2">
      <c r="A737" t="s">
        <v>1972</v>
      </c>
      <c r="B737" t="s">
        <v>1973</v>
      </c>
      <c r="C737" t="s">
        <v>29</v>
      </c>
      <c r="D737" t="s">
        <v>89</v>
      </c>
      <c r="E737" t="s">
        <v>161</v>
      </c>
      <c r="F737" t="s">
        <v>730</v>
      </c>
      <c r="G737" t="s">
        <v>64</v>
      </c>
      <c r="H737">
        <v>458.07</v>
      </c>
      <c r="I737" t="s">
        <v>65</v>
      </c>
      <c r="J737" t="s">
        <v>26</v>
      </c>
      <c r="K737">
        <v>83</v>
      </c>
      <c r="L737">
        <v>5</v>
      </c>
    </row>
    <row r="738" spans="1:12" x14ac:dyDescent="0.2">
      <c r="A738" t="s">
        <v>1974</v>
      </c>
      <c r="B738" t="s">
        <v>1975</v>
      </c>
      <c r="C738" t="s">
        <v>23</v>
      </c>
      <c r="D738" t="s">
        <v>61</v>
      </c>
      <c r="E738" t="s">
        <v>46</v>
      </c>
      <c r="F738" t="s">
        <v>1412</v>
      </c>
      <c r="G738" t="s">
        <v>33</v>
      </c>
      <c r="H738">
        <v>130.25</v>
      </c>
      <c r="I738" t="s">
        <v>19</v>
      </c>
      <c r="J738" t="s">
        <v>20</v>
      </c>
      <c r="K738">
        <v>49</v>
      </c>
      <c r="L738">
        <v>5</v>
      </c>
    </row>
    <row r="739" spans="1:12" x14ac:dyDescent="0.2">
      <c r="A739" t="s">
        <v>1976</v>
      </c>
      <c r="B739" t="s">
        <v>1977</v>
      </c>
      <c r="C739" t="s">
        <v>14</v>
      </c>
      <c r="D739" t="s">
        <v>80</v>
      </c>
      <c r="E739" t="s">
        <v>69</v>
      </c>
      <c r="F739" t="s">
        <v>779</v>
      </c>
      <c r="G739" t="s">
        <v>64</v>
      </c>
      <c r="H739">
        <v>107.24</v>
      </c>
      <c r="I739" t="s">
        <v>122</v>
      </c>
      <c r="J739" t="s">
        <v>26</v>
      </c>
      <c r="K739">
        <v>45</v>
      </c>
    </row>
    <row r="740" spans="1:12" x14ac:dyDescent="0.2">
      <c r="A740" t="s">
        <v>1978</v>
      </c>
      <c r="B740" t="s">
        <v>1979</v>
      </c>
      <c r="C740" t="s">
        <v>44</v>
      </c>
      <c r="D740" t="s">
        <v>125</v>
      </c>
      <c r="E740" t="s">
        <v>129</v>
      </c>
      <c r="F740" t="s">
        <v>854</v>
      </c>
      <c r="G740" t="s">
        <v>57</v>
      </c>
      <c r="H740">
        <v>476.45</v>
      </c>
      <c r="I740" t="s">
        <v>65</v>
      </c>
      <c r="J740" t="s">
        <v>41</v>
      </c>
      <c r="K740">
        <v>82</v>
      </c>
    </row>
    <row r="741" spans="1:12" x14ac:dyDescent="0.2">
      <c r="A741" t="s">
        <v>1980</v>
      </c>
      <c r="B741" t="s">
        <v>1981</v>
      </c>
      <c r="C741" t="s">
        <v>44</v>
      </c>
      <c r="D741" t="s">
        <v>15</v>
      </c>
      <c r="E741" t="s">
        <v>97</v>
      </c>
      <c r="F741" t="s">
        <v>1982</v>
      </c>
      <c r="G741" t="s">
        <v>77</v>
      </c>
      <c r="H741">
        <v>265.74</v>
      </c>
      <c r="I741" t="s">
        <v>49</v>
      </c>
      <c r="J741" t="s">
        <v>41</v>
      </c>
      <c r="K741">
        <v>64</v>
      </c>
      <c r="L741">
        <v>3</v>
      </c>
    </row>
    <row r="742" spans="1:12" x14ac:dyDescent="0.2">
      <c r="A742" t="s">
        <v>1983</v>
      </c>
      <c r="B742" t="s">
        <v>1854</v>
      </c>
      <c r="C742" t="s">
        <v>44</v>
      </c>
      <c r="D742" t="s">
        <v>54</v>
      </c>
      <c r="E742" t="s">
        <v>140</v>
      </c>
      <c r="F742" t="s">
        <v>1984</v>
      </c>
      <c r="G742" t="s">
        <v>33</v>
      </c>
      <c r="H742">
        <v>101.19</v>
      </c>
      <c r="I742" t="s">
        <v>49</v>
      </c>
      <c r="J742" t="s">
        <v>26</v>
      </c>
      <c r="K742">
        <v>17</v>
      </c>
    </row>
    <row r="743" spans="1:12" x14ac:dyDescent="0.2">
      <c r="A743" t="s">
        <v>1985</v>
      </c>
      <c r="B743" t="s">
        <v>610</v>
      </c>
      <c r="C743" t="s">
        <v>68</v>
      </c>
      <c r="D743" t="s">
        <v>80</v>
      </c>
      <c r="E743" t="s">
        <v>102</v>
      </c>
      <c r="F743" t="s">
        <v>1139</v>
      </c>
      <c r="G743" t="s">
        <v>48</v>
      </c>
      <c r="H743">
        <v>321.57</v>
      </c>
      <c r="I743" t="s">
        <v>19</v>
      </c>
      <c r="J743" t="s">
        <v>50</v>
      </c>
      <c r="K743">
        <v>20</v>
      </c>
      <c r="L743">
        <v>4</v>
      </c>
    </row>
    <row r="744" spans="1:12" x14ac:dyDescent="0.2">
      <c r="A744" t="s">
        <v>1986</v>
      </c>
      <c r="B744" t="s">
        <v>1987</v>
      </c>
      <c r="C744" t="s">
        <v>14</v>
      </c>
      <c r="D744" t="s">
        <v>37</v>
      </c>
      <c r="E744" t="s">
        <v>302</v>
      </c>
      <c r="F744" t="s">
        <v>1619</v>
      </c>
      <c r="G744" t="s">
        <v>33</v>
      </c>
      <c r="H744">
        <v>53.94</v>
      </c>
      <c r="I744" t="s">
        <v>49</v>
      </c>
      <c r="J744" t="s">
        <v>20</v>
      </c>
      <c r="K744">
        <v>71</v>
      </c>
    </row>
    <row r="745" spans="1:12" x14ac:dyDescent="0.2">
      <c r="A745" t="s">
        <v>1988</v>
      </c>
      <c r="B745" t="s">
        <v>1989</v>
      </c>
      <c r="C745" t="s">
        <v>14</v>
      </c>
      <c r="D745" t="s">
        <v>80</v>
      </c>
      <c r="E745" t="s">
        <v>144</v>
      </c>
      <c r="F745" t="s">
        <v>1990</v>
      </c>
      <c r="G745" t="s">
        <v>48</v>
      </c>
      <c r="H745">
        <v>119.94</v>
      </c>
      <c r="I745" t="s">
        <v>122</v>
      </c>
      <c r="J745" t="s">
        <v>41</v>
      </c>
      <c r="K745">
        <v>23</v>
      </c>
      <c r="L745">
        <v>4</v>
      </c>
    </row>
    <row r="746" spans="1:12" x14ac:dyDescent="0.2">
      <c r="A746" t="s">
        <v>1991</v>
      </c>
      <c r="B746" t="s">
        <v>1992</v>
      </c>
      <c r="C746" t="s">
        <v>68</v>
      </c>
      <c r="D746" t="s">
        <v>54</v>
      </c>
      <c r="E746" t="s">
        <v>85</v>
      </c>
      <c r="F746" t="s">
        <v>882</v>
      </c>
      <c r="G746" t="s">
        <v>57</v>
      </c>
      <c r="H746">
        <v>247.27</v>
      </c>
      <c r="I746" t="s">
        <v>65</v>
      </c>
      <c r="J746" t="s">
        <v>20</v>
      </c>
      <c r="K746">
        <v>41</v>
      </c>
      <c r="L746">
        <v>3</v>
      </c>
    </row>
    <row r="747" spans="1:12" x14ac:dyDescent="0.2">
      <c r="A747" t="s">
        <v>1993</v>
      </c>
      <c r="B747" t="s">
        <v>1994</v>
      </c>
      <c r="C747" t="s">
        <v>29</v>
      </c>
      <c r="D747" t="s">
        <v>61</v>
      </c>
      <c r="E747" t="s">
        <v>257</v>
      </c>
      <c r="F747" t="s">
        <v>1995</v>
      </c>
      <c r="G747" t="s">
        <v>64</v>
      </c>
      <c r="H747">
        <v>104.97</v>
      </c>
      <c r="I747" t="s">
        <v>122</v>
      </c>
      <c r="J747" t="s">
        <v>20</v>
      </c>
      <c r="K747">
        <v>44</v>
      </c>
      <c r="L747">
        <v>1</v>
      </c>
    </row>
    <row r="748" spans="1:12" x14ac:dyDescent="0.2">
      <c r="A748" t="s">
        <v>1996</v>
      </c>
      <c r="B748" t="s">
        <v>1997</v>
      </c>
      <c r="C748" t="s">
        <v>106</v>
      </c>
      <c r="D748" t="s">
        <v>74</v>
      </c>
      <c r="E748" t="s">
        <v>198</v>
      </c>
      <c r="F748" t="s">
        <v>534</v>
      </c>
      <c r="G748" t="s">
        <v>91</v>
      </c>
      <c r="H748">
        <v>270.69</v>
      </c>
      <c r="I748" t="s">
        <v>122</v>
      </c>
      <c r="J748" t="s">
        <v>20</v>
      </c>
      <c r="K748">
        <v>19</v>
      </c>
      <c r="L748">
        <v>2</v>
      </c>
    </row>
    <row r="749" spans="1:12" x14ac:dyDescent="0.2">
      <c r="A749" t="s">
        <v>1998</v>
      </c>
      <c r="B749" t="s">
        <v>1999</v>
      </c>
      <c r="C749" t="s">
        <v>29</v>
      </c>
      <c r="D749" t="s">
        <v>37</v>
      </c>
      <c r="E749" t="s">
        <v>238</v>
      </c>
      <c r="F749" t="s">
        <v>727</v>
      </c>
      <c r="G749" t="s">
        <v>40</v>
      </c>
      <c r="H749">
        <v>298.29000000000002</v>
      </c>
      <c r="I749" t="s">
        <v>65</v>
      </c>
      <c r="J749" t="s">
        <v>41</v>
      </c>
      <c r="K749">
        <v>28</v>
      </c>
      <c r="L749">
        <v>1</v>
      </c>
    </row>
    <row r="750" spans="1:12" x14ac:dyDescent="0.2">
      <c r="A750" t="s">
        <v>2000</v>
      </c>
      <c r="B750" t="s">
        <v>2001</v>
      </c>
      <c r="C750" t="s">
        <v>53</v>
      </c>
      <c r="D750" t="s">
        <v>61</v>
      </c>
      <c r="E750" t="s">
        <v>62</v>
      </c>
      <c r="F750" t="s">
        <v>1480</v>
      </c>
      <c r="G750" t="s">
        <v>48</v>
      </c>
      <c r="H750">
        <v>79.2</v>
      </c>
      <c r="I750" t="s">
        <v>49</v>
      </c>
      <c r="J750" t="s">
        <v>50</v>
      </c>
      <c r="K750">
        <v>74</v>
      </c>
      <c r="L750">
        <v>2</v>
      </c>
    </row>
    <row r="751" spans="1:12" x14ac:dyDescent="0.2">
      <c r="A751" t="s">
        <v>2002</v>
      </c>
      <c r="B751" t="s">
        <v>2003</v>
      </c>
      <c r="C751" t="s">
        <v>14</v>
      </c>
      <c r="D751" t="s">
        <v>139</v>
      </c>
      <c r="E751" t="s">
        <v>180</v>
      </c>
      <c r="F751" t="s">
        <v>600</v>
      </c>
      <c r="G751" t="s">
        <v>64</v>
      </c>
      <c r="H751">
        <v>230.41</v>
      </c>
      <c r="I751" t="s">
        <v>122</v>
      </c>
      <c r="J751" t="s">
        <v>20</v>
      </c>
      <c r="K751">
        <v>80</v>
      </c>
      <c r="L751">
        <v>3</v>
      </c>
    </row>
    <row r="752" spans="1:12" x14ac:dyDescent="0.2">
      <c r="A752" t="s">
        <v>2004</v>
      </c>
      <c r="B752" t="s">
        <v>2005</v>
      </c>
      <c r="C752" t="s">
        <v>44</v>
      </c>
      <c r="D752" t="s">
        <v>89</v>
      </c>
      <c r="E752" t="s">
        <v>349</v>
      </c>
      <c r="F752" t="s">
        <v>2006</v>
      </c>
      <c r="G752" t="s">
        <v>40</v>
      </c>
      <c r="H752">
        <v>391.41</v>
      </c>
      <c r="I752" t="s">
        <v>122</v>
      </c>
      <c r="J752" t="s">
        <v>41</v>
      </c>
      <c r="K752">
        <v>63</v>
      </c>
      <c r="L752">
        <v>1</v>
      </c>
    </row>
    <row r="753" spans="1:12" x14ac:dyDescent="0.2">
      <c r="A753" t="s">
        <v>2007</v>
      </c>
      <c r="B753" t="s">
        <v>2008</v>
      </c>
      <c r="C753" t="s">
        <v>68</v>
      </c>
      <c r="D753" t="s">
        <v>89</v>
      </c>
      <c r="E753" t="s">
        <v>102</v>
      </c>
      <c r="F753" t="s">
        <v>906</v>
      </c>
      <c r="G753" t="s">
        <v>40</v>
      </c>
      <c r="H753">
        <v>273.33</v>
      </c>
      <c r="I753" t="s">
        <v>19</v>
      </c>
      <c r="J753" t="s">
        <v>41</v>
      </c>
      <c r="K753">
        <v>47</v>
      </c>
    </row>
    <row r="754" spans="1:12" x14ac:dyDescent="0.2">
      <c r="A754" t="s">
        <v>2009</v>
      </c>
      <c r="B754" t="s">
        <v>2010</v>
      </c>
      <c r="C754" t="s">
        <v>29</v>
      </c>
      <c r="D754" t="s">
        <v>89</v>
      </c>
      <c r="E754" t="s">
        <v>113</v>
      </c>
      <c r="F754" t="s">
        <v>840</v>
      </c>
      <c r="G754" t="s">
        <v>91</v>
      </c>
      <c r="H754">
        <v>88.66</v>
      </c>
      <c r="I754" t="s">
        <v>65</v>
      </c>
      <c r="J754" t="s">
        <v>20</v>
      </c>
      <c r="K754">
        <v>64</v>
      </c>
      <c r="L754">
        <v>4</v>
      </c>
    </row>
    <row r="755" spans="1:12" x14ac:dyDescent="0.2">
      <c r="A755" t="s">
        <v>2011</v>
      </c>
      <c r="B755" t="s">
        <v>2012</v>
      </c>
      <c r="C755" t="s">
        <v>14</v>
      </c>
      <c r="D755" t="s">
        <v>80</v>
      </c>
      <c r="E755" t="s">
        <v>113</v>
      </c>
      <c r="F755" t="s">
        <v>110</v>
      </c>
      <c r="G755" t="s">
        <v>64</v>
      </c>
      <c r="H755">
        <v>346.54</v>
      </c>
      <c r="I755" t="s">
        <v>49</v>
      </c>
      <c r="J755" t="s">
        <v>20</v>
      </c>
      <c r="K755">
        <v>57</v>
      </c>
    </row>
    <row r="756" spans="1:12" x14ac:dyDescent="0.2">
      <c r="A756" t="s">
        <v>2013</v>
      </c>
      <c r="B756" t="s">
        <v>2014</v>
      </c>
      <c r="C756" t="s">
        <v>53</v>
      </c>
      <c r="D756" t="s">
        <v>45</v>
      </c>
      <c r="E756" t="s">
        <v>24</v>
      </c>
      <c r="F756" t="s">
        <v>2015</v>
      </c>
      <c r="G756" t="s">
        <v>40</v>
      </c>
      <c r="H756">
        <v>397.63</v>
      </c>
      <c r="I756" t="s">
        <v>65</v>
      </c>
      <c r="J756" t="s">
        <v>41</v>
      </c>
      <c r="K756">
        <v>39</v>
      </c>
      <c r="L756">
        <v>1</v>
      </c>
    </row>
    <row r="757" spans="1:12" x14ac:dyDescent="0.2">
      <c r="A757" t="s">
        <v>2016</v>
      </c>
      <c r="B757" t="s">
        <v>2017</v>
      </c>
      <c r="C757" t="s">
        <v>14</v>
      </c>
      <c r="D757" t="s">
        <v>74</v>
      </c>
      <c r="E757" t="s">
        <v>349</v>
      </c>
      <c r="F757" t="s">
        <v>2018</v>
      </c>
      <c r="G757" t="s">
        <v>40</v>
      </c>
      <c r="H757">
        <v>126.9</v>
      </c>
      <c r="I757" t="s">
        <v>19</v>
      </c>
      <c r="J757" t="s">
        <v>26</v>
      </c>
      <c r="K757">
        <v>38</v>
      </c>
    </row>
    <row r="758" spans="1:12" x14ac:dyDescent="0.2">
      <c r="A758" t="s">
        <v>2019</v>
      </c>
      <c r="B758" t="s">
        <v>2020</v>
      </c>
      <c r="C758" t="s">
        <v>73</v>
      </c>
      <c r="D758" t="s">
        <v>61</v>
      </c>
      <c r="E758" t="s">
        <v>132</v>
      </c>
      <c r="F758" t="s">
        <v>2021</v>
      </c>
      <c r="G758" t="s">
        <v>64</v>
      </c>
      <c r="H758">
        <v>253.36</v>
      </c>
      <c r="I758" t="s">
        <v>49</v>
      </c>
      <c r="J758" t="s">
        <v>26</v>
      </c>
      <c r="K758">
        <v>77</v>
      </c>
      <c r="L758">
        <v>4</v>
      </c>
    </row>
    <row r="759" spans="1:12" x14ac:dyDescent="0.2">
      <c r="A759" t="s">
        <v>2022</v>
      </c>
      <c r="B759" t="s">
        <v>2023</v>
      </c>
      <c r="C759" t="s">
        <v>44</v>
      </c>
      <c r="D759" t="s">
        <v>89</v>
      </c>
      <c r="E759" t="s">
        <v>272</v>
      </c>
      <c r="F759" t="s">
        <v>229</v>
      </c>
      <c r="G759" t="s">
        <v>64</v>
      </c>
      <c r="H759">
        <v>195.33</v>
      </c>
      <c r="I759" t="s">
        <v>122</v>
      </c>
      <c r="J759" t="s">
        <v>50</v>
      </c>
      <c r="K759">
        <v>25</v>
      </c>
      <c r="L759">
        <v>5</v>
      </c>
    </row>
    <row r="760" spans="1:12" x14ac:dyDescent="0.2">
      <c r="A760" t="s">
        <v>2024</v>
      </c>
      <c r="B760" t="s">
        <v>2025</v>
      </c>
      <c r="C760" t="s">
        <v>60</v>
      </c>
      <c r="D760" t="s">
        <v>125</v>
      </c>
      <c r="E760" t="s">
        <v>129</v>
      </c>
      <c r="F760" t="s">
        <v>232</v>
      </c>
      <c r="G760" t="s">
        <v>18</v>
      </c>
      <c r="H760">
        <v>326.27</v>
      </c>
      <c r="I760" t="s">
        <v>49</v>
      </c>
      <c r="J760" t="s">
        <v>50</v>
      </c>
      <c r="K760">
        <v>62</v>
      </c>
      <c r="L760">
        <v>2</v>
      </c>
    </row>
    <row r="761" spans="1:12" x14ac:dyDescent="0.2">
      <c r="A761" t="s">
        <v>2026</v>
      </c>
      <c r="B761" t="s">
        <v>2027</v>
      </c>
      <c r="C761" t="s">
        <v>29</v>
      </c>
      <c r="D761" t="s">
        <v>45</v>
      </c>
      <c r="E761" t="s">
        <v>102</v>
      </c>
      <c r="F761" t="s">
        <v>365</v>
      </c>
      <c r="G761" t="s">
        <v>48</v>
      </c>
      <c r="H761">
        <v>323.60000000000002</v>
      </c>
      <c r="I761" t="s">
        <v>65</v>
      </c>
      <c r="J761" t="s">
        <v>41</v>
      </c>
      <c r="K761">
        <v>19</v>
      </c>
      <c r="L761">
        <v>3</v>
      </c>
    </row>
    <row r="762" spans="1:12" x14ac:dyDescent="0.2">
      <c r="A762" t="s">
        <v>2028</v>
      </c>
      <c r="B762" t="s">
        <v>2029</v>
      </c>
      <c r="C762" t="s">
        <v>60</v>
      </c>
      <c r="D762" t="s">
        <v>89</v>
      </c>
      <c r="E762" t="s">
        <v>129</v>
      </c>
      <c r="F762" t="s">
        <v>119</v>
      </c>
      <c r="G762" t="s">
        <v>18</v>
      </c>
      <c r="H762">
        <v>242.44</v>
      </c>
      <c r="I762" t="s">
        <v>65</v>
      </c>
      <c r="J762" t="s">
        <v>41</v>
      </c>
      <c r="K762">
        <v>69</v>
      </c>
      <c r="L762">
        <v>4</v>
      </c>
    </row>
    <row r="763" spans="1:12" x14ac:dyDescent="0.2">
      <c r="A763" t="s">
        <v>2030</v>
      </c>
      <c r="B763" t="s">
        <v>2031</v>
      </c>
      <c r="C763" t="s">
        <v>29</v>
      </c>
      <c r="D763" t="s">
        <v>45</v>
      </c>
      <c r="E763" t="s">
        <v>31</v>
      </c>
      <c r="F763" t="s">
        <v>1139</v>
      </c>
      <c r="G763" t="s">
        <v>91</v>
      </c>
      <c r="H763">
        <v>477.44</v>
      </c>
      <c r="I763" t="s">
        <v>19</v>
      </c>
      <c r="J763" t="s">
        <v>41</v>
      </c>
      <c r="K763">
        <v>50</v>
      </c>
      <c r="L763">
        <v>3</v>
      </c>
    </row>
    <row r="764" spans="1:12" x14ac:dyDescent="0.2">
      <c r="A764" t="s">
        <v>2032</v>
      </c>
      <c r="B764" t="s">
        <v>1581</v>
      </c>
      <c r="C764" t="s">
        <v>44</v>
      </c>
      <c r="D764" t="s">
        <v>61</v>
      </c>
      <c r="E764" t="s">
        <v>473</v>
      </c>
      <c r="F764" t="s">
        <v>2033</v>
      </c>
      <c r="G764" t="s">
        <v>18</v>
      </c>
      <c r="H764">
        <v>330.77</v>
      </c>
      <c r="I764" t="s">
        <v>49</v>
      </c>
      <c r="J764" t="s">
        <v>26</v>
      </c>
      <c r="K764">
        <v>29</v>
      </c>
      <c r="L764">
        <v>2</v>
      </c>
    </row>
    <row r="765" spans="1:12" x14ac:dyDescent="0.2">
      <c r="A765" t="s">
        <v>2034</v>
      </c>
      <c r="B765" t="s">
        <v>2035</v>
      </c>
      <c r="C765" t="s">
        <v>60</v>
      </c>
      <c r="D765" t="s">
        <v>15</v>
      </c>
      <c r="E765" t="s">
        <v>102</v>
      </c>
      <c r="F765" t="s">
        <v>2036</v>
      </c>
      <c r="G765" t="s">
        <v>18</v>
      </c>
      <c r="H765">
        <v>180.87</v>
      </c>
      <c r="I765" t="s">
        <v>49</v>
      </c>
      <c r="J765" t="s">
        <v>26</v>
      </c>
      <c r="K765">
        <v>68</v>
      </c>
    </row>
    <row r="766" spans="1:12" x14ac:dyDescent="0.2">
      <c r="A766" t="s">
        <v>2037</v>
      </c>
      <c r="B766" t="s">
        <v>2038</v>
      </c>
      <c r="C766" t="s">
        <v>73</v>
      </c>
      <c r="D766" t="s">
        <v>89</v>
      </c>
      <c r="E766" t="s">
        <v>272</v>
      </c>
      <c r="F766" t="s">
        <v>148</v>
      </c>
      <c r="G766" t="s">
        <v>57</v>
      </c>
      <c r="H766">
        <v>155.82</v>
      </c>
      <c r="I766" t="s">
        <v>49</v>
      </c>
      <c r="J766" t="s">
        <v>41</v>
      </c>
      <c r="K766">
        <v>53</v>
      </c>
      <c r="L766">
        <v>4</v>
      </c>
    </row>
    <row r="767" spans="1:12" x14ac:dyDescent="0.2">
      <c r="A767" t="s">
        <v>2039</v>
      </c>
      <c r="B767" t="s">
        <v>2040</v>
      </c>
      <c r="C767" t="s">
        <v>68</v>
      </c>
      <c r="D767" t="s">
        <v>61</v>
      </c>
      <c r="E767" t="s">
        <v>317</v>
      </c>
      <c r="F767" t="s">
        <v>2041</v>
      </c>
      <c r="G767" t="s">
        <v>33</v>
      </c>
      <c r="H767">
        <v>120.48</v>
      </c>
      <c r="I767" t="s">
        <v>19</v>
      </c>
      <c r="J767" t="s">
        <v>41</v>
      </c>
      <c r="K767">
        <v>57</v>
      </c>
      <c r="L767">
        <v>4</v>
      </c>
    </row>
    <row r="768" spans="1:12" x14ac:dyDescent="0.2">
      <c r="A768" t="s">
        <v>2042</v>
      </c>
      <c r="B768" t="s">
        <v>2043</v>
      </c>
      <c r="C768" t="s">
        <v>106</v>
      </c>
      <c r="D768" t="s">
        <v>80</v>
      </c>
      <c r="E768" t="s">
        <v>198</v>
      </c>
      <c r="F768" t="s">
        <v>494</v>
      </c>
      <c r="G768" t="s">
        <v>48</v>
      </c>
      <c r="H768">
        <v>179.3</v>
      </c>
      <c r="I768" t="s">
        <v>65</v>
      </c>
      <c r="J768" t="s">
        <v>50</v>
      </c>
      <c r="K768">
        <v>34</v>
      </c>
      <c r="L768">
        <v>2</v>
      </c>
    </row>
    <row r="769" spans="1:12" x14ac:dyDescent="0.2">
      <c r="A769" t="s">
        <v>2044</v>
      </c>
      <c r="B769" t="s">
        <v>2045</v>
      </c>
      <c r="C769" t="s">
        <v>73</v>
      </c>
      <c r="D769" t="s">
        <v>61</v>
      </c>
      <c r="E769" t="s">
        <v>132</v>
      </c>
      <c r="F769" t="s">
        <v>967</v>
      </c>
      <c r="G769" t="s">
        <v>64</v>
      </c>
      <c r="H769">
        <v>182.08</v>
      </c>
      <c r="I769" t="s">
        <v>65</v>
      </c>
      <c r="J769" t="s">
        <v>26</v>
      </c>
      <c r="K769">
        <v>29</v>
      </c>
      <c r="L769">
        <v>1</v>
      </c>
    </row>
    <row r="770" spans="1:12" x14ac:dyDescent="0.2">
      <c r="A770" t="s">
        <v>2046</v>
      </c>
      <c r="B770" t="s">
        <v>2047</v>
      </c>
      <c r="C770" t="s">
        <v>60</v>
      </c>
      <c r="D770" t="s">
        <v>45</v>
      </c>
      <c r="E770" t="s">
        <v>317</v>
      </c>
      <c r="F770" t="s">
        <v>574</v>
      </c>
      <c r="G770" t="s">
        <v>91</v>
      </c>
      <c r="H770">
        <v>378.04</v>
      </c>
      <c r="I770" t="s">
        <v>19</v>
      </c>
      <c r="J770" t="s">
        <v>26</v>
      </c>
      <c r="K770">
        <v>54</v>
      </c>
      <c r="L770">
        <v>2</v>
      </c>
    </row>
    <row r="771" spans="1:12" x14ac:dyDescent="0.2">
      <c r="A771" t="s">
        <v>2048</v>
      </c>
      <c r="B771" t="s">
        <v>2049</v>
      </c>
      <c r="C771" t="s">
        <v>106</v>
      </c>
      <c r="D771" t="s">
        <v>125</v>
      </c>
      <c r="E771" t="s">
        <v>343</v>
      </c>
      <c r="F771" t="s">
        <v>1936</v>
      </c>
      <c r="G771" t="s">
        <v>57</v>
      </c>
      <c r="H771">
        <v>333.52</v>
      </c>
      <c r="I771" t="s">
        <v>65</v>
      </c>
      <c r="J771" t="s">
        <v>50</v>
      </c>
      <c r="K771">
        <v>39</v>
      </c>
      <c r="L771">
        <v>2</v>
      </c>
    </row>
    <row r="772" spans="1:12" x14ac:dyDescent="0.2">
      <c r="A772" t="s">
        <v>2050</v>
      </c>
      <c r="B772" t="s">
        <v>2051</v>
      </c>
      <c r="C772" t="s">
        <v>73</v>
      </c>
      <c r="D772" t="s">
        <v>139</v>
      </c>
      <c r="E772" t="s">
        <v>38</v>
      </c>
      <c r="F772" t="s">
        <v>181</v>
      </c>
      <c r="G772" t="s">
        <v>18</v>
      </c>
      <c r="H772">
        <v>224.07</v>
      </c>
      <c r="I772" t="s">
        <v>65</v>
      </c>
      <c r="J772" t="s">
        <v>20</v>
      </c>
      <c r="K772">
        <v>45</v>
      </c>
      <c r="L772">
        <v>4</v>
      </c>
    </row>
    <row r="773" spans="1:12" x14ac:dyDescent="0.2">
      <c r="A773" t="s">
        <v>2052</v>
      </c>
      <c r="B773" t="s">
        <v>2053</v>
      </c>
      <c r="C773" t="s">
        <v>68</v>
      </c>
      <c r="D773" t="s">
        <v>54</v>
      </c>
      <c r="E773" t="s">
        <v>69</v>
      </c>
      <c r="F773" t="s">
        <v>282</v>
      </c>
      <c r="G773" t="s">
        <v>77</v>
      </c>
      <c r="H773">
        <v>468.24</v>
      </c>
      <c r="I773" t="s">
        <v>122</v>
      </c>
      <c r="J773" t="s">
        <v>26</v>
      </c>
      <c r="K773">
        <v>34</v>
      </c>
      <c r="L773">
        <v>1</v>
      </c>
    </row>
    <row r="774" spans="1:12" x14ac:dyDescent="0.2">
      <c r="A774" t="s">
        <v>2054</v>
      </c>
      <c r="B774" t="s">
        <v>2055</v>
      </c>
      <c r="C774" t="s">
        <v>14</v>
      </c>
      <c r="D774" t="s">
        <v>37</v>
      </c>
      <c r="E774" t="s">
        <v>257</v>
      </c>
      <c r="F774" t="s">
        <v>2056</v>
      </c>
      <c r="G774" t="s">
        <v>33</v>
      </c>
      <c r="H774">
        <v>483.4</v>
      </c>
      <c r="I774" t="s">
        <v>65</v>
      </c>
      <c r="J774" t="s">
        <v>41</v>
      </c>
      <c r="K774">
        <v>44</v>
      </c>
      <c r="L774">
        <v>3</v>
      </c>
    </row>
    <row r="775" spans="1:12" x14ac:dyDescent="0.2">
      <c r="A775" t="s">
        <v>2057</v>
      </c>
      <c r="B775" t="s">
        <v>2058</v>
      </c>
      <c r="C775" t="s">
        <v>53</v>
      </c>
      <c r="D775" t="s">
        <v>61</v>
      </c>
      <c r="E775" t="s">
        <v>473</v>
      </c>
      <c r="F775" t="s">
        <v>1322</v>
      </c>
      <c r="G775" t="s">
        <v>33</v>
      </c>
      <c r="H775">
        <v>316.33</v>
      </c>
      <c r="I775" t="s">
        <v>49</v>
      </c>
      <c r="J775" t="s">
        <v>41</v>
      </c>
      <c r="K775">
        <v>15</v>
      </c>
    </row>
    <row r="776" spans="1:12" x14ac:dyDescent="0.2">
      <c r="A776" t="s">
        <v>2059</v>
      </c>
      <c r="B776" t="s">
        <v>2060</v>
      </c>
      <c r="C776" t="s">
        <v>60</v>
      </c>
      <c r="D776" t="s">
        <v>15</v>
      </c>
      <c r="E776" t="s">
        <v>24</v>
      </c>
      <c r="F776" t="s">
        <v>2041</v>
      </c>
      <c r="G776" t="s">
        <v>33</v>
      </c>
      <c r="H776">
        <v>73.790000000000006</v>
      </c>
      <c r="I776" t="s">
        <v>122</v>
      </c>
      <c r="J776" t="s">
        <v>26</v>
      </c>
      <c r="K776">
        <v>44</v>
      </c>
      <c r="L776">
        <v>4</v>
      </c>
    </row>
    <row r="777" spans="1:12" x14ac:dyDescent="0.2">
      <c r="A777" t="s">
        <v>2061</v>
      </c>
      <c r="B777" t="s">
        <v>1187</v>
      </c>
      <c r="C777" t="s">
        <v>23</v>
      </c>
      <c r="D777" t="s">
        <v>61</v>
      </c>
      <c r="E777" t="s">
        <v>16</v>
      </c>
      <c r="F777" t="s">
        <v>2062</v>
      </c>
      <c r="G777" t="s">
        <v>64</v>
      </c>
      <c r="H777">
        <v>260.25</v>
      </c>
      <c r="I777" t="s">
        <v>65</v>
      </c>
      <c r="J777" t="s">
        <v>50</v>
      </c>
      <c r="K777">
        <v>87</v>
      </c>
      <c r="L777">
        <v>3</v>
      </c>
    </row>
    <row r="778" spans="1:12" x14ac:dyDescent="0.2">
      <c r="A778" t="s">
        <v>2063</v>
      </c>
      <c r="B778" t="s">
        <v>2064</v>
      </c>
      <c r="C778" t="s">
        <v>73</v>
      </c>
      <c r="D778" t="s">
        <v>74</v>
      </c>
      <c r="E778" t="s">
        <v>31</v>
      </c>
      <c r="F778" t="s">
        <v>2065</v>
      </c>
      <c r="G778" t="s">
        <v>57</v>
      </c>
      <c r="H778">
        <v>496.28</v>
      </c>
      <c r="I778" t="s">
        <v>122</v>
      </c>
      <c r="J778" t="s">
        <v>20</v>
      </c>
      <c r="K778">
        <v>90</v>
      </c>
      <c r="L778">
        <v>2</v>
      </c>
    </row>
    <row r="779" spans="1:12" x14ac:dyDescent="0.2">
      <c r="A779" t="s">
        <v>2066</v>
      </c>
      <c r="B779" t="s">
        <v>2067</v>
      </c>
      <c r="C779" t="s">
        <v>44</v>
      </c>
      <c r="D779" t="s">
        <v>45</v>
      </c>
      <c r="E779" t="s">
        <v>180</v>
      </c>
      <c r="F779" t="s">
        <v>2068</v>
      </c>
      <c r="G779" t="s">
        <v>91</v>
      </c>
      <c r="H779">
        <v>405.64</v>
      </c>
      <c r="I779" t="s">
        <v>49</v>
      </c>
      <c r="J779" t="s">
        <v>50</v>
      </c>
      <c r="K779">
        <v>50</v>
      </c>
      <c r="L779">
        <v>3</v>
      </c>
    </row>
    <row r="780" spans="1:12" x14ac:dyDescent="0.2">
      <c r="A780" t="s">
        <v>2069</v>
      </c>
      <c r="B780" t="s">
        <v>2070</v>
      </c>
      <c r="C780" t="s">
        <v>53</v>
      </c>
      <c r="D780" t="s">
        <v>139</v>
      </c>
      <c r="E780" t="s">
        <v>317</v>
      </c>
      <c r="F780" t="s">
        <v>155</v>
      </c>
      <c r="G780" t="s">
        <v>33</v>
      </c>
      <c r="H780">
        <v>496.69</v>
      </c>
      <c r="I780" t="s">
        <v>65</v>
      </c>
      <c r="J780" t="s">
        <v>50</v>
      </c>
      <c r="K780">
        <v>38</v>
      </c>
      <c r="L780">
        <v>4</v>
      </c>
    </row>
    <row r="781" spans="1:12" x14ac:dyDescent="0.2">
      <c r="A781" t="s">
        <v>2071</v>
      </c>
      <c r="B781" t="s">
        <v>1601</v>
      </c>
      <c r="C781" t="s">
        <v>68</v>
      </c>
      <c r="D781" t="s">
        <v>54</v>
      </c>
      <c r="E781" t="s">
        <v>102</v>
      </c>
      <c r="F781" t="s">
        <v>516</v>
      </c>
      <c r="G781" t="s">
        <v>18</v>
      </c>
      <c r="H781">
        <v>221.23</v>
      </c>
      <c r="I781" t="s">
        <v>65</v>
      </c>
      <c r="J781" t="s">
        <v>41</v>
      </c>
      <c r="K781">
        <v>88</v>
      </c>
      <c r="L781">
        <v>1</v>
      </c>
    </row>
    <row r="782" spans="1:12" x14ac:dyDescent="0.2">
      <c r="A782" t="s">
        <v>2072</v>
      </c>
      <c r="B782" t="s">
        <v>2073</v>
      </c>
      <c r="C782" t="s">
        <v>23</v>
      </c>
      <c r="D782" t="s">
        <v>89</v>
      </c>
      <c r="E782" t="s">
        <v>302</v>
      </c>
      <c r="F782" t="s">
        <v>103</v>
      </c>
      <c r="G782" t="s">
        <v>91</v>
      </c>
      <c r="H782">
        <v>332.25</v>
      </c>
      <c r="I782" t="s">
        <v>122</v>
      </c>
      <c r="J782" t="s">
        <v>41</v>
      </c>
      <c r="K782">
        <v>24</v>
      </c>
    </row>
    <row r="783" spans="1:12" x14ac:dyDescent="0.2">
      <c r="A783" t="s">
        <v>2074</v>
      </c>
      <c r="B783" t="s">
        <v>2075</v>
      </c>
      <c r="C783" t="s">
        <v>29</v>
      </c>
      <c r="D783" t="s">
        <v>125</v>
      </c>
      <c r="E783" t="s">
        <v>118</v>
      </c>
      <c r="F783" t="s">
        <v>1767</v>
      </c>
      <c r="G783" t="s">
        <v>91</v>
      </c>
      <c r="H783">
        <v>203.66</v>
      </c>
      <c r="I783" t="s">
        <v>49</v>
      </c>
      <c r="J783" t="s">
        <v>20</v>
      </c>
      <c r="K783">
        <v>85</v>
      </c>
      <c r="L783">
        <v>5</v>
      </c>
    </row>
    <row r="784" spans="1:12" x14ac:dyDescent="0.2">
      <c r="A784" t="s">
        <v>2076</v>
      </c>
      <c r="B784" t="s">
        <v>2077</v>
      </c>
      <c r="C784" t="s">
        <v>73</v>
      </c>
      <c r="D784" t="s">
        <v>125</v>
      </c>
      <c r="E784" t="s">
        <v>85</v>
      </c>
      <c r="F784" t="s">
        <v>1139</v>
      </c>
      <c r="G784" t="s">
        <v>18</v>
      </c>
      <c r="H784">
        <v>228.65</v>
      </c>
      <c r="I784" t="s">
        <v>122</v>
      </c>
      <c r="J784" t="s">
        <v>50</v>
      </c>
      <c r="K784">
        <v>21</v>
      </c>
      <c r="L784">
        <v>3</v>
      </c>
    </row>
    <row r="785" spans="1:12" x14ac:dyDescent="0.2">
      <c r="A785" t="s">
        <v>2078</v>
      </c>
      <c r="B785" t="s">
        <v>2079</v>
      </c>
      <c r="C785" t="s">
        <v>53</v>
      </c>
      <c r="D785" t="s">
        <v>74</v>
      </c>
      <c r="E785" t="s">
        <v>102</v>
      </c>
      <c r="F785" t="s">
        <v>2080</v>
      </c>
      <c r="G785" t="s">
        <v>48</v>
      </c>
      <c r="H785">
        <v>411.69</v>
      </c>
      <c r="I785" t="s">
        <v>122</v>
      </c>
      <c r="J785" t="s">
        <v>50</v>
      </c>
      <c r="K785">
        <v>70</v>
      </c>
      <c r="L785">
        <v>3</v>
      </c>
    </row>
    <row r="786" spans="1:12" x14ac:dyDescent="0.2">
      <c r="A786" t="s">
        <v>2081</v>
      </c>
      <c r="B786" t="s">
        <v>2082</v>
      </c>
      <c r="C786" t="s">
        <v>29</v>
      </c>
      <c r="D786" t="s">
        <v>61</v>
      </c>
      <c r="E786" t="s">
        <v>144</v>
      </c>
      <c r="F786" t="s">
        <v>2083</v>
      </c>
      <c r="G786" t="s">
        <v>48</v>
      </c>
      <c r="H786">
        <v>245.55</v>
      </c>
      <c r="I786" t="s">
        <v>49</v>
      </c>
      <c r="J786" t="s">
        <v>26</v>
      </c>
      <c r="K786">
        <v>19</v>
      </c>
      <c r="L786">
        <v>4</v>
      </c>
    </row>
    <row r="787" spans="1:12" x14ac:dyDescent="0.2">
      <c r="A787" t="s">
        <v>2084</v>
      </c>
      <c r="B787" t="s">
        <v>2085</v>
      </c>
      <c r="C787" t="s">
        <v>68</v>
      </c>
      <c r="D787" t="s">
        <v>37</v>
      </c>
      <c r="E787" t="s">
        <v>62</v>
      </c>
      <c r="F787" t="s">
        <v>1734</v>
      </c>
      <c r="G787" t="s">
        <v>57</v>
      </c>
      <c r="H787">
        <v>372.67</v>
      </c>
      <c r="I787" t="s">
        <v>19</v>
      </c>
      <c r="J787" t="s">
        <v>41</v>
      </c>
      <c r="K787">
        <v>81</v>
      </c>
      <c r="L787">
        <v>3</v>
      </c>
    </row>
    <row r="788" spans="1:12" x14ac:dyDescent="0.2">
      <c r="A788" t="s">
        <v>2086</v>
      </c>
      <c r="B788" t="s">
        <v>2087</v>
      </c>
      <c r="C788" t="s">
        <v>68</v>
      </c>
      <c r="D788" t="s">
        <v>15</v>
      </c>
      <c r="E788" t="s">
        <v>180</v>
      </c>
      <c r="F788" t="s">
        <v>2088</v>
      </c>
      <c r="G788" t="s">
        <v>77</v>
      </c>
      <c r="H788">
        <v>446.33</v>
      </c>
      <c r="I788" t="s">
        <v>19</v>
      </c>
      <c r="J788" t="s">
        <v>41</v>
      </c>
      <c r="K788">
        <v>31</v>
      </c>
      <c r="L788">
        <v>5</v>
      </c>
    </row>
    <row r="789" spans="1:12" x14ac:dyDescent="0.2">
      <c r="A789" t="s">
        <v>2089</v>
      </c>
      <c r="B789" t="s">
        <v>2090</v>
      </c>
      <c r="C789" t="s">
        <v>29</v>
      </c>
      <c r="D789" t="s">
        <v>15</v>
      </c>
      <c r="E789" t="s">
        <v>161</v>
      </c>
      <c r="F789" t="s">
        <v>770</v>
      </c>
      <c r="G789" t="s">
        <v>40</v>
      </c>
      <c r="H789">
        <v>274.56</v>
      </c>
      <c r="I789" t="s">
        <v>65</v>
      </c>
      <c r="J789" t="s">
        <v>50</v>
      </c>
      <c r="K789">
        <v>55</v>
      </c>
      <c r="L789">
        <v>3</v>
      </c>
    </row>
    <row r="790" spans="1:12" x14ac:dyDescent="0.2">
      <c r="A790" t="s">
        <v>2091</v>
      </c>
      <c r="B790" t="s">
        <v>2092</v>
      </c>
      <c r="C790" t="s">
        <v>106</v>
      </c>
      <c r="D790" t="s">
        <v>80</v>
      </c>
      <c r="E790" t="s">
        <v>272</v>
      </c>
      <c r="F790" t="s">
        <v>1028</v>
      </c>
      <c r="G790" t="s">
        <v>33</v>
      </c>
      <c r="H790">
        <v>178.83</v>
      </c>
      <c r="I790" t="s">
        <v>122</v>
      </c>
      <c r="J790" t="s">
        <v>26</v>
      </c>
      <c r="K790">
        <v>67</v>
      </c>
      <c r="L790">
        <v>3</v>
      </c>
    </row>
    <row r="791" spans="1:12" x14ac:dyDescent="0.2">
      <c r="A791" t="s">
        <v>2093</v>
      </c>
      <c r="B791" t="s">
        <v>2094</v>
      </c>
      <c r="C791" t="s">
        <v>117</v>
      </c>
      <c r="D791" t="s">
        <v>125</v>
      </c>
      <c r="E791" t="s">
        <v>113</v>
      </c>
      <c r="F791" t="s">
        <v>418</v>
      </c>
      <c r="G791" t="s">
        <v>91</v>
      </c>
      <c r="H791">
        <v>257.85000000000002</v>
      </c>
      <c r="I791" t="s">
        <v>65</v>
      </c>
      <c r="J791" t="s">
        <v>50</v>
      </c>
      <c r="K791">
        <v>86</v>
      </c>
      <c r="L791">
        <v>3</v>
      </c>
    </row>
    <row r="792" spans="1:12" x14ac:dyDescent="0.2">
      <c r="A792" t="s">
        <v>2095</v>
      </c>
      <c r="B792" t="s">
        <v>2096</v>
      </c>
      <c r="C792" t="s">
        <v>23</v>
      </c>
      <c r="D792" t="s">
        <v>125</v>
      </c>
      <c r="E792" t="s">
        <v>161</v>
      </c>
      <c r="F792" t="s">
        <v>1596</v>
      </c>
      <c r="G792" t="s">
        <v>33</v>
      </c>
      <c r="H792">
        <v>498.04</v>
      </c>
      <c r="I792" t="s">
        <v>49</v>
      </c>
      <c r="J792" t="s">
        <v>26</v>
      </c>
      <c r="K792">
        <v>76</v>
      </c>
      <c r="L792">
        <v>2</v>
      </c>
    </row>
    <row r="793" spans="1:12" x14ac:dyDescent="0.2">
      <c r="A793" t="s">
        <v>2097</v>
      </c>
      <c r="B793" t="s">
        <v>2098</v>
      </c>
      <c r="C793" t="s">
        <v>14</v>
      </c>
      <c r="D793" t="s">
        <v>54</v>
      </c>
      <c r="E793" t="s">
        <v>302</v>
      </c>
      <c r="F793" t="s">
        <v>2099</v>
      </c>
      <c r="G793" t="s">
        <v>40</v>
      </c>
      <c r="H793">
        <v>320.52999999999997</v>
      </c>
      <c r="I793" t="s">
        <v>49</v>
      </c>
      <c r="J793" t="s">
        <v>20</v>
      </c>
      <c r="K793">
        <v>81</v>
      </c>
    </row>
    <row r="794" spans="1:12" x14ac:dyDescent="0.2">
      <c r="A794" t="s">
        <v>2100</v>
      </c>
      <c r="B794" t="s">
        <v>2101</v>
      </c>
      <c r="C794" t="s">
        <v>106</v>
      </c>
      <c r="D794" t="s">
        <v>125</v>
      </c>
      <c r="E794" t="s">
        <v>46</v>
      </c>
      <c r="F794" t="s">
        <v>863</v>
      </c>
      <c r="G794" t="s">
        <v>40</v>
      </c>
      <c r="H794">
        <v>186.85</v>
      </c>
      <c r="I794" t="s">
        <v>122</v>
      </c>
      <c r="J794" t="s">
        <v>26</v>
      </c>
      <c r="K794">
        <v>56</v>
      </c>
      <c r="L794">
        <v>5</v>
      </c>
    </row>
    <row r="795" spans="1:12" x14ac:dyDescent="0.2">
      <c r="A795" t="s">
        <v>2102</v>
      </c>
      <c r="B795" t="s">
        <v>2103</v>
      </c>
      <c r="C795" t="s">
        <v>68</v>
      </c>
      <c r="D795" t="s">
        <v>61</v>
      </c>
      <c r="E795" t="s">
        <v>38</v>
      </c>
      <c r="F795" t="s">
        <v>2104</v>
      </c>
      <c r="G795" t="s">
        <v>57</v>
      </c>
      <c r="H795">
        <v>460.78</v>
      </c>
      <c r="I795" t="s">
        <v>122</v>
      </c>
      <c r="J795" t="s">
        <v>20</v>
      </c>
      <c r="K795">
        <v>24</v>
      </c>
      <c r="L795">
        <v>4</v>
      </c>
    </row>
    <row r="796" spans="1:12" x14ac:dyDescent="0.2">
      <c r="A796" t="s">
        <v>2105</v>
      </c>
      <c r="B796" t="s">
        <v>1449</v>
      </c>
      <c r="C796" t="s">
        <v>73</v>
      </c>
      <c r="D796" t="s">
        <v>125</v>
      </c>
      <c r="E796" t="s">
        <v>38</v>
      </c>
      <c r="F796" t="s">
        <v>1296</v>
      </c>
      <c r="G796" t="s">
        <v>91</v>
      </c>
      <c r="H796">
        <v>351.41</v>
      </c>
      <c r="I796" t="s">
        <v>49</v>
      </c>
      <c r="J796" t="s">
        <v>50</v>
      </c>
      <c r="K796">
        <v>54</v>
      </c>
      <c r="L796">
        <v>4</v>
      </c>
    </row>
    <row r="797" spans="1:12" x14ac:dyDescent="0.2">
      <c r="A797" t="s">
        <v>2106</v>
      </c>
      <c r="B797" t="s">
        <v>664</v>
      </c>
      <c r="C797" t="s">
        <v>117</v>
      </c>
      <c r="D797" t="s">
        <v>45</v>
      </c>
      <c r="E797" t="s">
        <v>118</v>
      </c>
      <c r="F797" t="s">
        <v>315</v>
      </c>
      <c r="G797" t="s">
        <v>91</v>
      </c>
      <c r="H797">
        <v>477.61</v>
      </c>
      <c r="I797" t="s">
        <v>49</v>
      </c>
      <c r="J797" t="s">
        <v>20</v>
      </c>
      <c r="K797">
        <v>61</v>
      </c>
      <c r="L797">
        <v>2</v>
      </c>
    </row>
    <row r="798" spans="1:12" x14ac:dyDescent="0.2">
      <c r="A798" t="s">
        <v>2107</v>
      </c>
      <c r="B798" t="s">
        <v>2108</v>
      </c>
      <c r="C798" t="s">
        <v>60</v>
      </c>
      <c r="D798" t="s">
        <v>74</v>
      </c>
      <c r="E798" t="s">
        <v>302</v>
      </c>
      <c r="F798" t="s">
        <v>2068</v>
      </c>
      <c r="G798" t="s">
        <v>64</v>
      </c>
      <c r="H798">
        <v>499.1</v>
      </c>
      <c r="I798" t="s">
        <v>49</v>
      </c>
      <c r="J798" t="s">
        <v>50</v>
      </c>
      <c r="K798">
        <v>60</v>
      </c>
    </row>
    <row r="799" spans="1:12" x14ac:dyDescent="0.2">
      <c r="A799" t="s">
        <v>2109</v>
      </c>
      <c r="B799" t="s">
        <v>2110</v>
      </c>
      <c r="C799" t="s">
        <v>29</v>
      </c>
      <c r="D799" t="s">
        <v>15</v>
      </c>
      <c r="E799" t="s">
        <v>69</v>
      </c>
      <c r="F799" t="s">
        <v>2111</v>
      </c>
      <c r="G799" t="s">
        <v>18</v>
      </c>
      <c r="H799">
        <v>178.69</v>
      </c>
      <c r="I799" t="s">
        <v>65</v>
      </c>
      <c r="J799" t="s">
        <v>50</v>
      </c>
      <c r="K799">
        <v>56</v>
      </c>
      <c r="L799">
        <v>4</v>
      </c>
    </row>
    <row r="800" spans="1:12" x14ac:dyDescent="0.2">
      <c r="A800" t="s">
        <v>2112</v>
      </c>
      <c r="B800" t="s">
        <v>2113</v>
      </c>
      <c r="C800" t="s">
        <v>44</v>
      </c>
      <c r="D800" t="s">
        <v>15</v>
      </c>
      <c r="E800" t="s">
        <v>161</v>
      </c>
      <c r="F800" t="s">
        <v>866</v>
      </c>
      <c r="G800" t="s">
        <v>40</v>
      </c>
      <c r="H800">
        <v>192.31</v>
      </c>
      <c r="I800" t="s">
        <v>122</v>
      </c>
      <c r="J800" t="s">
        <v>20</v>
      </c>
      <c r="K800">
        <v>31</v>
      </c>
      <c r="L800">
        <v>3</v>
      </c>
    </row>
    <row r="801" spans="1:12" x14ac:dyDescent="0.2">
      <c r="A801" t="s">
        <v>2114</v>
      </c>
      <c r="B801" t="s">
        <v>2115</v>
      </c>
      <c r="C801" t="s">
        <v>23</v>
      </c>
      <c r="D801" t="s">
        <v>54</v>
      </c>
      <c r="E801" t="s">
        <v>16</v>
      </c>
      <c r="F801" t="s">
        <v>350</v>
      </c>
      <c r="G801" t="s">
        <v>40</v>
      </c>
      <c r="H801">
        <v>408.5</v>
      </c>
      <c r="I801" t="s">
        <v>19</v>
      </c>
      <c r="J801" t="s">
        <v>50</v>
      </c>
      <c r="K801">
        <v>88</v>
      </c>
      <c r="L801">
        <v>2</v>
      </c>
    </row>
    <row r="802" spans="1:12" x14ac:dyDescent="0.2">
      <c r="A802" t="s">
        <v>2116</v>
      </c>
      <c r="B802" t="s">
        <v>2117</v>
      </c>
      <c r="C802" t="s">
        <v>117</v>
      </c>
      <c r="D802" t="s">
        <v>89</v>
      </c>
      <c r="E802" t="s">
        <v>38</v>
      </c>
      <c r="F802" t="s">
        <v>2118</v>
      </c>
      <c r="G802" t="s">
        <v>18</v>
      </c>
      <c r="H802">
        <v>206.34</v>
      </c>
      <c r="I802" t="s">
        <v>122</v>
      </c>
      <c r="J802" t="s">
        <v>41</v>
      </c>
      <c r="K802">
        <v>76</v>
      </c>
      <c r="L802">
        <v>2</v>
      </c>
    </row>
    <row r="803" spans="1:12" x14ac:dyDescent="0.2">
      <c r="A803" t="s">
        <v>2119</v>
      </c>
      <c r="B803" t="s">
        <v>2120</v>
      </c>
      <c r="C803" t="s">
        <v>44</v>
      </c>
      <c r="D803" t="s">
        <v>54</v>
      </c>
      <c r="E803" t="s">
        <v>132</v>
      </c>
      <c r="F803" t="s">
        <v>608</v>
      </c>
      <c r="G803" t="s">
        <v>91</v>
      </c>
      <c r="H803">
        <v>275.76</v>
      </c>
      <c r="I803" t="s">
        <v>65</v>
      </c>
      <c r="J803" t="s">
        <v>50</v>
      </c>
      <c r="K803">
        <v>68</v>
      </c>
    </row>
    <row r="804" spans="1:12" x14ac:dyDescent="0.2">
      <c r="A804" t="s">
        <v>2121</v>
      </c>
      <c r="B804" t="s">
        <v>2122</v>
      </c>
      <c r="C804" t="s">
        <v>14</v>
      </c>
      <c r="D804" t="s">
        <v>125</v>
      </c>
      <c r="E804" t="s">
        <v>198</v>
      </c>
      <c r="F804" t="s">
        <v>1663</v>
      </c>
      <c r="G804" t="s">
        <v>33</v>
      </c>
      <c r="H804">
        <v>106.98</v>
      </c>
      <c r="I804" t="s">
        <v>122</v>
      </c>
      <c r="J804" t="s">
        <v>41</v>
      </c>
      <c r="K804">
        <v>55</v>
      </c>
      <c r="L804">
        <v>5</v>
      </c>
    </row>
    <row r="805" spans="1:12" x14ac:dyDescent="0.2">
      <c r="A805" t="s">
        <v>2123</v>
      </c>
      <c r="B805" t="s">
        <v>2124</v>
      </c>
      <c r="C805" t="s">
        <v>73</v>
      </c>
      <c r="D805" t="s">
        <v>74</v>
      </c>
      <c r="E805" t="s">
        <v>198</v>
      </c>
      <c r="F805" t="s">
        <v>2125</v>
      </c>
      <c r="G805" t="s">
        <v>48</v>
      </c>
      <c r="H805">
        <v>420.45</v>
      </c>
      <c r="I805" t="s">
        <v>49</v>
      </c>
      <c r="J805" t="s">
        <v>20</v>
      </c>
      <c r="K805">
        <v>73</v>
      </c>
      <c r="L805">
        <v>5</v>
      </c>
    </row>
    <row r="806" spans="1:12" x14ac:dyDescent="0.2">
      <c r="A806" t="s">
        <v>2126</v>
      </c>
      <c r="B806" t="s">
        <v>2127</v>
      </c>
      <c r="C806" t="s">
        <v>23</v>
      </c>
      <c r="D806" t="s">
        <v>125</v>
      </c>
      <c r="E806" t="s">
        <v>257</v>
      </c>
      <c r="F806" t="s">
        <v>457</v>
      </c>
      <c r="G806" t="s">
        <v>33</v>
      </c>
      <c r="H806">
        <v>341.18</v>
      </c>
      <c r="I806" t="s">
        <v>122</v>
      </c>
      <c r="J806" t="s">
        <v>26</v>
      </c>
      <c r="K806">
        <v>35</v>
      </c>
    </row>
    <row r="807" spans="1:12" x14ac:dyDescent="0.2">
      <c r="A807" t="s">
        <v>2128</v>
      </c>
      <c r="B807" t="s">
        <v>2129</v>
      </c>
      <c r="C807" t="s">
        <v>29</v>
      </c>
      <c r="D807" t="s">
        <v>80</v>
      </c>
      <c r="E807" t="s">
        <v>154</v>
      </c>
      <c r="F807" t="s">
        <v>2130</v>
      </c>
      <c r="G807" t="s">
        <v>57</v>
      </c>
      <c r="H807">
        <v>271.24</v>
      </c>
      <c r="I807" t="s">
        <v>65</v>
      </c>
      <c r="J807" t="s">
        <v>20</v>
      </c>
      <c r="K807">
        <v>28</v>
      </c>
      <c r="L807">
        <v>1</v>
      </c>
    </row>
    <row r="808" spans="1:12" x14ac:dyDescent="0.2">
      <c r="A808" t="s">
        <v>2131</v>
      </c>
      <c r="B808" t="s">
        <v>2132</v>
      </c>
      <c r="C808" t="s">
        <v>117</v>
      </c>
      <c r="D808" t="s">
        <v>125</v>
      </c>
      <c r="E808" t="s">
        <v>85</v>
      </c>
      <c r="F808" t="s">
        <v>2133</v>
      </c>
      <c r="G808" t="s">
        <v>77</v>
      </c>
      <c r="H808">
        <v>315.39</v>
      </c>
      <c r="I808" t="s">
        <v>65</v>
      </c>
      <c r="J808" t="s">
        <v>50</v>
      </c>
      <c r="K808">
        <v>27</v>
      </c>
      <c r="L808">
        <v>3</v>
      </c>
    </row>
    <row r="809" spans="1:12" x14ac:dyDescent="0.2">
      <c r="A809" t="s">
        <v>2134</v>
      </c>
      <c r="B809" t="s">
        <v>2135</v>
      </c>
      <c r="C809" t="s">
        <v>106</v>
      </c>
      <c r="D809" t="s">
        <v>80</v>
      </c>
      <c r="E809" t="s">
        <v>38</v>
      </c>
      <c r="F809" t="s">
        <v>1007</v>
      </c>
      <c r="G809" t="s">
        <v>91</v>
      </c>
      <c r="H809">
        <v>325.10000000000002</v>
      </c>
      <c r="I809" t="s">
        <v>122</v>
      </c>
      <c r="J809" t="s">
        <v>50</v>
      </c>
      <c r="K809">
        <v>81</v>
      </c>
    </row>
    <row r="810" spans="1:12" x14ac:dyDescent="0.2">
      <c r="A810" t="s">
        <v>2136</v>
      </c>
      <c r="B810" t="s">
        <v>2137</v>
      </c>
      <c r="C810" t="s">
        <v>60</v>
      </c>
      <c r="D810" t="s">
        <v>61</v>
      </c>
      <c r="E810" t="s">
        <v>24</v>
      </c>
      <c r="F810" t="s">
        <v>779</v>
      </c>
      <c r="G810" t="s">
        <v>18</v>
      </c>
      <c r="H810">
        <v>292.42</v>
      </c>
      <c r="I810" t="s">
        <v>19</v>
      </c>
      <c r="J810" t="s">
        <v>41</v>
      </c>
      <c r="K810">
        <v>47</v>
      </c>
      <c r="L810">
        <v>2</v>
      </c>
    </row>
    <row r="811" spans="1:12" x14ac:dyDescent="0.2">
      <c r="A811" t="s">
        <v>2138</v>
      </c>
      <c r="B811" t="s">
        <v>2139</v>
      </c>
      <c r="C811" t="s">
        <v>23</v>
      </c>
      <c r="D811" t="s">
        <v>80</v>
      </c>
      <c r="E811" t="s">
        <v>62</v>
      </c>
      <c r="F811" t="s">
        <v>2140</v>
      </c>
      <c r="G811" t="s">
        <v>33</v>
      </c>
      <c r="H811">
        <v>440.97</v>
      </c>
      <c r="I811" t="s">
        <v>65</v>
      </c>
      <c r="J811" t="s">
        <v>26</v>
      </c>
      <c r="K811">
        <v>50</v>
      </c>
      <c r="L811">
        <v>4</v>
      </c>
    </row>
    <row r="812" spans="1:12" x14ac:dyDescent="0.2">
      <c r="A812" t="s">
        <v>2141</v>
      </c>
      <c r="B812" t="s">
        <v>2142</v>
      </c>
      <c r="C812" t="s">
        <v>117</v>
      </c>
      <c r="D812" t="s">
        <v>54</v>
      </c>
      <c r="E812" t="s">
        <v>16</v>
      </c>
      <c r="F812" t="s">
        <v>600</v>
      </c>
      <c r="G812" t="s">
        <v>18</v>
      </c>
      <c r="H812">
        <v>304.01</v>
      </c>
      <c r="I812" t="s">
        <v>122</v>
      </c>
      <c r="J812" t="s">
        <v>26</v>
      </c>
      <c r="K812">
        <v>53</v>
      </c>
      <c r="L812">
        <v>1</v>
      </c>
    </row>
    <row r="813" spans="1:12" x14ac:dyDescent="0.2">
      <c r="A813" t="s">
        <v>2143</v>
      </c>
      <c r="B813" t="s">
        <v>2144</v>
      </c>
      <c r="C813" t="s">
        <v>73</v>
      </c>
      <c r="D813" t="s">
        <v>125</v>
      </c>
      <c r="E813" t="s">
        <v>81</v>
      </c>
      <c r="F813" t="s">
        <v>1875</v>
      </c>
      <c r="G813" t="s">
        <v>91</v>
      </c>
      <c r="H813">
        <v>434.33</v>
      </c>
      <c r="I813" t="s">
        <v>65</v>
      </c>
      <c r="J813" t="s">
        <v>41</v>
      </c>
      <c r="K813">
        <v>27</v>
      </c>
      <c r="L813">
        <v>3</v>
      </c>
    </row>
    <row r="814" spans="1:12" x14ac:dyDescent="0.2">
      <c r="A814" t="s">
        <v>2145</v>
      </c>
      <c r="B814" t="s">
        <v>2146</v>
      </c>
      <c r="C814" t="s">
        <v>14</v>
      </c>
      <c r="D814" t="s">
        <v>139</v>
      </c>
      <c r="E814" t="s">
        <v>144</v>
      </c>
      <c r="F814" t="s">
        <v>2147</v>
      </c>
      <c r="G814" t="s">
        <v>91</v>
      </c>
      <c r="H814">
        <v>95.16</v>
      </c>
      <c r="I814" t="s">
        <v>65</v>
      </c>
      <c r="J814" t="s">
        <v>20</v>
      </c>
      <c r="K814">
        <v>34</v>
      </c>
      <c r="L814">
        <v>3</v>
      </c>
    </row>
    <row r="815" spans="1:12" x14ac:dyDescent="0.2">
      <c r="A815" t="s">
        <v>2148</v>
      </c>
      <c r="B815" t="s">
        <v>2149</v>
      </c>
      <c r="C815" t="s">
        <v>14</v>
      </c>
      <c r="D815" t="s">
        <v>37</v>
      </c>
      <c r="E815" t="s">
        <v>302</v>
      </c>
      <c r="F815" t="s">
        <v>819</v>
      </c>
      <c r="G815" t="s">
        <v>64</v>
      </c>
      <c r="H815">
        <v>274.91000000000003</v>
      </c>
      <c r="I815" t="s">
        <v>49</v>
      </c>
      <c r="J815" t="s">
        <v>41</v>
      </c>
      <c r="K815">
        <v>65</v>
      </c>
      <c r="L815">
        <v>2</v>
      </c>
    </row>
    <row r="816" spans="1:12" x14ac:dyDescent="0.2">
      <c r="A816" t="s">
        <v>2150</v>
      </c>
      <c r="B816" t="s">
        <v>2151</v>
      </c>
      <c r="C816" t="s">
        <v>44</v>
      </c>
      <c r="D816" t="s">
        <v>74</v>
      </c>
      <c r="E816" t="s">
        <v>343</v>
      </c>
      <c r="F816" t="s">
        <v>2152</v>
      </c>
      <c r="G816" t="s">
        <v>77</v>
      </c>
      <c r="H816">
        <v>480.94</v>
      </c>
      <c r="I816" t="s">
        <v>19</v>
      </c>
      <c r="J816" t="s">
        <v>26</v>
      </c>
      <c r="K816">
        <v>75</v>
      </c>
      <c r="L816">
        <v>1</v>
      </c>
    </row>
    <row r="817" spans="1:12" x14ac:dyDescent="0.2">
      <c r="A817" t="s">
        <v>2153</v>
      </c>
      <c r="B817" t="s">
        <v>2154</v>
      </c>
      <c r="C817" t="s">
        <v>23</v>
      </c>
      <c r="D817" t="s">
        <v>54</v>
      </c>
      <c r="E817" t="s">
        <v>85</v>
      </c>
      <c r="F817" t="s">
        <v>709</v>
      </c>
      <c r="G817" t="s">
        <v>18</v>
      </c>
      <c r="H817">
        <v>458.96</v>
      </c>
      <c r="I817" t="s">
        <v>65</v>
      </c>
      <c r="J817" t="s">
        <v>20</v>
      </c>
      <c r="K817">
        <v>36</v>
      </c>
    </row>
    <row r="818" spans="1:12" x14ac:dyDescent="0.2">
      <c r="A818" t="s">
        <v>2155</v>
      </c>
      <c r="B818" t="s">
        <v>2156</v>
      </c>
      <c r="C818" t="s">
        <v>14</v>
      </c>
      <c r="D818" t="s">
        <v>74</v>
      </c>
      <c r="E818" t="s">
        <v>102</v>
      </c>
      <c r="F818" t="s">
        <v>2157</v>
      </c>
      <c r="G818" t="s">
        <v>33</v>
      </c>
      <c r="H818">
        <v>261.33</v>
      </c>
      <c r="I818" t="s">
        <v>122</v>
      </c>
      <c r="J818" t="s">
        <v>50</v>
      </c>
      <c r="K818">
        <v>33</v>
      </c>
      <c r="L818">
        <v>3</v>
      </c>
    </row>
    <row r="819" spans="1:12" x14ac:dyDescent="0.2">
      <c r="A819" t="s">
        <v>2158</v>
      </c>
      <c r="B819" t="s">
        <v>2159</v>
      </c>
      <c r="C819" t="s">
        <v>23</v>
      </c>
      <c r="D819" t="s">
        <v>54</v>
      </c>
      <c r="E819" t="s">
        <v>16</v>
      </c>
      <c r="F819" t="s">
        <v>1668</v>
      </c>
      <c r="G819" t="s">
        <v>48</v>
      </c>
      <c r="H819">
        <v>286.62</v>
      </c>
      <c r="I819" t="s">
        <v>19</v>
      </c>
      <c r="J819" t="s">
        <v>41</v>
      </c>
      <c r="K819">
        <v>35</v>
      </c>
      <c r="L819">
        <v>5</v>
      </c>
    </row>
    <row r="820" spans="1:12" x14ac:dyDescent="0.2">
      <c r="A820" t="s">
        <v>2160</v>
      </c>
      <c r="B820" t="s">
        <v>293</v>
      </c>
      <c r="C820" t="s">
        <v>44</v>
      </c>
      <c r="D820" t="s">
        <v>37</v>
      </c>
      <c r="E820" t="s">
        <v>343</v>
      </c>
      <c r="F820" t="s">
        <v>2161</v>
      </c>
      <c r="G820" t="s">
        <v>77</v>
      </c>
      <c r="H820">
        <v>243.9</v>
      </c>
      <c r="I820" t="s">
        <v>49</v>
      </c>
      <c r="J820" t="s">
        <v>20</v>
      </c>
      <c r="K820">
        <v>50</v>
      </c>
      <c r="L820">
        <v>5</v>
      </c>
    </row>
    <row r="821" spans="1:12" x14ac:dyDescent="0.2">
      <c r="A821" t="s">
        <v>2162</v>
      </c>
      <c r="B821" t="s">
        <v>2163</v>
      </c>
      <c r="C821" t="s">
        <v>44</v>
      </c>
      <c r="D821" t="s">
        <v>139</v>
      </c>
      <c r="E821" t="s">
        <v>132</v>
      </c>
      <c r="F821" t="s">
        <v>1206</v>
      </c>
      <c r="G821" t="s">
        <v>91</v>
      </c>
      <c r="H821">
        <v>161.69999999999999</v>
      </c>
      <c r="I821" t="s">
        <v>65</v>
      </c>
      <c r="J821" t="s">
        <v>20</v>
      </c>
      <c r="K821">
        <v>89</v>
      </c>
      <c r="L821">
        <v>4</v>
      </c>
    </row>
    <row r="822" spans="1:12" x14ac:dyDescent="0.2">
      <c r="A822" t="s">
        <v>2164</v>
      </c>
      <c r="B822" t="s">
        <v>1608</v>
      </c>
      <c r="C822" t="s">
        <v>23</v>
      </c>
      <c r="D822" t="s">
        <v>125</v>
      </c>
      <c r="E822" t="s">
        <v>55</v>
      </c>
      <c r="F822" t="s">
        <v>199</v>
      </c>
      <c r="G822" t="s">
        <v>18</v>
      </c>
      <c r="H822">
        <v>368.18</v>
      </c>
      <c r="I822" t="s">
        <v>65</v>
      </c>
      <c r="J822" t="s">
        <v>20</v>
      </c>
      <c r="K822">
        <v>15</v>
      </c>
      <c r="L822">
        <v>1</v>
      </c>
    </row>
    <row r="823" spans="1:12" x14ac:dyDescent="0.2">
      <c r="A823" t="s">
        <v>2165</v>
      </c>
      <c r="B823" t="s">
        <v>2166</v>
      </c>
      <c r="C823" t="s">
        <v>117</v>
      </c>
      <c r="D823" t="s">
        <v>139</v>
      </c>
      <c r="E823" t="s">
        <v>85</v>
      </c>
      <c r="F823" t="s">
        <v>2167</v>
      </c>
      <c r="G823" t="s">
        <v>48</v>
      </c>
      <c r="H823">
        <v>229.86</v>
      </c>
      <c r="I823" t="s">
        <v>49</v>
      </c>
      <c r="J823" t="s">
        <v>20</v>
      </c>
      <c r="K823">
        <v>76</v>
      </c>
      <c r="L823">
        <v>4</v>
      </c>
    </row>
    <row r="824" spans="1:12" x14ac:dyDescent="0.2">
      <c r="A824" t="s">
        <v>2168</v>
      </c>
      <c r="B824" t="s">
        <v>2169</v>
      </c>
      <c r="C824" t="s">
        <v>29</v>
      </c>
      <c r="D824" t="s">
        <v>89</v>
      </c>
      <c r="E824" t="s">
        <v>154</v>
      </c>
      <c r="F824" t="s">
        <v>843</v>
      </c>
      <c r="G824" t="s">
        <v>40</v>
      </c>
      <c r="H824">
        <v>147.80000000000001</v>
      </c>
      <c r="I824" t="s">
        <v>19</v>
      </c>
      <c r="J824" t="s">
        <v>20</v>
      </c>
      <c r="K824">
        <v>55</v>
      </c>
      <c r="L824">
        <v>5</v>
      </c>
    </row>
    <row r="825" spans="1:12" x14ac:dyDescent="0.2">
      <c r="A825" t="s">
        <v>2170</v>
      </c>
      <c r="B825" t="s">
        <v>2171</v>
      </c>
      <c r="C825" t="s">
        <v>68</v>
      </c>
      <c r="D825" t="s">
        <v>61</v>
      </c>
      <c r="E825" t="s">
        <v>238</v>
      </c>
      <c r="F825" t="s">
        <v>119</v>
      </c>
      <c r="G825" t="s">
        <v>33</v>
      </c>
      <c r="H825">
        <v>326.49</v>
      </c>
      <c r="I825" t="s">
        <v>49</v>
      </c>
      <c r="J825" t="s">
        <v>26</v>
      </c>
      <c r="K825">
        <v>56</v>
      </c>
      <c r="L825">
        <v>4</v>
      </c>
    </row>
    <row r="826" spans="1:12" x14ac:dyDescent="0.2">
      <c r="A826" t="s">
        <v>2172</v>
      </c>
      <c r="B826" t="s">
        <v>2173</v>
      </c>
      <c r="C826" t="s">
        <v>44</v>
      </c>
      <c r="D826" t="s">
        <v>89</v>
      </c>
      <c r="E826" t="s">
        <v>180</v>
      </c>
      <c r="F826" t="s">
        <v>1065</v>
      </c>
      <c r="G826" t="s">
        <v>77</v>
      </c>
      <c r="H826">
        <v>222.69</v>
      </c>
      <c r="I826" t="s">
        <v>19</v>
      </c>
      <c r="J826" t="s">
        <v>26</v>
      </c>
      <c r="K826">
        <v>50</v>
      </c>
      <c r="L826">
        <v>5</v>
      </c>
    </row>
    <row r="827" spans="1:12" x14ac:dyDescent="0.2">
      <c r="A827" t="s">
        <v>2174</v>
      </c>
      <c r="B827" t="s">
        <v>2175</v>
      </c>
      <c r="C827" t="s">
        <v>29</v>
      </c>
      <c r="D827" t="s">
        <v>74</v>
      </c>
      <c r="E827" t="s">
        <v>16</v>
      </c>
      <c r="F827" t="s">
        <v>2176</v>
      </c>
      <c r="G827" t="s">
        <v>40</v>
      </c>
      <c r="H827">
        <v>163.57</v>
      </c>
      <c r="I827" t="s">
        <v>65</v>
      </c>
      <c r="J827" t="s">
        <v>50</v>
      </c>
      <c r="K827">
        <v>21</v>
      </c>
    </row>
    <row r="828" spans="1:12" x14ac:dyDescent="0.2">
      <c r="A828" t="s">
        <v>2177</v>
      </c>
      <c r="B828" t="s">
        <v>2178</v>
      </c>
      <c r="C828" t="s">
        <v>53</v>
      </c>
      <c r="D828" t="s">
        <v>139</v>
      </c>
      <c r="E828" t="s">
        <v>24</v>
      </c>
      <c r="F828" t="s">
        <v>2179</v>
      </c>
      <c r="G828" t="s">
        <v>57</v>
      </c>
      <c r="H828">
        <v>68.760000000000005</v>
      </c>
      <c r="I828" t="s">
        <v>122</v>
      </c>
      <c r="J828" t="s">
        <v>41</v>
      </c>
      <c r="K828">
        <v>51</v>
      </c>
    </row>
    <row r="829" spans="1:12" x14ac:dyDescent="0.2">
      <c r="A829" t="s">
        <v>2180</v>
      </c>
      <c r="B829" t="s">
        <v>2181</v>
      </c>
      <c r="C829" t="s">
        <v>14</v>
      </c>
      <c r="D829" t="s">
        <v>139</v>
      </c>
      <c r="E829" t="s">
        <v>132</v>
      </c>
      <c r="F829" t="s">
        <v>712</v>
      </c>
      <c r="G829" t="s">
        <v>18</v>
      </c>
      <c r="H829">
        <v>284.56</v>
      </c>
      <c r="I829" t="s">
        <v>65</v>
      </c>
      <c r="J829" t="s">
        <v>20</v>
      </c>
      <c r="K829">
        <v>31</v>
      </c>
      <c r="L829">
        <v>5</v>
      </c>
    </row>
    <row r="830" spans="1:12" x14ac:dyDescent="0.2">
      <c r="A830" t="s">
        <v>2182</v>
      </c>
      <c r="B830" t="s">
        <v>2183</v>
      </c>
      <c r="C830" t="s">
        <v>29</v>
      </c>
      <c r="D830" t="s">
        <v>89</v>
      </c>
      <c r="E830" t="s">
        <v>38</v>
      </c>
      <c r="F830" t="s">
        <v>534</v>
      </c>
      <c r="G830" t="s">
        <v>57</v>
      </c>
      <c r="H830">
        <v>98.62</v>
      </c>
      <c r="I830" t="s">
        <v>49</v>
      </c>
      <c r="J830" t="s">
        <v>20</v>
      </c>
      <c r="K830">
        <v>45</v>
      </c>
      <c r="L830">
        <v>4</v>
      </c>
    </row>
    <row r="831" spans="1:12" x14ac:dyDescent="0.2">
      <c r="A831" t="s">
        <v>2184</v>
      </c>
      <c r="B831" t="s">
        <v>2185</v>
      </c>
      <c r="C831" t="s">
        <v>106</v>
      </c>
      <c r="D831" t="s">
        <v>139</v>
      </c>
      <c r="E831" t="s">
        <v>55</v>
      </c>
      <c r="F831" t="s">
        <v>421</v>
      </c>
      <c r="G831" t="s">
        <v>33</v>
      </c>
      <c r="H831">
        <v>328.59</v>
      </c>
      <c r="I831" t="s">
        <v>19</v>
      </c>
      <c r="J831" t="s">
        <v>41</v>
      </c>
      <c r="K831">
        <v>49</v>
      </c>
      <c r="L831">
        <v>5</v>
      </c>
    </row>
    <row r="832" spans="1:12" x14ac:dyDescent="0.2">
      <c r="A832" t="s">
        <v>2186</v>
      </c>
      <c r="B832" t="s">
        <v>2187</v>
      </c>
      <c r="C832" t="s">
        <v>44</v>
      </c>
      <c r="D832" t="s">
        <v>37</v>
      </c>
      <c r="E832" t="s">
        <v>118</v>
      </c>
      <c r="F832" t="s">
        <v>2188</v>
      </c>
      <c r="G832" t="s">
        <v>48</v>
      </c>
      <c r="H832">
        <v>369.97</v>
      </c>
      <c r="I832" t="s">
        <v>122</v>
      </c>
      <c r="J832" t="s">
        <v>41</v>
      </c>
      <c r="K832">
        <v>56</v>
      </c>
      <c r="L832">
        <v>1</v>
      </c>
    </row>
    <row r="833" spans="1:12" x14ac:dyDescent="0.2">
      <c r="A833" t="s">
        <v>2189</v>
      </c>
      <c r="B833" t="s">
        <v>2190</v>
      </c>
      <c r="C833" t="s">
        <v>106</v>
      </c>
      <c r="D833" t="s">
        <v>15</v>
      </c>
      <c r="E833" t="s">
        <v>62</v>
      </c>
      <c r="F833" t="s">
        <v>1229</v>
      </c>
      <c r="G833" t="s">
        <v>57</v>
      </c>
      <c r="H833">
        <v>113.8</v>
      </c>
      <c r="I833" t="s">
        <v>49</v>
      </c>
      <c r="J833" t="s">
        <v>26</v>
      </c>
      <c r="K833">
        <v>47</v>
      </c>
    </row>
    <row r="834" spans="1:12" x14ac:dyDescent="0.2">
      <c r="A834" t="s">
        <v>2191</v>
      </c>
      <c r="B834" t="s">
        <v>2192</v>
      </c>
      <c r="C834" t="s">
        <v>60</v>
      </c>
      <c r="D834" t="s">
        <v>139</v>
      </c>
      <c r="E834" t="s">
        <v>238</v>
      </c>
      <c r="F834" t="s">
        <v>264</v>
      </c>
      <c r="G834" t="s">
        <v>57</v>
      </c>
      <c r="H834">
        <v>208.95</v>
      </c>
      <c r="I834" t="s">
        <v>19</v>
      </c>
      <c r="J834" t="s">
        <v>41</v>
      </c>
      <c r="K834">
        <v>48</v>
      </c>
      <c r="L834">
        <v>4</v>
      </c>
    </row>
    <row r="835" spans="1:12" x14ac:dyDescent="0.2">
      <c r="A835" t="s">
        <v>2193</v>
      </c>
      <c r="B835" t="s">
        <v>2194</v>
      </c>
      <c r="C835" t="s">
        <v>53</v>
      </c>
      <c r="D835" t="s">
        <v>74</v>
      </c>
      <c r="E835" t="s">
        <v>272</v>
      </c>
      <c r="F835" t="s">
        <v>1941</v>
      </c>
      <c r="G835" t="s">
        <v>57</v>
      </c>
      <c r="H835">
        <v>329.73</v>
      </c>
      <c r="I835" t="s">
        <v>19</v>
      </c>
      <c r="J835" t="s">
        <v>20</v>
      </c>
      <c r="K835">
        <v>56</v>
      </c>
    </row>
    <row r="836" spans="1:12" x14ac:dyDescent="0.2">
      <c r="A836" t="s">
        <v>2195</v>
      </c>
      <c r="B836" t="s">
        <v>2196</v>
      </c>
      <c r="C836" t="s">
        <v>117</v>
      </c>
      <c r="D836" t="s">
        <v>74</v>
      </c>
      <c r="E836" t="s">
        <v>132</v>
      </c>
      <c r="F836" t="s">
        <v>2197</v>
      </c>
      <c r="G836" t="s">
        <v>77</v>
      </c>
      <c r="H836">
        <v>497.4</v>
      </c>
      <c r="I836" t="s">
        <v>19</v>
      </c>
      <c r="J836" t="s">
        <v>26</v>
      </c>
      <c r="K836">
        <v>43</v>
      </c>
      <c r="L836">
        <v>1</v>
      </c>
    </row>
    <row r="837" spans="1:12" x14ac:dyDescent="0.2">
      <c r="A837" t="s">
        <v>2198</v>
      </c>
      <c r="B837" t="s">
        <v>2199</v>
      </c>
      <c r="C837" t="s">
        <v>106</v>
      </c>
      <c r="D837" t="s">
        <v>74</v>
      </c>
      <c r="E837" t="s">
        <v>24</v>
      </c>
      <c r="F837" t="s">
        <v>2200</v>
      </c>
      <c r="G837" t="s">
        <v>64</v>
      </c>
      <c r="H837">
        <v>473.38</v>
      </c>
      <c r="I837" t="s">
        <v>122</v>
      </c>
      <c r="J837" t="s">
        <v>50</v>
      </c>
      <c r="K837">
        <v>67</v>
      </c>
      <c r="L837">
        <v>4</v>
      </c>
    </row>
    <row r="838" spans="1:12" x14ac:dyDescent="0.2">
      <c r="A838" t="s">
        <v>2201</v>
      </c>
      <c r="B838" t="s">
        <v>2202</v>
      </c>
      <c r="C838" t="s">
        <v>14</v>
      </c>
      <c r="D838" t="s">
        <v>45</v>
      </c>
      <c r="E838" t="s">
        <v>55</v>
      </c>
      <c r="F838" t="s">
        <v>2203</v>
      </c>
      <c r="G838" t="s">
        <v>18</v>
      </c>
      <c r="H838">
        <v>310.56</v>
      </c>
      <c r="I838" t="s">
        <v>19</v>
      </c>
      <c r="J838" t="s">
        <v>20</v>
      </c>
      <c r="K838">
        <v>85</v>
      </c>
    </row>
    <row r="839" spans="1:12" x14ac:dyDescent="0.2">
      <c r="A839" t="s">
        <v>2204</v>
      </c>
      <c r="B839" t="s">
        <v>2205</v>
      </c>
      <c r="C839" t="s">
        <v>106</v>
      </c>
      <c r="D839" t="s">
        <v>61</v>
      </c>
      <c r="E839" t="s">
        <v>69</v>
      </c>
      <c r="F839" t="s">
        <v>1164</v>
      </c>
      <c r="G839" t="s">
        <v>18</v>
      </c>
      <c r="H839">
        <v>218.46</v>
      </c>
      <c r="I839" t="s">
        <v>49</v>
      </c>
      <c r="J839" t="s">
        <v>41</v>
      </c>
      <c r="K839">
        <v>37</v>
      </c>
      <c r="L839">
        <v>3</v>
      </c>
    </row>
    <row r="840" spans="1:12" x14ac:dyDescent="0.2">
      <c r="A840" t="s">
        <v>2206</v>
      </c>
      <c r="B840" t="s">
        <v>2207</v>
      </c>
      <c r="C840" t="s">
        <v>117</v>
      </c>
      <c r="D840" t="s">
        <v>54</v>
      </c>
      <c r="E840" t="s">
        <v>24</v>
      </c>
      <c r="F840" t="s">
        <v>1499</v>
      </c>
      <c r="G840" t="s">
        <v>57</v>
      </c>
      <c r="H840">
        <v>250.06</v>
      </c>
      <c r="I840" t="s">
        <v>19</v>
      </c>
      <c r="J840" t="s">
        <v>26</v>
      </c>
      <c r="K840">
        <v>89</v>
      </c>
    </row>
    <row r="841" spans="1:12" x14ac:dyDescent="0.2">
      <c r="A841" t="s">
        <v>2208</v>
      </c>
      <c r="B841" t="s">
        <v>2209</v>
      </c>
      <c r="C841" t="s">
        <v>53</v>
      </c>
      <c r="D841" t="s">
        <v>89</v>
      </c>
      <c r="E841" t="s">
        <v>257</v>
      </c>
      <c r="F841" t="s">
        <v>2197</v>
      </c>
      <c r="G841" t="s">
        <v>33</v>
      </c>
      <c r="H841">
        <v>167.77</v>
      </c>
      <c r="I841" t="s">
        <v>65</v>
      </c>
      <c r="J841" t="s">
        <v>20</v>
      </c>
      <c r="K841">
        <v>49</v>
      </c>
      <c r="L841">
        <v>5</v>
      </c>
    </row>
    <row r="842" spans="1:12" x14ac:dyDescent="0.2">
      <c r="A842" t="s">
        <v>2210</v>
      </c>
      <c r="B842" t="s">
        <v>2211</v>
      </c>
      <c r="C842" t="s">
        <v>44</v>
      </c>
      <c r="D842" t="s">
        <v>61</v>
      </c>
      <c r="E842" t="s">
        <v>473</v>
      </c>
      <c r="F842" t="s">
        <v>2212</v>
      </c>
      <c r="G842" t="s">
        <v>91</v>
      </c>
      <c r="H842">
        <v>338.88</v>
      </c>
      <c r="I842" t="s">
        <v>65</v>
      </c>
      <c r="J842" t="s">
        <v>41</v>
      </c>
      <c r="K842">
        <v>31</v>
      </c>
    </row>
    <row r="843" spans="1:12" x14ac:dyDescent="0.2">
      <c r="A843" t="s">
        <v>2213</v>
      </c>
      <c r="B843" t="s">
        <v>2214</v>
      </c>
      <c r="C843" t="s">
        <v>14</v>
      </c>
      <c r="D843" t="s">
        <v>45</v>
      </c>
      <c r="E843" t="s">
        <v>349</v>
      </c>
      <c r="F843" t="s">
        <v>2215</v>
      </c>
      <c r="G843" t="s">
        <v>77</v>
      </c>
      <c r="H843">
        <v>272.39</v>
      </c>
      <c r="I843" t="s">
        <v>122</v>
      </c>
      <c r="J843" t="s">
        <v>50</v>
      </c>
      <c r="K843">
        <v>19</v>
      </c>
      <c r="L843">
        <v>3</v>
      </c>
    </row>
    <row r="844" spans="1:12" x14ac:dyDescent="0.2">
      <c r="A844" t="s">
        <v>2216</v>
      </c>
      <c r="B844" t="s">
        <v>916</v>
      </c>
      <c r="C844" t="s">
        <v>44</v>
      </c>
      <c r="D844" t="s">
        <v>74</v>
      </c>
      <c r="E844" t="s">
        <v>161</v>
      </c>
      <c r="F844" t="s">
        <v>2217</v>
      </c>
      <c r="G844" t="s">
        <v>57</v>
      </c>
      <c r="H844">
        <v>345.09</v>
      </c>
      <c r="I844" t="s">
        <v>49</v>
      </c>
      <c r="J844" t="s">
        <v>20</v>
      </c>
      <c r="K844">
        <v>83</v>
      </c>
      <c r="L844">
        <v>4</v>
      </c>
    </row>
    <row r="845" spans="1:12" x14ac:dyDescent="0.2">
      <c r="A845" t="s">
        <v>2218</v>
      </c>
      <c r="B845" t="s">
        <v>2219</v>
      </c>
      <c r="C845" t="s">
        <v>60</v>
      </c>
      <c r="D845" t="s">
        <v>54</v>
      </c>
      <c r="E845" t="s">
        <v>272</v>
      </c>
      <c r="F845" t="s">
        <v>1812</v>
      </c>
      <c r="G845" t="s">
        <v>57</v>
      </c>
      <c r="H845">
        <v>228.17</v>
      </c>
      <c r="I845" t="s">
        <v>19</v>
      </c>
      <c r="J845" t="s">
        <v>50</v>
      </c>
      <c r="K845">
        <v>55</v>
      </c>
      <c r="L845">
        <v>5</v>
      </c>
    </row>
    <row r="846" spans="1:12" x14ac:dyDescent="0.2">
      <c r="A846" t="s">
        <v>2220</v>
      </c>
      <c r="B846" t="s">
        <v>2221</v>
      </c>
      <c r="C846" t="s">
        <v>106</v>
      </c>
      <c r="D846" t="s">
        <v>54</v>
      </c>
      <c r="E846" t="s">
        <v>62</v>
      </c>
      <c r="F846" t="s">
        <v>742</v>
      </c>
      <c r="G846" t="s">
        <v>57</v>
      </c>
      <c r="H846">
        <v>159.96</v>
      </c>
      <c r="I846" t="s">
        <v>19</v>
      </c>
      <c r="J846" t="s">
        <v>50</v>
      </c>
      <c r="K846">
        <v>34</v>
      </c>
      <c r="L846">
        <v>5</v>
      </c>
    </row>
    <row r="847" spans="1:12" x14ac:dyDescent="0.2">
      <c r="A847" t="s">
        <v>2222</v>
      </c>
      <c r="B847" t="s">
        <v>2223</v>
      </c>
      <c r="C847" t="s">
        <v>44</v>
      </c>
      <c r="D847" t="s">
        <v>45</v>
      </c>
      <c r="E847" t="s">
        <v>85</v>
      </c>
      <c r="F847" t="s">
        <v>953</v>
      </c>
      <c r="G847" t="s">
        <v>33</v>
      </c>
      <c r="H847">
        <v>494.61</v>
      </c>
      <c r="I847" t="s">
        <v>49</v>
      </c>
      <c r="J847" t="s">
        <v>26</v>
      </c>
      <c r="K847">
        <v>77</v>
      </c>
      <c r="L847">
        <v>4</v>
      </c>
    </row>
    <row r="848" spans="1:12" x14ac:dyDescent="0.2">
      <c r="A848" t="s">
        <v>2224</v>
      </c>
      <c r="B848" t="s">
        <v>1112</v>
      </c>
      <c r="C848" t="s">
        <v>44</v>
      </c>
      <c r="D848" t="s">
        <v>15</v>
      </c>
      <c r="E848" t="s">
        <v>69</v>
      </c>
      <c r="F848" t="s">
        <v>1872</v>
      </c>
      <c r="G848" t="s">
        <v>64</v>
      </c>
      <c r="H848">
        <v>75.11</v>
      </c>
      <c r="I848" t="s">
        <v>122</v>
      </c>
      <c r="J848" t="s">
        <v>41</v>
      </c>
      <c r="K848">
        <v>44</v>
      </c>
      <c r="L848">
        <v>4</v>
      </c>
    </row>
    <row r="849" spans="1:12" x14ac:dyDescent="0.2">
      <c r="A849" t="s">
        <v>2225</v>
      </c>
      <c r="B849" t="s">
        <v>2226</v>
      </c>
      <c r="C849" t="s">
        <v>44</v>
      </c>
      <c r="D849" t="s">
        <v>15</v>
      </c>
      <c r="E849" t="s">
        <v>161</v>
      </c>
      <c r="F849" t="s">
        <v>214</v>
      </c>
      <c r="G849" t="s">
        <v>33</v>
      </c>
      <c r="H849">
        <v>412.11</v>
      </c>
      <c r="I849" t="s">
        <v>49</v>
      </c>
      <c r="J849" t="s">
        <v>50</v>
      </c>
      <c r="K849">
        <v>34</v>
      </c>
      <c r="L849">
        <v>3</v>
      </c>
    </row>
    <row r="850" spans="1:12" x14ac:dyDescent="0.2">
      <c r="A850" t="s">
        <v>2227</v>
      </c>
      <c r="B850" t="s">
        <v>2228</v>
      </c>
      <c r="C850" t="s">
        <v>106</v>
      </c>
      <c r="D850" t="s">
        <v>61</v>
      </c>
      <c r="E850" t="s">
        <v>81</v>
      </c>
      <c r="F850" t="s">
        <v>390</v>
      </c>
      <c r="G850" t="s">
        <v>91</v>
      </c>
      <c r="H850">
        <v>444.71</v>
      </c>
      <c r="I850" t="s">
        <v>49</v>
      </c>
      <c r="J850" t="s">
        <v>20</v>
      </c>
      <c r="K850">
        <v>44</v>
      </c>
      <c r="L850">
        <v>4</v>
      </c>
    </row>
    <row r="851" spans="1:12" x14ac:dyDescent="0.2">
      <c r="A851" t="s">
        <v>2229</v>
      </c>
      <c r="B851" t="s">
        <v>1999</v>
      </c>
      <c r="C851" t="s">
        <v>53</v>
      </c>
      <c r="D851" t="s">
        <v>80</v>
      </c>
      <c r="E851" t="s">
        <v>144</v>
      </c>
      <c r="F851" t="s">
        <v>2015</v>
      </c>
      <c r="G851" t="s">
        <v>64</v>
      </c>
      <c r="H851">
        <v>154.46</v>
      </c>
      <c r="I851" t="s">
        <v>122</v>
      </c>
      <c r="J851" t="s">
        <v>50</v>
      </c>
      <c r="K851">
        <v>89</v>
      </c>
      <c r="L851">
        <v>5</v>
      </c>
    </row>
    <row r="852" spans="1:12" x14ac:dyDescent="0.2">
      <c r="A852" t="s">
        <v>2230</v>
      </c>
      <c r="B852" t="s">
        <v>2231</v>
      </c>
      <c r="C852" t="s">
        <v>68</v>
      </c>
      <c r="D852" t="s">
        <v>125</v>
      </c>
      <c r="E852" t="s">
        <v>46</v>
      </c>
      <c r="F852" t="s">
        <v>187</v>
      </c>
      <c r="G852" t="s">
        <v>48</v>
      </c>
      <c r="H852">
        <v>382.57</v>
      </c>
      <c r="I852" t="s">
        <v>65</v>
      </c>
      <c r="J852" t="s">
        <v>41</v>
      </c>
      <c r="K852">
        <v>69</v>
      </c>
      <c r="L852">
        <v>3</v>
      </c>
    </row>
    <row r="853" spans="1:12" x14ac:dyDescent="0.2">
      <c r="A853" t="s">
        <v>2232</v>
      </c>
      <c r="B853" t="s">
        <v>2233</v>
      </c>
      <c r="C853" t="s">
        <v>117</v>
      </c>
      <c r="D853" t="s">
        <v>54</v>
      </c>
      <c r="E853" t="s">
        <v>154</v>
      </c>
      <c r="F853" t="s">
        <v>2234</v>
      </c>
      <c r="G853" t="s">
        <v>64</v>
      </c>
      <c r="H853">
        <v>239.91</v>
      </c>
      <c r="I853" t="s">
        <v>122</v>
      </c>
      <c r="J853" t="s">
        <v>50</v>
      </c>
      <c r="K853">
        <v>80</v>
      </c>
      <c r="L853">
        <v>5</v>
      </c>
    </row>
    <row r="854" spans="1:12" x14ac:dyDescent="0.2">
      <c r="A854" t="s">
        <v>2235</v>
      </c>
      <c r="B854" t="s">
        <v>2236</v>
      </c>
      <c r="C854" t="s">
        <v>23</v>
      </c>
      <c r="D854" t="s">
        <v>80</v>
      </c>
      <c r="E854" t="s">
        <v>102</v>
      </c>
      <c r="F854" t="s">
        <v>1437</v>
      </c>
      <c r="G854" t="s">
        <v>33</v>
      </c>
      <c r="H854">
        <v>349.05</v>
      </c>
      <c r="I854" t="s">
        <v>122</v>
      </c>
      <c r="J854" t="s">
        <v>20</v>
      </c>
      <c r="K854">
        <v>84</v>
      </c>
    </row>
    <row r="855" spans="1:12" x14ac:dyDescent="0.2">
      <c r="A855" t="s">
        <v>2237</v>
      </c>
      <c r="B855" t="s">
        <v>2238</v>
      </c>
      <c r="C855" t="s">
        <v>29</v>
      </c>
      <c r="D855" t="s">
        <v>15</v>
      </c>
      <c r="E855" t="s">
        <v>31</v>
      </c>
      <c r="F855" t="s">
        <v>1051</v>
      </c>
      <c r="G855" t="s">
        <v>33</v>
      </c>
      <c r="H855">
        <v>233.5</v>
      </c>
      <c r="I855" t="s">
        <v>65</v>
      </c>
      <c r="J855" t="s">
        <v>26</v>
      </c>
      <c r="K855">
        <v>18</v>
      </c>
      <c r="L855">
        <v>1</v>
      </c>
    </row>
    <row r="856" spans="1:12" x14ac:dyDescent="0.2">
      <c r="A856" t="s">
        <v>2239</v>
      </c>
      <c r="B856" t="s">
        <v>2240</v>
      </c>
      <c r="C856" t="s">
        <v>60</v>
      </c>
      <c r="D856" t="s">
        <v>80</v>
      </c>
      <c r="E856" t="s">
        <v>75</v>
      </c>
      <c r="F856" t="s">
        <v>1065</v>
      </c>
      <c r="G856" t="s">
        <v>91</v>
      </c>
      <c r="H856">
        <v>256.61</v>
      </c>
      <c r="I856" t="s">
        <v>19</v>
      </c>
      <c r="J856" t="s">
        <v>20</v>
      </c>
      <c r="K856">
        <v>19</v>
      </c>
      <c r="L856">
        <v>3</v>
      </c>
    </row>
    <row r="857" spans="1:12" x14ac:dyDescent="0.2">
      <c r="A857" t="s">
        <v>2241</v>
      </c>
      <c r="B857" t="s">
        <v>2242</v>
      </c>
      <c r="C857" t="s">
        <v>29</v>
      </c>
      <c r="D857" t="s">
        <v>125</v>
      </c>
      <c r="E857" t="s">
        <v>46</v>
      </c>
      <c r="F857" t="s">
        <v>440</v>
      </c>
      <c r="G857" t="s">
        <v>33</v>
      </c>
      <c r="H857">
        <v>127.8</v>
      </c>
      <c r="I857" t="s">
        <v>122</v>
      </c>
      <c r="J857" t="s">
        <v>50</v>
      </c>
      <c r="K857">
        <v>65</v>
      </c>
      <c r="L857">
        <v>3</v>
      </c>
    </row>
    <row r="858" spans="1:12" x14ac:dyDescent="0.2">
      <c r="A858" t="s">
        <v>2243</v>
      </c>
      <c r="B858" t="s">
        <v>2244</v>
      </c>
      <c r="C858" t="s">
        <v>68</v>
      </c>
      <c r="D858" t="s">
        <v>15</v>
      </c>
      <c r="E858" t="s">
        <v>129</v>
      </c>
      <c r="F858" t="s">
        <v>950</v>
      </c>
      <c r="G858" t="s">
        <v>18</v>
      </c>
      <c r="H858">
        <v>225.61</v>
      </c>
      <c r="I858" t="s">
        <v>65</v>
      </c>
      <c r="J858" t="s">
        <v>20</v>
      </c>
      <c r="K858">
        <v>20</v>
      </c>
      <c r="L858">
        <v>2</v>
      </c>
    </row>
    <row r="859" spans="1:12" x14ac:dyDescent="0.2">
      <c r="A859" t="s">
        <v>2245</v>
      </c>
      <c r="B859" t="s">
        <v>2144</v>
      </c>
      <c r="C859" t="s">
        <v>117</v>
      </c>
      <c r="D859" t="s">
        <v>139</v>
      </c>
      <c r="E859" t="s">
        <v>257</v>
      </c>
      <c r="F859" t="s">
        <v>2118</v>
      </c>
      <c r="G859" t="s">
        <v>77</v>
      </c>
      <c r="H859">
        <v>195.08</v>
      </c>
      <c r="I859" t="s">
        <v>49</v>
      </c>
      <c r="J859" t="s">
        <v>20</v>
      </c>
      <c r="K859">
        <v>77</v>
      </c>
      <c r="L859">
        <v>4</v>
      </c>
    </row>
    <row r="860" spans="1:12" x14ac:dyDescent="0.2">
      <c r="A860" t="s">
        <v>2246</v>
      </c>
      <c r="B860" t="s">
        <v>2247</v>
      </c>
      <c r="C860" t="s">
        <v>117</v>
      </c>
      <c r="D860" t="s">
        <v>89</v>
      </c>
      <c r="E860" t="s">
        <v>85</v>
      </c>
      <c r="F860" t="s">
        <v>1442</v>
      </c>
      <c r="G860" t="s">
        <v>48</v>
      </c>
      <c r="H860">
        <v>232.8</v>
      </c>
      <c r="I860" t="s">
        <v>49</v>
      </c>
      <c r="J860" t="s">
        <v>50</v>
      </c>
      <c r="K860">
        <v>66</v>
      </c>
      <c r="L860">
        <v>1</v>
      </c>
    </row>
    <row r="861" spans="1:12" x14ac:dyDescent="0.2">
      <c r="A861" t="s">
        <v>2248</v>
      </c>
      <c r="B861" t="s">
        <v>2249</v>
      </c>
      <c r="C861" t="s">
        <v>106</v>
      </c>
      <c r="D861" t="s">
        <v>89</v>
      </c>
      <c r="E861" t="s">
        <v>238</v>
      </c>
      <c r="F861" t="s">
        <v>925</v>
      </c>
      <c r="G861" t="s">
        <v>33</v>
      </c>
      <c r="H861">
        <v>220.03</v>
      </c>
      <c r="I861" t="s">
        <v>49</v>
      </c>
      <c r="J861" t="s">
        <v>41</v>
      </c>
      <c r="K861">
        <v>89</v>
      </c>
      <c r="L861">
        <v>2</v>
      </c>
    </row>
    <row r="862" spans="1:12" x14ac:dyDescent="0.2">
      <c r="A862" t="s">
        <v>2250</v>
      </c>
      <c r="B862" t="s">
        <v>2251</v>
      </c>
      <c r="C862" t="s">
        <v>68</v>
      </c>
      <c r="D862" t="s">
        <v>45</v>
      </c>
      <c r="E862" t="s">
        <v>75</v>
      </c>
      <c r="F862" t="s">
        <v>1319</v>
      </c>
      <c r="G862" t="s">
        <v>48</v>
      </c>
      <c r="H862">
        <v>243.11</v>
      </c>
      <c r="I862" t="s">
        <v>122</v>
      </c>
      <c r="J862" t="s">
        <v>20</v>
      </c>
      <c r="K862">
        <v>79</v>
      </c>
      <c r="L862">
        <v>4</v>
      </c>
    </row>
    <row r="863" spans="1:12" x14ac:dyDescent="0.2">
      <c r="A863" t="s">
        <v>2252</v>
      </c>
      <c r="B863" t="s">
        <v>2253</v>
      </c>
      <c r="C863" t="s">
        <v>44</v>
      </c>
      <c r="D863" t="s">
        <v>80</v>
      </c>
      <c r="E863" t="s">
        <v>154</v>
      </c>
      <c r="F863" t="s">
        <v>162</v>
      </c>
      <c r="G863" t="s">
        <v>40</v>
      </c>
      <c r="H863">
        <v>367.9</v>
      </c>
      <c r="I863" t="s">
        <v>19</v>
      </c>
      <c r="J863" t="s">
        <v>50</v>
      </c>
      <c r="K863">
        <v>16</v>
      </c>
      <c r="L863">
        <v>3</v>
      </c>
    </row>
    <row r="864" spans="1:12" x14ac:dyDescent="0.2">
      <c r="A864" t="s">
        <v>2254</v>
      </c>
      <c r="B864" t="s">
        <v>2255</v>
      </c>
      <c r="C864" t="s">
        <v>106</v>
      </c>
      <c r="D864" t="s">
        <v>80</v>
      </c>
      <c r="E864" t="s">
        <v>161</v>
      </c>
      <c r="F864" t="s">
        <v>318</v>
      </c>
      <c r="G864" t="s">
        <v>57</v>
      </c>
      <c r="H864">
        <v>224.58</v>
      </c>
      <c r="I864" t="s">
        <v>19</v>
      </c>
      <c r="J864" t="s">
        <v>20</v>
      </c>
      <c r="K864">
        <v>86</v>
      </c>
      <c r="L864">
        <v>5</v>
      </c>
    </row>
    <row r="865" spans="1:12" x14ac:dyDescent="0.2">
      <c r="A865" t="s">
        <v>2256</v>
      </c>
      <c r="B865" t="s">
        <v>2257</v>
      </c>
      <c r="C865" t="s">
        <v>23</v>
      </c>
      <c r="D865" t="s">
        <v>89</v>
      </c>
      <c r="E865" t="s">
        <v>257</v>
      </c>
      <c r="F865" t="s">
        <v>1450</v>
      </c>
      <c r="G865" t="s">
        <v>33</v>
      </c>
      <c r="H865">
        <v>485.15</v>
      </c>
      <c r="I865" t="s">
        <v>49</v>
      </c>
      <c r="J865" t="s">
        <v>26</v>
      </c>
      <c r="K865">
        <v>83</v>
      </c>
      <c r="L865">
        <v>1</v>
      </c>
    </row>
    <row r="866" spans="1:12" x14ac:dyDescent="0.2">
      <c r="A866" t="s">
        <v>2258</v>
      </c>
      <c r="B866" t="s">
        <v>2259</v>
      </c>
      <c r="C866" t="s">
        <v>117</v>
      </c>
      <c r="D866" t="s">
        <v>15</v>
      </c>
      <c r="E866" t="s">
        <v>198</v>
      </c>
      <c r="F866" t="s">
        <v>1812</v>
      </c>
      <c r="G866" t="s">
        <v>57</v>
      </c>
      <c r="H866">
        <v>222.06</v>
      </c>
      <c r="I866" t="s">
        <v>122</v>
      </c>
      <c r="J866" t="s">
        <v>26</v>
      </c>
      <c r="K866">
        <v>64</v>
      </c>
      <c r="L866">
        <v>5</v>
      </c>
    </row>
    <row r="867" spans="1:12" x14ac:dyDescent="0.2">
      <c r="A867" t="s">
        <v>2260</v>
      </c>
      <c r="B867" t="s">
        <v>2261</v>
      </c>
      <c r="C867" t="s">
        <v>73</v>
      </c>
      <c r="D867" t="s">
        <v>125</v>
      </c>
      <c r="E867" t="s">
        <v>75</v>
      </c>
      <c r="F867" t="s">
        <v>736</v>
      </c>
      <c r="G867" t="s">
        <v>64</v>
      </c>
      <c r="H867">
        <v>373.29</v>
      </c>
      <c r="I867" t="s">
        <v>122</v>
      </c>
      <c r="J867" t="s">
        <v>50</v>
      </c>
      <c r="K867">
        <v>19</v>
      </c>
      <c r="L867">
        <v>5</v>
      </c>
    </row>
    <row r="868" spans="1:12" x14ac:dyDescent="0.2">
      <c r="A868" t="s">
        <v>2262</v>
      </c>
      <c r="B868" t="s">
        <v>2263</v>
      </c>
      <c r="C868" t="s">
        <v>117</v>
      </c>
      <c r="D868" t="s">
        <v>89</v>
      </c>
      <c r="E868" t="s">
        <v>75</v>
      </c>
      <c r="F868" t="s">
        <v>2264</v>
      </c>
      <c r="G868" t="s">
        <v>48</v>
      </c>
      <c r="H868">
        <v>273.17</v>
      </c>
      <c r="I868" t="s">
        <v>49</v>
      </c>
      <c r="J868" t="s">
        <v>41</v>
      </c>
      <c r="K868">
        <v>25</v>
      </c>
    </row>
    <row r="869" spans="1:12" x14ac:dyDescent="0.2">
      <c r="A869" t="s">
        <v>2265</v>
      </c>
      <c r="B869" t="s">
        <v>2266</v>
      </c>
      <c r="C869" t="s">
        <v>117</v>
      </c>
      <c r="D869" t="s">
        <v>80</v>
      </c>
      <c r="E869" t="s">
        <v>473</v>
      </c>
      <c r="F869" t="s">
        <v>773</v>
      </c>
      <c r="G869" t="s">
        <v>77</v>
      </c>
      <c r="H869">
        <v>332.43</v>
      </c>
      <c r="I869" t="s">
        <v>19</v>
      </c>
      <c r="J869" t="s">
        <v>50</v>
      </c>
      <c r="K869">
        <v>77</v>
      </c>
      <c r="L869">
        <v>5</v>
      </c>
    </row>
    <row r="870" spans="1:12" x14ac:dyDescent="0.2">
      <c r="A870" t="s">
        <v>2267</v>
      </c>
      <c r="B870" t="s">
        <v>2268</v>
      </c>
      <c r="C870" t="s">
        <v>29</v>
      </c>
      <c r="D870" t="s">
        <v>89</v>
      </c>
      <c r="E870" t="s">
        <v>180</v>
      </c>
      <c r="F870" t="s">
        <v>2269</v>
      </c>
      <c r="G870" t="s">
        <v>33</v>
      </c>
      <c r="H870">
        <v>203.55</v>
      </c>
      <c r="I870" t="s">
        <v>65</v>
      </c>
      <c r="J870" t="s">
        <v>50</v>
      </c>
      <c r="K870">
        <v>78</v>
      </c>
      <c r="L870">
        <v>1</v>
      </c>
    </row>
    <row r="871" spans="1:12" x14ac:dyDescent="0.2">
      <c r="A871" t="s">
        <v>2270</v>
      </c>
      <c r="B871" t="s">
        <v>2271</v>
      </c>
      <c r="C871" t="s">
        <v>73</v>
      </c>
      <c r="D871" t="s">
        <v>74</v>
      </c>
      <c r="E871" t="s">
        <v>85</v>
      </c>
      <c r="F871" t="s">
        <v>2272</v>
      </c>
      <c r="G871" t="s">
        <v>91</v>
      </c>
      <c r="H871">
        <v>160.80000000000001</v>
      </c>
      <c r="I871" t="s">
        <v>19</v>
      </c>
      <c r="J871" t="s">
        <v>41</v>
      </c>
      <c r="K871">
        <v>55</v>
      </c>
      <c r="L871">
        <v>1</v>
      </c>
    </row>
    <row r="872" spans="1:12" x14ac:dyDescent="0.2">
      <c r="A872" t="s">
        <v>2273</v>
      </c>
      <c r="B872" t="s">
        <v>2274</v>
      </c>
      <c r="C872" t="s">
        <v>29</v>
      </c>
      <c r="D872" t="s">
        <v>139</v>
      </c>
      <c r="E872" t="s">
        <v>75</v>
      </c>
      <c r="F872" t="s">
        <v>258</v>
      </c>
      <c r="G872" t="s">
        <v>57</v>
      </c>
      <c r="H872">
        <v>109.16</v>
      </c>
      <c r="I872" t="s">
        <v>19</v>
      </c>
      <c r="J872" t="s">
        <v>20</v>
      </c>
      <c r="K872">
        <v>63</v>
      </c>
    </row>
    <row r="873" spans="1:12" x14ac:dyDescent="0.2">
      <c r="A873" t="s">
        <v>2275</v>
      </c>
      <c r="B873" t="s">
        <v>2276</v>
      </c>
      <c r="C873" t="s">
        <v>60</v>
      </c>
      <c r="D873" t="s">
        <v>139</v>
      </c>
      <c r="E873" t="s">
        <v>75</v>
      </c>
      <c r="F873" t="s">
        <v>939</v>
      </c>
      <c r="G873" t="s">
        <v>33</v>
      </c>
      <c r="H873">
        <v>440.99</v>
      </c>
      <c r="I873" t="s">
        <v>19</v>
      </c>
      <c r="J873" t="s">
        <v>20</v>
      </c>
      <c r="K873">
        <v>27</v>
      </c>
    </row>
    <row r="874" spans="1:12" x14ac:dyDescent="0.2">
      <c r="A874" t="s">
        <v>2277</v>
      </c>
      <c r="B874" t="s">
        <v>2278</v>
      </c>
      <c r="C874" t="s">
        <v>60</v>
      </c>
      <c r="D874" t="s">
        <v>125</v>
      </c>
      <c r="E874" t="s">
        <v>154</v>
      </c>
      <c r="F874" t="s">
        <v>2279</v>
      </c>
      <c r="G874" t="s">
        <v>64</v>
      </c>
      <c r="H874">
        <v>168.13</v>
      </c>
      <c r="I874" t="s">
        <v>19</v>
      </c>
      <c r="J874" t="s">
        <v>20</v>
      </c>
      <c r="K874">
        <v>55</v>
      </c>
      <c r="L874">
        <v>3</v>
      </c>
    </row>
    <row r="875" spans="1:12" x14ac:dyDescent="0.2">
      <c r="A875" t="s">
        <v>2280</v>
      </c>
      <c r="B875" t="s">
        <v>2281</v>
      </c>
      <c r="C875" t="s">
        <v>117</v>
      </c>
      <c r="D875" t="s">
        <v>61</v>
      </c>
      <c r="E875" t="s">
        <v>272</v>
      </c>
      <c r="F875" t="s">
        <v>443</v>
      </c>
      <c r="G875" t="s">
        <v>40</v>
      </c>
      <c r="H875">
        <v>325.22000000000003</v>
      </c>
      <c r="I875" t="s">
        <v>122</v>
      </c>
      <c r="J875" t="s">
        <v>26</v>
      </c>
      <c r="K875">
        <v>25</v>
      </c>
      <c r="L875">
        <v>1</v>
      </c>
    </row>
    <row r="876" spans="1:12" x14ac:dyDescent="0.2">
      <c r="A876" t="s">
        <v>2282</v>
      </c>
      <c r="B876" t="s">
        <v>2283</v>
      </c>
      <c r="C876" t="s">
        <v>29</v>
      </c>
      <c r="D876" t="s">
        <v>80</v>
      </c>
      <c r="E876" t="s">
        <v>24</v>
      </c>
      <c r="F876" t="s">
        <v>2284</v>
      </c>
      <c r="G876" t="s">
        <v>33</v>
      </c>
      <c r="H876">
        <v>220.76</v>
      </c>
      <c r="I876" t="s">
        <v>19</v>
      </c>
      <c r="J876" t="s">
        <v>20</v>
      </c>
      <c r="K876">
        <v>31</v>
      </c>
      <c r="L876">
        <v>2</v>
      </c>
    </row>
    <row r="877" spans="1:12" x14ac:dyDescent="0.2">
      <c r="A877" t="s">
        <v>2285</v>
      </c>
      <c r="B877" t="s">
        <v>2286</v>
      </c>
      <c r="C877" t="s">
        <v>23</v>
      </c>
      <c r="D877" t="s">
        <v>61</v>
      </c>
      <c r="E877" t="s">
        <v>154</v>
      </c>
      <c r="F877" t="s">
        <v>2111</v>
      </c>
      <c r="G877" t="s">
        <v>33</v>
      </c>
      <c r="H877">
        <v>76.27</v>
      </c>
      <c r="I877" t="s">
        <v>122</v>
      </c>
      <c r="J877" t="s">
        <v>50</v>
      </c>
      <c r="K877">
        <v>19</v>
      </c>
      <c r="L877">
        <v>2</v>
      </c>
    </row>
    <row r="878" spans="1:12" x14ac:dyDescent="0.2">
      <c r="A878" t="s">
        <v>2287</v>
      </c>
      <c r="B878" t="s">
        <v>2288</v>
      </c>
      <c r="C878" t="s">
        <v>29</v>
      </c>
      <c r="D878" t="s">
        <v>15</v>
      </c>
      <c r="E878" t="s">
        <v>317</v>
      </c>
      <c r="F878" t="s">
        <v>889</v>
      </c>
      <c r="G878" t="s">
        <v>91</v>
      </c>
      <c r="H878">
        <v>327.64</v>
      </c>
      <c r="I878" t="s">
        <v>122</v>
      </c>
      <c r="J878" t="s">
        <v>20</v>
      </c>
      <c r="K878">
        <v>87</v>
      </c>
      <c r="L878">
        <v>1</v>
      </c>
    </row>
    <row r="879" spans="1:12" x14ac:dyDescent="0.2">
      <c r="A879" t="s">
        <v>2289</v>
      </c>
      <c r="B879" t="s">
        <v>2290</v>
      </c>
      <c r="C879" t="s">
        <v>29</v>
      </c>
      <c r="D879" t="s">
        <v>45</v>
      </c>
      <c r="E879" t="s">
        <v>69</v>
      </c>
      <c r="F879" t="s">
        <v>1131</v>
      </c>
      <c r="G879" t="s">
        <v>33</v>
      </c>
      <c r="H879">
        <v>473.7</v>
      </c>
      <c r="I879" t="s">
        <v>65</v>
      </c>
      <c r="J879" t="s">
        <v>26</v>
      </c>
      <c r="K879">
        <v>62</v>
      </c>
      <c r="L879">
        <v>3</v>
      </c>
    </row>
    <row r="880" spans="1:12" x14ac:dyDescent="0.2">
      <c r="A880" t="s">
        <v>2291</v>
      </c>
      <c r="B880" t="s">
        <v>2292</v>
      </c>
      <c r="C880" t="s">
        <v>14</v>
      </c>
      <c r="D880" t="s">
        <v>125</v>
      </c>
      <c r="E880" t="s">
        <v>85</v>
      </c>
      <c r="F880" t="s">
        <v>2293</v>
      </c>
      <c r="G880" t="s">
        <v>40</v>
      </c>
      <c r="H880">
        <v>423.01</v>
      </c>
      <c r="I880" t="s">
        <v>122</v>
      </c>
      <c r="J880" t="s">
        <v>41</v>
      </c>
      <c r="K880">
        <v>71</v>
      </c>
      <c r="L880">
        <v>5</v>
      </c>
    </row>
    <row r="881" spans="1:12" x14ac:dyDescent="0.2">
      <c r="A881" t="s">
        <v>2294</v>
      </c>
      <c r="B881" t="s">
        <v>2295</v>
      </c>
      <c r="C881" t="s">
        <v>117</v>
      </c>
      <c r="D881" t="s">
        <v>80</v>
      </c>
      <c r="E881" t="s">
        <v>62</v>
      </c>
      <c r="F881" t="s">
        <v>586</v>
      </c>
      <c r="G881" t="s">
        <v>40</v>
      </c>
      <c r="H881">
        <v>73.739999999999995</v>
      </c>
      <c r="I881" t="s">
        <v>49</v>
      </c>
      <c r="J881" t="s">
        <v>50</v>
      </c>
      <c r="K881">
        <v>61</v>
      </c>
      <c r="L881">
        <v>4</v>
      </c>
    </row>
    <row r="882" spans="1:12" x14ac:dyDescent="0.2">
      <c r="A882" t="s">
        <v>2296</v>
      </c>
      <c r="B882" t="s">
        <v>2297</v>
      </c>
      <c r="C882" t="s">
        <v>14</v>
      </c>
      <c r="D882" t="s">
        <v>37</v>
      </c>
      <c r="E882" t="s">
        <v>272</v>
      </c>
      <c r="F882" t="s">
        <v>387</v>
      </c>
      <c r="G882" t="s">
        <v>64</v>
      </c>
      <c r="H882">
        <v>452.76</v>
      </c>
      <c r="I882" t="s">
        <v>65</v>
      </c>
      <c r="J882" t="s">
        <v>26</v>
      </c>
      <c r="K882">
        <v>25</v>
      </c>
      <c r="L882">
        <v>2</v>
      </c>
    </row>
    <row r="883" spans="1:12" x14ac:dyDescent="0.2">
      <c r="A883" t="s">
        <v>2298</v>
      </c>
      <c r="B883" t="s">
        <v>2299</v>
      </c>
      <c r="C883" t="s">
        <v>29</v>
      </c>
      <c r="D883" t="s">
        <v>54</v>
      </c>
      <c r="E883" t="s">
        <v>16</v>
      </c>
      <c r="F883" t="s">
        <v>1417</v>
      </c>
      <c r="G883" t="s">
        <v>64</v>
      </c>
      <c r="H883">
        <v>383.44</v>
      </c>
      <c r="I883" t="s">
        <v>49</v>
      </c>
      <c r="J883" t="s">
        <v>20</v>
      </c>
      <c r="K883">
        <v>57</v>
      </c>
      <c r="L883">
        <v>5</v>
      </c>
    </row>
    <row r="884" spans="1:12" x14ac:dyDescent="0.2">
      <c r="A884" t="s">
        <v>2300</v>
      </c>
      <c r="B884" t="s">
        <v>2301</v>
      </c>
      <c r="C884" t="s">
        <v>14</v>
      </c>
      <c r="D884" t="s">
        <v>15</v>
      </c>
      <c r="E884" t="s">
        <v>302</v>
      </c>
      <c r="F884" t="s">
        <v>742</v>
      </c>
      <c r="G884" t="s">
        <v>77</v>
      </c>
      <c r="H884">
        <v>454.98</v>
      </c>
      <c r="I884" t="s">
        <v>19</v>
      </c>
      <c r="J884" t="s">
        <v>50</v>
      </c>
      <c r="K884">
        <v>39</v>
      </c>
      <c r="L884">
        <v>1</v>
      </c>
    </row>
    <row r="885" spans="1:12" x14ac:dyDescent="0.2">
      <c r="A885" t="s">
        <v>2302</v>
      </c>
      <c r="B885" t="s">
        <v>2303</v>
      </c>
      <c r="C885" t="s">
        <v>60</v>
      </c>
      <c r="D885" t="s">
        <v>89</v>
      </c>
      <c r="E885" t="s">
        <v>144</v>
      </c>
      <c r="F885" t="s">
        <v>2304</v>
      </c>
      <c r="G885" t="s">
        <v>48</v>
      </c>
      <c r="H885">
        <v>56.81</v>
      </c>
      <c r="I885" t="s">
        <v>49</v>
      </c>
      <c r="J885" t="s">
        <v>50</v>
      </c>
      <c r="K885">
        <v>83</v>
      </c>
      <c r="L885">
        <v>5</v>
      </c>
    </row>
    <row r="886" spans="1:12" x14ac:dyDescent="0.2">
      <c r="A886" t="s">
        <v>2305</v>
      </c>
      <c r="B886" t="s">
        <v>2306</v>
      </c>
      <c r="C886" t="s">
        <v>44</v>
      </c>
      <c r="D886" t="s">
        <v>37</v>
      </c>
      <c r="E886" t="s">
        <v>343</v>
      </c>
      <c r="F886" t="s">
        <v>2307</v>
      </c>
      <c r="G886" t="s">
        <v>91</v>
      </c>
      <c r="H886">
        <v>226.65</v>
      </c>
      <c r="I886" t="s">
        <v>19</v>
      </c>
      <c r="J886" t="s">
        <v>26</v>
      </c>
      <c r="K886">
        <v>33</v>
      </c>
      <c r="L886">
        <v>4</v>
      </c>
    </row>
    <row r="887" spans="1:12" x14ac:dyDescent="0.2">
      <c r="A887" t="s">
        <v>2308</v>
      </c>
      <c r="B887" t="s">
        <v>2278</v>
      </c>
      <c r="C887" t="s">
        <v>23</v>
      </c>
      <c r="D887" t="s">
        <v>74</v>
      </c>
      <c r="E887" t="s">
        <v>154</v>
      </c>
      <c r="F887" t="s">
        <v>2309</v>
      </c>
      <c r="G887" t="s">
        <v>18</v>
      </c>
      <c r="H887">
        <v>97.7</v>
      </c>
      <c r="I887" t="s">
        <v>49</v>
      </c>
      <c r="J887" t="s">
        <v>41</v>
      </c>
      <c r="K887">
        <v>64</v>
      </c>
      <c r="L887">
        <v>3</v>
      </c>
    </row>
    <row r="888" spans="1:12" x14ac:dyDescent="0.2">
      <c r="A888" t="s">
        <v>2310</v>
      </c>
      <c r="B888" t="s">
        <v>2311</v>
      </c>
      <c r="C888" t="s">
        <v>106</v>
      </c>
      <c r="D888" t="s">
        <v>15</v>
      </c>
      <c r="E888" t="s">
        <v>69</v>
      </c>
      <c r="F888" t="s">
        <v>577</v>
      </c>
      <c r="G888" t="s">
        <v>77</v>
      </c>
      <c r="H888">
        <v>442.02</v>
      </c>
      <c r="I888" t="s">
        <v>49</v>
      </c>
      <c r="J888" t="s">
        <v>20</v>
      </c>
      <c r="K888">
        <v>80</v>
      </c>
      <c r="L888">
        <v>4</v>
      </c>
    </row>
    <row r="889" spans="1:12" x14ac:dyDescent="0.2">
      <c r="A889" t="s">
        <v>2312</v>
      </c>
      <c r="B889" t="s">
        <v>2313</v>
      </c>
      <c r="C889" t="s">
        <v>117</v>
      </c>
      <c r="D889" t="s">
        <v>89</v>
      </c>
      <c r="E889" t="s">
        <v>24</v>
      </c>
      <c r="F889" t="s">
        <v>2314</v>
      </c>
      <c r="G889" t="s">
        <v>91</v>
      </c>
      <c r="H889">
        <v>416.51</v>
      </c>
      <c r="I889" t="s">
        <v>65</v>
      </c>
      <c r="J889" t="s">
        <v>41</v>
      </c>
      <c r="K889">
        <v>16</v>
      </c>
      <c r="L889">
        <v>3</v>
      </c>
    </row>
    <row r="890" spans="1:12" x14ac:dyDescent="0.2">
      <c r="A890" t="s">
        <v>2315</v>
      </c>
      <c r="B890" t="s">
        <v>2316</v>
      </c>
      <c r="C890" t="s">
        <v>53</v>
      </c>
      <c r="D890" t="s">
        <v>74</v>
      </c>
      <c r="E890" t="s">
        <v>62</v>
      </c>
      <c r="F890" t="s">
        <v>1447</v>
      </c>
      <c r="G890" t="s">
        <v>18</v>
      </c>
      <c r="H890">
        <v>61.22</v>
      </c>
      <c r="I890" t="s">
        <v>65</v>
      </c>
      <c r="J890" t="s">
        <v>26</v>
      </c>
      <c r="K890">
        <v>58</v>
      </c>
      <c r="L890">
        <v>2</v>
      </c>
    </row>
    <row r="891" spans="1:12" x14ac:dyDescent="0.2">
      <c r="A891" t="s">
        <v>2317</v>
      </c>
      <c r="B891" t="s">
        <v>2318</v>
      </c>
      <c r="C891" t="s">
        <v>23</v>
      </c>
      <c r="D891" t="s">
        <v>89</v>
      </c>
      <c r="E891" t="s">
        <v>129</v>
      </c>
      <c r="F891" t="s">
        <v>2319</v>
      </c>
      <c r="G891" t="s">
        <v>33</v>
      </c>
      <c r="H891">
        <v>187.97</v>
      </c>
      <c r="I891" t="s">
        <v>19</v>
      </c>
      <c r="J891" t="s">
        <v>26</v>
      </c>
      <c r="K891">
        <v>66</v>
      </c>
      <c r="L891">
        <v>4</v>
      </c>
    </row>
    <row r="892" spans="1:12" x14ac:dyDescent="0.2">
      <c r="A892" t="s">
        <v>2320</v>
      </c>
      <c r="B892" t="s">
        <v>2321</v>
      </c>
      <c r="C892" t="s">
        <v>106</v>
      </c>
      <c r="D892" t="s">
        <v>80</v>
      </c>
      <c r="E892" t="s">
        <v>55</v>
      </c>
      <c r="F892" t="s">
        <v>2322</v>
      </c>
      <c r="G892" t="s">
        <v>18</v>
      </c>
      <c r="H892">
        <v>239.03</v>
      </c>
      <c r="I892" t="s">
        <v>122</v>
      </c>
      <c r="J892" t="s">
        <v>50</v>
      </c>
      <c r="K892">
        <v>76</v>
      </c>
      <c r="L892">
        <v>4</v>
      </c>
    </row>
    <row r="893" spans="1:12" x14ac:dyDescent="0.2">
      <c r="A893" t="s">
        <v>2323</v>
      </c>
      <c r="B893" t="s">
        <v>2324</v>
      </c>
      <c r="C893" t="s">
        <v>106</v>
      </c>
      <c r="D893" t="s">
        <v>45</v>
      </c>
      <c r="E893" t="s">
        <v>180</v>
      </c>
      <c r="F893" t="s">
        <v>2325</v>
      </c>
      <c r="G893" t="s">
        <v>91</v>
      </c>
      <c r="H893">
        <v>63.9</v>
      </c>
      <c r="I893" t="s">
        <v>65</v>
      </c>
      <c r="J893" t="s">
        <v>41</v>
      </c>
      <c r="K893">
        <v>48</v>
      </c>
      <c r="L893">
        <v>3</v>
      </c>
    </row>
    <row r="894" spans="1:12" x14ac:dyDescent="0.2">
      <c r="A894" t="s">
        <v>2326</v>
      </c>
      <c r="B894" t="s">
        <v>2327</v>
      </c>
      <c r="C894" t="s">
        <v>23</v>
      </c>
      <c r="D894" t="s">
        <v>37</v>
      </c>
      <c r="E894" t="s">
        <v>161</v>
      </c>
      <c r="F894" t="s">
        <v>362</v>
      </c>
      <c r="G894" t="s">
        <v>48</v>
      </c>
      <c r="H894">
        <v>463.6</v>
      </c>
      <c r="I894" t="s">
        <v>65</v>
      </c>
      <c r="J894" t="s">
        <v>20</v>
      </c>
      <c r="K894">
        <v>35</v>
      </c>
      <c r="L894">
        <v>1</v>
      </c>
    </row>
    <row r="895" spans="1:12" x14ac:dyDescent="0.2">
      <c r="A895" t="s">
        <v>2328</v>
      </c>
      <c r="B895" t="s">
        <v>2329</v>
      </c>
      <c r="C895" t="s">
        <v>73</v>
      </c>
      <c r="D895" t="s">
        <v>54</v>
      </c>
      <c r="E895" t="s">
        <v>473</v>
      </c>
      <c r="F895" t="s">
        <v>344</v>
      </c>
      <c r="G895" t="s">
        <v>18</v>
      </c>
      <c r="H895">
        <v>237.07</v>
      </c>
      <c r="I895" t="s">
        <v>19</v>
      </c>
      <c r="J895" t="s">
        <v>50</v>
      </c>
      <c r="K895">
        <v>73</v>
      </c>
      <c r="L895">
        <v>2</v>
      </c>
    </row>
    <row r="896" spans="1:12" x14ac:dyDescent="0.2">
      <c r="A896" t="s">
        <v>2330</v>
      </c>
      <c r="B896" t="s">
        <v>2331</v>
      </c>
      <c r="C896" t="s">
        <v>44</v>
      </c>
      <c r="D896" t="s">
        <v>80</v>
      </c>
      <c r="E896" t="s">
        <v>81</v>
      </c>
      <c r="F896" t="s">
        <v>756</v>
      </c>
      <c r="G896" t="s">
        <v>77</v>
      </c>
      <c r="H896">
        <v>481.31</v>
      </c>
      <c r="I896" t="s">
        <v>49</v>
      </c>
      <c r="J896" t="s">
        <v>26</v>
      </c>
      <c r="K896">
        <v>65</v>
      </c>
    </row>
    <row r="897" spans="1:12" x14ac:dyDescent="0.2">
      <c r="A897" t="s">
        <v>2332</v>
      </c>
      <c r="B897" t="s">
        <v>2333</v>
      </c>
      <c r="C897" t="s">
        <v>73</v>
      </c>
      <c r="D897" t="s">
        <v>37</v>
      </c>
      <c r="E897" t="s">
        <v>62</v>
      </c>
      <c r="F897" t="s">
        <v>25</v>
      </c>
      <c r="G897" t="s">
        <v>18</v>
      </c>
      <c r="H897">
        <v>252.91</v>
      </c>
      <c r="I897" t="s">
        <v>65</v>
      </c>
      <c r="J897" t="s">
        <v>50</v>
      </c>
      <c r="K897">
        <v>16</v>
      </c>
      <c r="L897">
        <v>2</v>
      </c>
    </row>
    <row r="898" spans="1:12" x14ac:dyDescent="0.2">
      <c r="A898" t="s">
        <v>2334</v>
      </c>
      <c r="B898" t="s">
        <v>2335</v>
      </c>
      <c r="C898" t="s">
        <v>60</v>
      </c>
      <c r="D898" t="s">
        <v>54</v>
      </c>
      <c r="E898" t="s">
        <v>161</v>
      </c>
      <c r="F898" t="s">
        <v>90</v>
      </c>
      <c r="G898" t="s">
        <v>40</v>
      </c>
      <c r="H898">
        <v>161.9</v>
      </c>
      <c r="I898" t="s">
        <v>19</v>
      </c>
      <c r="J898" t="s">
        <v>26</v>
      </c>
      <c r="K898">
        <v>18</v>
      </c>
      <c r="L898">
        <v>2</v>
      </c>
    </row>
    <row r="899" spans="1:12" x14ac:dyDescent="0.2">
      <c r="A899" t="s">
        <v>2336</v>
      </c>
      <c r="B899" t="s">
        <v>2337</v>
      </c>
      <c r="C899" t="s">
        <v>14</v>
      </c>
      <c r="D899" t="s">
        <v>80</v>
      </c>
      <c r="E899" t="s">
        <v>343</v>
      </c>
      <c r="F899" t="s">
        <v>1850</v>
      </c>
      <c r="G899" t="s">
        <v>57</v>
      </c>
      <c r="H899">
        <v>433.6</v>
      </c>
      <c r="I899" t="s">
        <v>122</v>
      </c>
      <c r="J899" t="s">
        <v>20</v>
      </c>
      <c r="K899">
        <v>31</v>
      </c>
      <c r="L899">
        <v>2</v>
      </c>
    </row>
    <row r="900" spans="1:12" x14ac:dyDescent="0.2">
      <c r="A900" t="s">
        <v>2338</v>
      </c>
      <c r="B900" t="s">
        <v>2339</v>
      </c>
      <c r="C900" t="s">
        <v>53</v>
      </c>
      <c r="D900" t="s">
        <v>80</v>
      </c>
      <c r="E900" t="s">
        <v>38</v>
      </c>
      <c r="F900" t="s">
        <v>1200</v>
      </c>
      <c r="G900" t="s">
        <v>33</v>
      </c>
      <c r="H900">
        <v>84.22</v>
      </c>
      <c r="I900" t="s">
        <v>19</v>
      </c>
      <c r="J900" t="s">
        <v>41</v>
      </c>
      <c r="K900">
        <v>67</v>
      </c>
      <c r="L900">
        <v>5</v>
      </c>
    </row>
    <row r="901" spans="1:12" x14ac:dyDescent="0.2">
      <c r="A901" t="s">
        <v>2340</v>
      </c>
      <c r="B901" t="s">
        <v>2341</v>
      </c>
      <c r="C901" t="s">
        <v>29</v>
      </c>
      <c r="D901" t="s">
        <v>74</v>
      </c>
      <c r="E901" t="s">
        <v>81</v>
      </c>
      <c r="F901" t="s">
        <v>2342</v>
      </c>
      <c r="G901" t="s">
        <v>77</v>
      </c>
      <c r="H901">
        <v>93.51</v>
      </c>
      <c r="I901" t="s">
        <v>65</v>
      </c>
      <c r="J901" t="s">
        <v>20</v>
      </c>
      <c r="K901">
        <v>85</v>
      </c>
      <c r="L901">
        <v>1</v>
      </c>
    </row>
    <row r="902" spans="1:12" x14ac:dyDescent="0.2">
      <c r="A902" t="s">
        <v>2343</v>
      </c>
      <c r="B902" t="s">
        <v>2344</v>
      </c>
      <c r="C902" t="s">
        <v>53</v>
      </c>
      <c r="D902" t="s">
        <v>80</v>
      </c>
      <c r="E902" t="s">
        <v>154</v>
      </c>
      <c r="F902" t="s">
        <v>399</v>
      </c>
      <c r="G902" t="s">
        <v>40</v>
      </c>
      <c r="H902">
        <v>123.27</v>
      </c>
      <c r="I902" t="s">
        <v>65</v>
      </c>
      <c r="J902" t="s">
        <v>26</v>
      </c>
      <c r="K902">
        <v>32</v>
      </c>
      <c r="L902">
        <v>5</v>
      </c>
    </row>
    <row r="903" spans="1:12" x14ac:dyDescent="0.2">
      <c r="A903" t="s">
        <v>2345</v>
      </c>
      <c r="B903" t="s">
        <v>2346</v>
      </c>
      <c r="C903" t="s">
        <v>23</v>
      </c>
      <c r="D903" t="s">
        <v>61</v>
      </c>
      <c r="E903" t="s">
        <v>473</v>
      </c>
      <c r="F903" t="s">
        <v>1567</v>
      </c>
      <c r="G903" t="s">
        <v>91</v>
      </c>
      <c r="H903">
        <v>448.51</v>
      </c>
      <c r="I903" t="s">
        <v>122</v>
      </c>
      <c r="J903" t="s">
        <v>41</v>
      </c>
      <c r="K903">
        <v>45</v>
      </c>
    </row>
    <row r="904" spans="1:12" x14ac:dyDescent="0.2">
      <c r="A904" t="s">
        <v>2347</v>
      </c>
      <c r="B904" t="s">
        <v>944</v>
      </c>
      <c r="C904" t="s">
        <v>14</v>
      </c>
      <c r="D904" t="s">
        <v>54</v>
      </c>
      <c r="E904" t="s">
        <v>144</v>
      </c>
      <c r="F904" t="s">
        <v>2080</v>
      </c>
      <c r="G904" t="s">
        <v>57</v>
      </c>
      <c r="H904">
        <v>87.16</v>
      </c>
      <c r="I904" t="s">
        <v>19</v>
      </c>
      <c r="J904" t="s">
        <v>50</v>
      </c>
      <c r="K904">
        <v>66</v>
      </c>
      <c r="L904">
        <v>4</v>
      </c>
    </row>
    <row r="905" spans="1:12" x14ac:dyDescent="0.2">
      <c r="A905" t="s">
        <v>2348</v>
      </c>
      <c r="B905" t="s">
        <v>2349</v>
      </c>
      <c r="C905" t="s">
        <v>29</v>
      </c>
      <c r="D905" t="s">
        <v>54</v>
      </c>
      <c r="E905" t="s">
        <v>343</v>
      </c>
      <c r="F905" t="s">
        <v>770</v>
      </c>
      <c r="G905" t="s">
        <v>77</v>
      </c>
      <c r="H905">
        <v>359.81</v>
      </c>
      <c r="I905" t="s">
        <v>122</v>
      </c>
      <c r="J905" t="s">
        <v>20</v>
      </c>
      <c r="K905">
        <v>34</v>
      </c>
      <c r="L905">
        <v>5</v>
      </c>
    </row>
    <row r="906" spans="1:12" x14ac:dyDescent="0.2">
      <c r="A906" t="s">
        <v>2350</v>
      </c>
      <c r="B906" t="s">
        <v>2351</v>
      </c>
      <c r="C906" t="s">
        <v>73</v>
      </c>
      <c r="D906" t="s">
        <v>74</v>
      </c>
      <c r="E906" t="s">
        <v>140</v>
      </c>
      <c r="F906" t="s">
        <v>2352</v>
      </c>
      <c r="G906" t="s">
        <v>91</v>
      </c>
      <c r="H906">
        <v>101.01</v>
      </c>
      <c r="I906" t="s">
        <v>122</v>
      </c>
      <c r="J906" t="s">
        <v>20</v>
      </c>
      <c r="K906">
        <v>20</v>
      </c>
      <c r="L906">
        <v>1</v>
      </c>
    </row>
    <row r="907" spans="1:12" x14ac:dyDescent="0.2">
      <c r="A907" t="s">
        <v>2353</v>
      </c>
      <c r="B907" t="s">
        <v>2354</v>
      </c>
      <c r="C907" t="s">
        <v>60</v>
      </c>
      <c r="D907" t="s">
        <v>74</v>
      </c>
      <c r="E907" t="s">
        <v>81</v>
      </c>
      <c r="F907" t="s">
        <v>659</v>
      </c>
      <c r="G907" t="s">
        <v>77</v>
      </c>
      <c r="H907">
        <v>268.89</v>
      </c>
      <c r="I907" t="s">
        <v>19</v>
      </c>
      <c r="J907" t="s">
        <v>41</v>
      </c>
      <c r="K907">
        <v>30</v>
      </c>
      <c r="L907">
        <v>4</v>
      </c>
    </row>
    <row r="908" spans="1:12" x14ac:dyDescent="0.2">
      <c r="A908" t="s">
        <v>2355</v>
      </c>
      <c r="B908" t="s">
        <v>2356</v>
      </c>
      <c r="C908" t="s">
        <v>106</v>
      </c>
      <c r="D908" t="s">
        <v>74</v>
      </c>
      <c r="E908" t="s">
        <v>118</v>
      </c>
      <c r="F908" t="s">
        <v>695</v>
      </c>
      <c r="G908" t="s">
        <v>91</v>
      </c>
      <c r="H908">
        <v>119.84</v>
      </c>
      <c r="I908" t="s">
        <v>122</v>
      </c>
      <c r="J908" t="s">
        <v>50</v>
      </c>
      <c r="K908">
        <v>18</v>
      </c>
      <c r="L908">
        <v>2</v>
      </c>
    </row>
    <row r="909" spans="1:12" x14ac:dyDescent="0.2">
      <c r="A909" t="s">
        <v>2357</v>
      </c>
      <c r="B909" t="s">
        <v>2358</v>
      </c>
      <c r="C909" t="s">
        <v>117</v>
      </c>
      <c r="D909" t="s">
        <v>15</v>
      </c>
      <c r="E909" t="s">
        <v>132</v>
      </c>
      <c r="F909" t="s">
        <v>2359</v>
      </c>
      <c r="G909" t="s">
        <v>18</v>
      </c>
      <c r="H909">
        <v>60.39</v>
      </c>
      <c r="I909" t="s">
        <v>65</v>
      </c>
      <c r="J909" t="s">
        <v>41</v>
      </c>
      <c r="K909">
        <v>42</v>
      </c>
      <c r="L909">
        <v>1</v>
      </c>
    </row>
    <row r="910" spans="1:12" x14ac:dyDescent="0.2">
      <c r="A910" t="s">
        <v>2360</v>
      </c>
      <c r="B910" t="s">
        <v>2361</v>
      </c>
      <c r="C910" t="s">
        <v>60</v>
      </c>
      <c r="D910" t="s">
        <v>54</v>
      </c>
      <c r="E910" t="s">
        <v>161</v>
      </c>
      <c r="F910" t="s">
        <v>1238</v>
      </c>
      <c r="G910" t="s">
        <v>77</v>
      </c>
      <c r="H910">
        <v>171.21</v>
      </c>
      <c r="I910" t="s">
        <v>19</v>
      </c>
      <c r="J910" t="s">
        <v>20</v>
      </c>
      <c r="K910">
        <v>18</v>
      </c>
      <c r="L910">
        <v>1</v>
      </c>
    </row>
    <row r="911" spans="1:12" x14ac:dyDescent="0.2">
      <c r="A911" t="s">
        <v>2362</v>
      </c>
      <c r="B911" t="s">
        <v>2363</v>
      </c>
      <c r="C911" t="s">
        <v>106</v>
      </c>
      <c r="D911" t="s">
        <v>61</v>
      </c>
      <c r="E911" t="s">
        <v>198</v>
      </c>
      <c r="F911" t="s">
        <v>1499</v>
      </c>
      <c r="G911" t="s">
        <v>48</v>
      </c>
      <c r="H911">
        <v>429.64</v>
      </c>
      <c r="I911" t="s">
        <v>19</v>
      </c>
      <c r="J911" t="s">
        <v>20</v>
      </c>
      <c r="K911">
        <v>73</v>
      </c>
      <c r="L911">
        <v>1</v>
      </c>
    </row>
    <row r="912" spans="1:12" x14ac:dyDescent="0.2">
      <c r="A912" t="s">
        <v>2364</v>
      </c>
      <c r="B912" t="s">
        <v>2365</v>
      </c>
      <c r="C912" t="s">
        <v>68</v>
      </c>
      <c r="D912" t="s">
        <v>74</v>
      </c>
      <c r="E912" t="s">
        <v>75</v>
      </c>
      <c r="F912" t="s">
        <v>1502</v>
      </c>
      <c r="G912" t="s">
        <v>57</v>
      </c>
      <c r="H912">
        <v>479.78</v>
      </c>
      <c r="I912" t="s">
        <v>49</v>
      </c>
      <c r="J912" t="s">
        <v>26</v>
      </c>
      <c r="K912">
        <v>76</v>
      </c>
    </row>
    <row r="913" spans="1:12" x14ac:dyDescent="0.2">
      <c r="A913" t="s">
        <v>2366</v>
      </c>
      <c r="B913" t="s">
        <v>423</v>
      </c>
      <c r="C913" t="s">
        <v>60</v>
      </c>
      <c r="D913" t="s">
        <v>74</v>
      </c>
      <c r="E913" t="s">
        <v>31</v>
      </c>
      <c r="F913" t="s">
        <v>223</v>
      </c>
      <c r="G913" t="s">
        <v>18</v>
      </c>
      <c r="H913">
        <v>385.54</v>
      </c>
      <c r="I913" t="s">
        <v>49</v>
      </c>
      <c r="J913" t="s">
        <v>26</v>
      </c>
      <c r="K913">
        <v>42</v>
      </c>
      <c r="L913">
        <v>5</v>
      </c>
    </row>
    <row r="914" spans="1:12" x14ac:dyDescent="0.2">
      <c r="A914" t="s">
        <v>2367</v>
      </c>
      <c r="B914" t="s">
        <v>128</v>
      </c>
      <c r="C914" t="s">
        <v>117</v>
      </c>
      <c r="D914" t="s">
        <v>61</v>
      </c>
      <c r="E914" t="s">
        <v>16</v>
      </c>
      <c r="F914" t="s">
        <v>2147</v>
      </c>
      <c r="G914" t="s">
        <v>18</v>
      </c>
      <c r="H914">
        <v>389.58</v>
      </c>
      <c r="I914" t="s">
        <v>122</v>
      </c>
      <c r="J914" t="s">
        <v>26</v>
      </c>
      <c r="K914">
        <v>68</v>
      </c>
      <c r="L914">
        <v>5</v>
      </c>
    </row>
    <row r="915" spans="1:12" x14ac:dyDescent="0.2">
      <c r="A915" t="s">
        <v>2368</v>
      </c>
      <c r="B915" t="s">
        <v>2369</v>
      </c>
      <c r="C915" t="s">
        <v>73</v>
      </c>
      <c r="D915" t="s">
        <v>15</v>
      </c>
      <c r="E915" t="s">
        <v>198</v>
      </c>
      <c r="F915" t="s">
        <v>1514</v>
      </c>
      <c r="G915" t="s">
        <v>64</v>
      </c>
      <c r="H915">
        <v>387.14</v>
      </c>
      <c r="I915" t="s">
        <v>19</v>
      </c>
      <c r="J915" t="s">
        <v>41</v>
      </c>
      <c r="K915">
        <v>18</v>
      </c>
      <c r="L915">
        <v>4</v>
      </c>
    </row>
    <row r="916" spans="1:12" x14ac:dyDescent="0.2">
      <c r="A916" t="s">
        <v>2370</v>
      </c>
      <c r="B916" t="s">
        <v>2371</v>
      </c>
      <c r="C916" t="s">
        <v>106</v>
      </c>
      <c r="D916" t="s">
        <v>125</v>
      </c>
      <c r="E916" t="s">
        <v>272</v>
      </c>
      <c r="F916" t="s">
        <v>1355</v>
      </c>
      <c r="G916" t="s">
        <v>40</v>
      </c>
      <c r="H916">
        <v>308.49</v>
      </c>
      <c r="I916" t="s">
        <v>19</v>
      </c>
      <c r="J916" t="s">
        <v>26</v>
      </c>
      <c r="K916">
        <v>20</v>
      </c>
      <c r="L916">
        <v>1</v>
      </c>
    </row>
    <row r="917" spans="1:12" x14ac:dyDescent="0.2">
      <c r="A917" t="s">
        <v>2372</v>
      </c>
      <c r="B917" t="s">
        <v>2373</v>
      </c>
      <c r="C917" t="s">
        <v>29</v>
      </c>
      <c r="D917" t="s">
        <v>61</v>
      </c>
      <c r="E917" t="s">
        <v>161</v>
      </c>
      <c r="F917" t="s">
        <v>513</v>
      </c>
      <c r="G917" t="s">
        <v>33</v>
      </c>
      <c r="H917">
        <v>120.2</v>
      </c>
      <c r="I917" t="s">
        <v>65</v>
      </c>
      <c r="J917" t="s">
        <v>41</v>
      </c>
      <c r="K917">
        <v>24</v>
      </c>
    </row>
    <row r="918" spans="1:12" x14ac:dyDescent="0.2">
      <c r="A918" t="s">
        <v>2374</v>
      </c>
      <c r="B918" t="s">
        <v>2375</v>
      </c>
      <c r="C918" t="s">
        <v>60</v>
      </c>
      <c r="D918" t="s">
        <v>74</v>
      </c>
      <c r="E918" t="s">
        <v>161</v>
      </c>
      <c r="F918" t="s">
        <v>2376</v>
      </c>
      <c r="G918" t="s">
        <v>48</v>
      </c>
      <c r="H918">
        <v>428.7</v>
      </c>
      <c r="I918" t="s">
        <v>19</v>
      </c>
      <c r="J918" t="s">
        <v>41</v>
      </c>
      <c r="K918">
        <v>56</v>
      </c>
      <c r="L918">
        <v>3</v>
      </c>
    </row>
    <row r="919" spans="1:12" x14ac:dyDescent="0.2">
      <c r="A919" t="s">
        <v>2377</v>
      </c>
      <c r="B919" t="s">
        <v>2378</v>
      </c>
      <c r="C919" t="s">
        <v>44</v>
      </c>
      <c r="D919" t="s">
        <v>89</v>
      </c>
      <c r="E919" t="s">
        <v>144</v>
      </c>
      <c r="F919" t="s">
        <v>114</v>
      </c>
      <c r="G919" t="s">
        <v>18</v>
      </c>
      <c r="H919">
        <v>451.05</v>
      </c>
      <c r="I919" t="s">
        <v>122</v>
      </c>
      <c r="J919" t="s">
        <v>26</v>
      </c>
      <c r="K919">
        <v>69</v>
      </c>
      <c r="L919">
        <v>4</v>
      </c>
    </row>
    <row r="920" spans="1:12" x14ac:dyDescent="0.2">
      <c r="A920" t="s">
        <v>2379</v>
      </c>
      <c r="B920" t="s">
        <v>2380</v>
      </c>
      <c r="C920" t="s">
        <v>60</v>
      </c>
      <c r="D920" t="s">
        <v>45</v>
      </c>
      <c r="E920" t="s">
        <v>113</v>
      </c>
      <c r="F920" t="s">
        <v>2381</v>
      </c>
      <c r="G920" t="s">
        <v>57</v>
      </c>
      <c r="H920">
        <v>380.35</v>
      </c>
      <c r="I920" t="s">
        <v>19</v>
      </c>
      <c r="J920" t="s">
        <v>26</v>
      </c>
      <c r="K920">
        <v>17</v>
      </c>
      <c r="L920">
        <v>3</v>
      </c>
    </row>
    <row r="921" spans="1:12" x14ac:dyDescent="0.2">
      <c r="A921" t="s">
        <v>2382</v>
      </c>
      <c r="B921" t="s">
        <v>2383</v>
      </c>
      <c r="C921" t="s">
        <v>53</v>
      </c>
      <c r="D921" t="s">
        <v>54</v>
      </c>
      <c r="E921" t="s">
        <v>349</v>
      </c>
      <c r="F921" t="s">
        <v>195</v>
      </c>
      <c r="G921" t="s">
        <v>64</v>
      </c>
      <c r="H921">
        <v>117.93</v>
      </c>
      <c r="I921" t="s">
        <v>19</v>
      </c>
      <c r="J921" t="s">
        <v>26</v>
      </c>
      <c r="K921">
        <v>57</v>
      </c>
      <c r="L921">
        <v>4</v>
      </c>
    </row>
    <row r="922" spans="1:12" x14ac:dyDescent="0.2">
      <c r="A922" t="s">
        <v>2384</v>
      </c>
      <c r="B922" t="s">
        <v>2385</v>
      </c>
      <c r="C922" t="s">
        <v>53</v>
      </c>
      <c r="D922" t="s">
        <v>74</v>
      </c>
      <c r="E922" t="s">
        <v>75</v>
      </c>
      <c r="F922" t="s">
        <v>795</v>
      </c>
      <c r="G922" t="s">
        <v>40</v>
      </c>
      <c r="H922">
        <v>198.17</v>
      </c>
      <c r="I922" t="s">
        <v>49</v>
      </c>
      <c r="J922" t="s">
        <v>26</v>
      </c>
      <c r="K922">
        <v>53</v>
      </c>
      <c r="L922">
        <v>2</v>
      </c>
    </row>
    <row r="923" spans="1:12" x14ac:dyDescent="0.2">
      <c r="A923" t="s">
        <v>2386</v>
      </c>
      <c r="B923" t="s">
        <v>2387</v>
      </c>
      <c r="C923" t="s">
        <v>73</v>
      </c>
      <c r="D923" t="s">
        <v>139</v>
      </c>
      <c r="E923" t="s">
        <v>69</v>
      </c>
      <c r="F923" t="s">
        <v>608</v>
      </c>
      <c r="G923" t="s">
        <v>77</v>
      </c>
      <c r="H923">
        <v>378.95</v>
      </c>
      <c r="I923" t="s">
        <v>122</v>
      </c>
      <c r="J923" t="s">
        <v>20</v>
      </c>
      <c r="K923">
        <v>49</v>
      </c>
      <c r="L923">
        <v>4</v>
      </c>
    </row>
    <row r="924" spans="1:12" x14ac:dyDescent="0.2">
      <c r="A924" t="s">
        <v>2388</v>
      </c>
      <c r="B924" t="s">
        <v>2389</v>
      </c>
      <c r="C924" t="s">
        <v>29</v>
      </c>
      <c r="D924" t="s">
        <v>80</v>
      </c>
      <c r="E924" t="s">
        <v>85</v>
      </c>
      <c r="F924" t="s">
        <v>2390</v>
      </c>
      <c r="G924" t="s">
        <v>91</v>
      </c>
      <c r="H924">
        <v>331.62</v>
      </c>
      <c r="I924" t="s">
        <v>19</v>
      </c>
      <c r="J924" t="s">
        <v>20</v>
      </c>
      <c r="K924">
        <v>63</v>
      </c>
      <c r="L924">
        <v>3</v>
      </c>
    </row>
    <row r="925" spans="1:12" x14ac:dyDescent="0.2">
      <c r="A925" t="s">
        <v>2391</v>
      </c>
      <c r="B925" t="s">
        <v>2392</v>
      </c>
      <c r="C925" t="s">
        <v>60</v>
      </c>
      <c r="D925" t="s">
        <v>80</v>
      </c>
      <c r="E925" t="s">
        <v>272</v>
      </c>
      <c r="F925" t="s">
        <v>2393</v>
      </c>
      <c r="G925" t="s">
        <v>64</v>
      </c>
      <c r="H925">
        <v>237.63</v>
      </c>
      <c r="I925" t="s">
        <v>122</v>
      </c>
      <c r="J925" t="s">
        <v>50</v>
      </c>
      <c r="K925">
        <v>58</v>
      </c>
      <c r="L925">
        <v>4</v>
      </c>
    </row>
    <row r="926" spans="1:12" x14ac:dyDescent="0.2">
      <c r="A926" t="s">
        <v>2394</v>
      </c>
      <c r="B926" t="s">
        <v>2395</v>
      </c>
      <c r="C926" t="s">
        <v>44</v>
      </c>
      <c r="D926" t="s">
        <v>74</v>
      </c>
      <c r="E926" t="s">
        <v>343</v>
      </c>
      <c r="F926" t="s">
        <v>1243</v>
      </c>
      <c r="G926" t="s">
        <v>91</v>
      </c>
      <c r="H926">
        <v>403.41</v>
      </c>
      <c r="I926" t="s">
        <v>49</v>
      </c>
      <c r="J926" t="s">
        <v>41</v>
      </c>
      <c r="K926">
        <v>24</v>
      </c>
      <c r="L926">
        <v>4</v>
      </c>
    </row>
    <row r="927" spans="1:12" x14ac:dyDescent="0.2">
      <c r="A927" t="s">
        <v>2396</v>
      </c>
      <c r="B927" t="s">
        <v>2397</v>
      </c>
      <c r="C927" t="s">
        <v>23</v>
      </c>
      <c r="D927" t="s">
        <v>139</v>
      </c>
      <c r="E927" t="s">
        <v>118</v>
      </c>
      <c r="F927" t="s">
        <v>2152</v>
      </c>
      <c r="G927" t="s">
        <v>57</v>
      </c>
      <c r="H927">
        <v>163.82</v>
      </c>
      <c r="I927" t="s">
        <v>49</v>
      </c>
      <c r="J927" t="s">
        <v>26</v>
      </c>
      <c r="K927">
        <v>25</v>
      </c>
      <c r="L927">
        <v>5</v>
      </c>
    </row>
    <row r="928" spans="1:12" x14ac:dyDescent="0.2">
      <c r="A928" t="s">
        <v>2398</v>
      </c>
      <c r="B928" t="s">
        <v>2399</v>
      </c>
      <c r="C928" t="s">
        <v>68</v>
      </c>
      <c r="D928" t="s">
        <v>37</v>
      </c>
      <c r="E928" t="s">
        <v>257</v>
      </c>
      <c r="F928" t="s">
        <v>967</v>
      </c>
      <c r="G928" t="s">
        <v>77</v>
      </c>
      <c r="H928">
        <v>64.73</v>
      </c>
      <c r="I928" t="s">
        <v>65</v>
      </c>
      <c r="J928" t="s">
        <v>20</v>
      </c>
      <c r="K928">
        <v>48</v>
      </c>
      <c r="L928">
        <v>3</v>
      </c>
    </row>
    <row r="929" spans="1:12" x14ac:dyDescent="0.2">
      <c r="A929" t="s">
        <v>2400</v>
      </c>
      <c r="B929" t="s">
        <v>2401</v>
      </c>
      <c r="C929" t="s">
        <v>29</v>
      </c>
      <c r="D929" t="s">
        <v>125</v>
      </c>
      <c r="E929" t="s">
        <v>85</v>
      </c>
      <c r="F929" t="s">
        <v>63</v>
      </c>
      <c r="G929" t="s">
        <v>40</v>
      </c>
      <c r="H929">
        <v>112.49</v>
      </c>
      <c r="I929" t="s">
        <v>65</v>
      </c>
      <c r="J929" t="s">
        <v>20</v>
      </c>
      <c r="K929">
        <v>46</v>
      </c>
      <c r="L929">
        <v>4</v>
      </c>
    </row>
    <row r="930" spans="1:12" x14ac:dyDescent="0.2">
      <c r="A930" t="s">
        <v>2402</v>
      </c>
      <c r="B930" t="s">
        <v>1621</v>
      </c>
      <c r="C930" t="s">
        <v>44</v>
      </c>
      <c r="D930" t="s">
        <v>45</v>
      </c>
      <c r="E930" t="s">
        <v>272</v>
      </c>
      <c r="F930" t="s">
        <v>2403</v>
      </c>
      <c r="G930" t="s">
        <v>77</v>
      </c>
      <c r="H930">
        <v>136.34</v>
      </c>
      <c r="I930" t="s">
        <v>65</v>
      </c>
      <c r="J930" t="s">
        <v>26</v>
      </c>
      <c r="K930">
        <v>61</v>
      </c>
      <c r="L930">
        <v>5</v>
      </c>
    </row>
    <row r="931" spans="1:12" x14ac:dyDescent="0.2">
      <c r="A931" t="s">
        <v>2404</v>
      </c>
      <c r="B931" t="s">
        <v>2405</v>
      </c>
      <c r="C931" t="s">
        <v>23</v>
      </c>
      <c r="D931" t="s">
        <v>54</v>
      </c>
      <c r="E931" t="s">
        <v>349</v>
      </c>
      <c r="F931" t="s">
        <v>659</v>
      </c>
      <c r="G931" t="s">
        <v>64</v>
      </c>
      <c r="H931">
        <v>91.74</v>
      </c>
      <c r="I931" t="s">
        <v>19</v>
      </c>
      <c r="J931" t="s">
        <v>50</v>
      </c>
      <c r="K931">
        <v>30</v>
      </c>
      <c r="L931">
        <v>2</v>
      </c>
    </row>
    <row r="932" spans="1:12" x14ac:dyDescent="0.2">
      <c r="A932" t="s">
        <v>2406</v>
      </c>
      <c r="B932" t="s">
        <v>2407</v>
      </c>
      <c r="C932" t="s">
        <v>14</v>
      </c>
      <c r="D932" t="s">
        <v>125</v>
      </c>
      <c r="E932" t="s">
        <v>140</v>
      </c>
      <c r="F932" t="s">
        <v>2104</v>
      </c>
      <c r="G932" t="s">
        <v>77</v>
      </c>
      <c r="H932">
        <v>228.17</v>
      </c>
      <c r="I932" t="s">
        <v>19</v>
      </c>
      <c r="J932" t="s">
        <v>26</v>
      </c>
      <c r="K932">
        <v>49</v>
      </c>
      <c r="L932">
        <v>4</v>
      </c>
    </row>
    <row r="933" spans="1:12" x14ac:dyDescent="0.2">
      <c r="A933" t="s">
        <v>2408</v>
      </c>
      <c r="B933" t="s">
        <v>2409</v>
      </c>
      <c r="C933" t="s">
        <v>106</v>
      </c>
      <c r="D933" t="s">
        <v>89</v>
      </c>
      <c r="E933" t="s">
        <v>317</v>
      </c>
      <c r="F933" t="s">
        <v>2410</v>
      </c>
      <c r="G933" t="s">
        <v>77</v>
      </c>
      <c r="H933">
        <v>488.91</v>
      </c>
      <c r="I933" t="s">
        <v>122</v>
      </c>
      <c r="J933" t="s">
        <v>20</v>
      </c>
      <c r="K933">
        <v>64</v>
      </c>
      <c r="L933">
        <v>3</v>
      </c>
    </row>
    <row r="934" spans="1:12" x14ac:dyDescent="0.2">
      <c r="A934" t="s">
        <v>2411</v>
      </c>
      <c r="B934" t="s">
        <v>2412</v>
      </c>
      <c r="C934" t="s">
        <v>29</v>
      </c>
      <c r="D934" t="s">
        <v>89</v>
      </c>
      <c r="E934" t="s">
        <v>31</v>
      </c>
      <c r="F934" t="s">
        <v>279</v>
      </c>
      <c r="G934" t="s">
        <v>77</v>
      </c>
      <c r="H934">
        <v>485.31</v>
      </c>
      <c r="I934" t="s">
        <v>19</v>
      </c>
      <c r="J934" t="s">
        <v>26</v>
      </c>
      <c r="K934">
        <v>21</v>
      </c>
      <c r="L934">
        <v>2</v>
      </c>
    </row>
    <row r="935" spans="1:12" x14ac:dyDescent="0.2">
      <c r="A935" t="s">
        <v>2413</v>
      </c>
      <c r="B935" t="s">
        <v>2414</v>
      </c>
      <c r="C935" t="s">
        <v>53</v>
      </c>
      <c r="D935" t="s">
        <v>74</v>
      </c>
      <c r="E935" t="s">
        <v>118</v>
      </c>
      <c r="F935" t="s">
        <v>2415</v>
      </c>
      <c r="G935" t="s">
        <v>40</v>
      </c>
      <c r="H935">
        <v>103.67</v>
      </c>
      <c r="I935" t="s">
        <v>65</v>
      </c>
      <c r="J935" t="s">
        <v>50</v>
      </c>
      <c r="K935">
        <v>36</v>
      </c>
      <c r="L935">
        <v>2</v>
      </c>
    </row>
    <row r="936" spans="1:12" x14ac:dyDescent="0.2">
      <c r="A936" t="s">
        <v>2416</v>
      </c>
      <c r="B936" t="s">
        <v>2417</v>
      </c>
      <c r="C936" t="s">
        <v>44</v>
      </c>
      <c r="D936" t="s">
        <v>61</v>
      </c>
      <c r="E936" t="s">
        <v>69</v>
      </c>
      <c r="F936" t="s">
        <v>739</v>
      </c>
      <c r="G936" t="s">
        <v>40</v>
      </c>
      <c r="H936">
        <v>465.77</v>
      </c>
      <c r="I936" t="s">
        <v>19</v>
      </c>
      <c r="J936" t="s">
        <v>50</v>
      </c>
      <c r="K936">
        <v>64</v>
      </c>
      <c r="L936">
        <v>2</v>
      </c>
    </row>
    <row r="937" spans="1:12" x14ac:dyDescent="0.2">
      <c r="A937" t="s">
        <v>2418</v>
      </c>
      <c r="B937" t="s">
        <v>2419</v>
      </c>
      <c r="C937" t="s">
        <v>23</v>
      </c>
      <c r="D937" t="s">
        <v>54</v>
      </c>
      <c r="E937" t="s">
        <v>272</v>
      </c>
      <c r="F937" t="s">
        <v>1110</v>
      </c>
      <c r="G937" t="s">
        <v>40</v>
      </c>
      <c r="H937">
        <v>367.86</v>
      </c>
      <c r="I937" t="s">
        <v>49</v>
      </c>
      <c r="J937" t="s">
        <v>41</v>
      </c>
      <c r="K937">
        <v>38</v>
      </c>
      <c r="L937">
        <v>5</v>
      </c>
    </row>
    <row r="938" spans="1:12" x14ac:dyDescent="0.2">
      <c r="A938" t="s">
        <v>2420</v>
      </c>
      <c r="B938" t="s">
        <v>960</v>
      </c>
      <c r="C938" t="s">
        <v>73</v>
      </c>
      <c r="D938" t="s">
        <v>125</v>
      </c>
      <c r="E938" t="s">
        <v>343</v>
      </c>
      <c r="F938" t="s">
        <v>1113</v>
      </c>
      <c r="G938" t="s">
        <v>91</v>
      </c>
      <c r="H938">
        <v>161.41999999999999</v>
      </c>
      <c r="I938" t="s">
        <v>19</v>
      </c>
      <c r="J938" t="s">
        <v>50</v>
      </c>
      <c r="K938">
        <v>44</v>
      </c>
      <c r="L938">
        <v>4</v>
      </c>
    </row>
    <row r="939" spans="1:12" x14ac:dyDescent="0.2">
      <c r="A939" t="s">
        <v>2421</v>
      </c>
      <c r="B939" t="s">
        <v>2422</v>
      </c>
      <c r="C939" t="s">
        <v>68</v>
      </c>
      <c r="D939" t="s">
        <v>15</v>
      </c>
      <c r="E939" t="s">
        <v>38</v>
      </c>
      <c r="F939" t="s">
        <v>1812</v>
      </c>
      <c r="G939" t="s">
        <v>57</v>
      </c>
      <c r="H939">
        <v>270.45999999999998</v>
      </c>
      <c r="I939" t="s">
        <v>19</v>
      </c>
      <c r="J939" t="s">
        <v>41</v>
      </c>
      <c r="K939">
        <v>36</v>
      </c>
      <c r="L939">
        <v>3</v>
      </c>
    </row>
    <row r="940" spans="1:12" x14ac:dyDescent="0.2">
      <c r="A940" t="s">
        <v>2423</v>
      </c>
      <c r="B940" t="s">
        <v>2424</v>
      </c>
      <c r="C940" t="s">
        <v>14</v>
      </c>
      <c r="D940" t="s">
        <v>125</v>
      </c>
      <c r="E940" t="s">
        <v>349</v>
      </c>
      <c r="F940" t="s">
        <v>158</v>
      </c>
      <c r="G940" t="s">
        <v>18</v>
      </c>
      <c r="H940">
        <v>82.14</v>
      </c>
      <c r="I940" t="s">
        <v>49</v>
      </c>
      <c r="J940" t="s">
        <v>50</v>
      </c>
      <c r="K940">
        <v>71</v>
      </c>
      <c r="L940">
        <v>3</v>
      </c>
    </row>
    <row r="941" spans="1:12" x14ac:dyDescent="0.2">
      <c r="A941" t="s">
        <v>2425</v>
      </c>
      <c r="B941" t="s">
        <v>2426</v>
      </c>
      <c r="C941" t="s">
        <v>14</v>
      </c>
      <c r="D941" t="s">
        <v>125</v>
      </c>
      <c r="E941" t="s">
        <v>349</v>
      </c>
      <c r="F941" t="s">
        <v>2269</v>
      </c>
      <c r="G941" t="s">
        <v>77</v>
      </c>
      <c r="H941">
        <v>461.97</v>
      </c>
      <c r="I941" t="s">
        <v>19</v>
      </c>
      <c r="J941" t="s">
        <v>20</v>
      </c>
      <c r="K941">
        <v>34</v>
      </c>
      <c r="L941">
        <v>1</v>
      </c>
    </row>
    <row r="942" spans="1:12" x14ac:dyDescent="0.2">
      <c r="A942" t="s">
        <v>2427</v>
      </c>
      <c r="B942" t="s">
        <v>2428</v>
      </c>
      <c r="C942" t="s">
        <v>73</v>
      </c>
      <c r="D942" t="s">
        <v>54</v>
      </c>
      <c r="E942" t="s">
        <v>102</v>
      </c>
      <c r="F942" t="s">
        <v>1864</v>
      </c>
      <c r="G942" t="s">
        <v>40</v>
      </c>
      <c r="H942">
        <v>389.53</v>
      </c>
      <c r="I942" t="s">
        <v>122</v>
      </c>
      <c r="J942" t="s">
        <v>20</v>
      </c>
      <c r="K942">
        <v>76</v>
      </c>
      <c r="L942">
        <v>4</v>
      </c>
    </row>
    <row r="943" spans="1:12" x14ac:dyDescent="0.2">
      <c r="A943" t="s">
        <v>2429</v>
      </c>
      <c r="B943" t="s">
        <v>2430</v>
      </c>
      <c r="C943" t="s">
        <v>29</v>
      </c>
      <c r="D943" t="s">
        <v>80</v>
      </c>
      <c r="E943" t="s">
        <v>302</v>
      </c>
      <c r="F943" t="s">
        <v>76</v>
      </c>
      <c r="G943" t="s">
        <v>33</v>
      </c>
      <c r="H943">
        <v>447.33</v>
      </c>
      <c r="I943" t="s">
        <v>19</v>
      </c>
      <c r="J943" t="s">
        <v>26</v>
      </c>
      <c r="K943">
        <v>77</v>
      </c>
      <c r="L943">
        <v>4</v>
      </c>
    </row>
    <row r="944" spans="1:12" x14ac:dyDescent="0.2">
      <c r="A944" t="s">
        <v>2431</v>
      </c>
      <c r="B944" t="s">
        <v>2432</v>
      </c>
      <c r="C944" t="s">
        <v>106</v>
      </c>
      <c r="D944" t="s">
        <v>15</v>
      </c>
      <c r="E944" t="s">
        <v>46</v>
      </c>
      <c r="F944" t="s">
        <v>849</v>
      </c>
      <c r="G944" t="s">
        <v>91</v>
      </c>
      <c r="H944">
        <v>375.31</v>
      </c>
      <c r="I944" t="s">
        <v>49</v>
      </c>
      <c r="J944" t="s">
        <v>41</v>
      </c>
      <c r="K944">
        <v>80</v>
      </c>
      <c r="L944">
        <v>3</v>
      </c>
    </row>
    <row r="945" spans="1:12" x14ac:dyDescent="0.2">
      <c r="A945" t="s">
        <v>2433</v>
      </c>
      <c r="B945" t="s">
        <v>2434</v>
      </c>
      <c r="C945" t="s">
        <v>68</v>
      </c>
      <c r="D945" t="s">
        <v>54</v>
      </c>
      <c r="E945" t="s">
        <v>272</v>
      </c>
      <c r="F945" t="s">
        <v>1221</v>
      </c>
      <c r="G945" t="s">
        <v>91</v>
      </c>
      <c r="H945">
        <v>449.92</v>
      </c>
      <c r="I945" t="s">
        <v>19</v>
      </c>
      <c r="J945" t="s">
        <v>26</v>
      </c>
      <c r="K945">
        <v>17</v>
      </c>
    </row>
    <row r="946" spans="1:12" x14ac:dyDescent="0.2">
      <c r="A946" t="s">
        <v>2435</v>
      </c>
      <c r="B946" t="s">
        <v>2436</v>
      </c>
      <c r="C946" t="s">
        <v>117</v>
      </c>
      <c r="D946" t="s">
        <v>45</v>
      </c>
      <c r="E946" t="s">
        <v>238</v>
      </c>
      <c r="F946" t="s">
        <v>668</v>
      </c>
      <c r="G946" t="s">
        <v>57</v>
      </c>
      <c r="H946">
        <v>106.8</v>
      </c>
      <c r="I946" t="s">
        <v>122</v>
      </c>
      <c r="J946" t="s">
        <v>41</v>
      </c>
      <c r="K946">
        <v>32</v>
      </c>
      <c r="L946">
        <v>4</v>
      </c>
    </row>
    <row r="947" spans="1:12" x14ac:dyDescent="0.2">
      <c r="A947" t="s">
        <v>2437</v>
      </c>
      <c r="B947" t="s">
        <v>2438</v>
      </c>
      <c r="C947" t="s">
        <v>29</v>
      </c>
      <c r="D947" t="s">
        <v>125</v>
      </c>
      <c r="E947" t="s">
        <v>317</v>
      </c>
      <c r="F947" t="s">
        <v>1355</v>
      </c>
      <c r="G947" t="s">
        <v>48</v>
      </c>
      <c r="H947">
        <v>77.56</v>
      </c>
      <c r="I947" t="s">
        <v>49</v>
      </c>
      <c r="J947" t="s">
        <v>50</v>
      </c>
      <c r="K947">
        <v>44</v>
      </c>
      <c r="L947">
        <v>2</v>
      </c>
    </row>
    <row r="948" spans="1:12" x14ac:dyDescent="0.2">
      <c r="A948" t="s">
        <v>2439</v>
      </c>
      <c r="B948" t="s">
        <v>2440</v>
      </c>
      <c r="C948" t="s">
        <v>23</v>
      </c>
      <c r="D948" t="s">
        <v>54</v>
      </c>
      <c r="E948" t="s">
        <v>85</v>
      </c>
      <c r="F948" t="s">
        <v>396</v>
      </c>
      <c r="G948" t="s">
        <v>91</v>
      </c>
      <c r="H948">
        <v>94.01</v>
      </c>
      <c r="I948" t="s">
        <v>65</v>
      </c>
      <c r="J948" t="s">
        <v>20</v>
      </c>
      <c r="K948">
        <v>63</v>
      </c>
      <c r="L948">
        <v>5</v>
      </c>
    </row>
    <row r="949" spans="1:12" x14ac:dyDescent="0.2">
      <c r="A949" t="s">
        <v>2441</v>
      </c>
      <c r="B949" t="s">
        <v>2442</v>
      </c>
      <c r="C949" t="s">
        <v>44</v>
      </c>
      <c r="D949" t="s">
        <v>45</v>
      </c>
      <c r="E949" t="s">
        <v>62</v>
      </c>
      <c r="F949" t="s">
        <v>1599</v>
      </c>
      <c r="G949" t="s">
        <v>57</v>
      </c>
      <c r="H949">
        <v>180.48</v>
      </c>
      <c r="I949" t="s">
        <v>19</v>
      </c>
      <c r="J949" t="s">
        <v>26</v>
      </c>
      <c r="K949">
        <v>40</v>
      </c>
      <c r="L949">
        <v>3</v>
      </c>
    </row>
    <row r="950" spans="1:12" x14ac:dyDescent="0.2">
      <c r="A950" t="s">
        <v>2443</v>
      </c>
      <c r="B950" t="s">
        <v>281</v>
      </c>
      <c r="C950" t="s">
        <v>60</v>
      </c>
      <c r="D950" t="s">
        <v>125</v>
      </c>
      <c r="E950" t="s">
        <v>46</v>
      </c>
      <c r="F950" t="s">
        <v>211</v>
      </c>
      <c r="G950" t="s">
        <v>91</v>
      </c>
      <c r="H950">
        <v>67.06</v>
      </c>
      <c r="I950" t="s">
        <v>122</v>
      </c>
      <c r="J950" t="s">
        <v>50</v>
      </c>
      <c r="K950">
        <v>31</v>
      </c>
      <c r="L950">
        <v>3</v>
      </c>
    </row>
    <row r="951" spans="1:12" x14ac:dyDescent="0.2">
      <c r="A951" t="s">
        <v>2444</v>
      </c>
      <c r="B951" t="s">
        <v>2445</v>
      </c>
      <c r="C951" t="s">
        <v>53</v>
      </c>
      <c r="D951" t="s">
        <v>45</v>
      </c>
      <c r="E951" t="s">
        <v>31</v>
      </c>
      <c r="F951" t="s">
        <v>254</v>
      </c>
      <c r="G951" t="s">
        <v>64</v>
      </c>
      <c r="H951">
        <v>78.16</v>
      </c>
      <c r="I951" t="s">
        <v>19</v>
      </c>
      <c r="J951" t="s">
        <v>41</v>
      </c>
      <c r="K951">
        <v>29</v>
      </c>
      <c r="L951">
        <v>1</v>
      </c>
    </row>
    <row r="952" spans="1:12" x14ac:dyDescent="0.2">
      <c r="A952" t="s">
        <v>2446</v>
      </c>
      <c r="B952" t="s">
        <v>2447</v>
      </c>
      <c r="C952" t="s">
        <v>68</v>
      </c>
      <c r="D952" t="s">
        <v>45</v>
      </c>
      <c r="E952" t="s">
        <v>473</v>
      </c>
      <c r="F952" t="s">
        <v>306</v>
      </c>
      <c r="G952" t="s">
        <v>40</v>
      </c>
      <c r="H952">
        <v>424.5</v>
      </c>
      <c r="I952" t="s">
        <v>19</v>
      </c>
      <c r="J952" t="s">
        <v>41</v>
      </c>
      <c r="K952">
        <v>63</v>
      </c>
    </row>
    <row r="953" spans="1:12" x14ac:dyDescent="0.2">
      <c r="A953" t="s">
        <v>2448</v>
      </c>
      <c r="B953" t="s">
        <v>2449</v>
      </c>
      <c r="C953" t="s">
        <v>53</v>
      </c>
      <c r="D953" t="s">
        <v>89</v>
      </c>
      <c r="E953" t="s">
        <v>102</v>
      </c>
      <c r="F953" t="s">
        <v>1752</v>
      </c>
      <c r="G953" t="s">
        <v>77</v>
      </c>
      <c r="H953">
        <v>121.92</v>
      </c>
      <c r="I953" t="s">
        <v>19</v>
      </c>
      <c r="J953" t="s">
        <v>50</v>
      </c>
      <c r="K953">
        <v>42</v>
      </c>
      <c r="L953">
        <v>5</v>
      </c>
    </row>
    <row r="954" spans="1:12" x14ac:dyDescent="0.2">
      <c r="A954" t="s">
        <v>2450</v>
      </c>
      <c r="B954" t="s">
        <v>2451</v>
      </c>
      <c r="C954" t="s">
        <v>53</v>
      </c>
      <c r="D954" t="s">
        <v>61</v>
      </c>
      <c r="E954" t="s">
        <v>349</v>
      </c>
      <c r="F954" t="s">
        <v>2452</v>
      </c>
      <c r="G954" t="s">
        <v>40</v>
      </c>
      <c r="H954">
        <v>200.29</v>
      </c>
      <c r="I954" t="s">
        <v>49</v>
      </c>
      <c r="J954" t="s">
        <v>50</v>
      </c>
      <c r="K954">
        <v>75</v>
      </c>
      <c r="L954">
        <v>4</v>
      </c>
    </row>
    <row r="955" spans="1:12" x14ac:dyDescent="0.2">
      <c r="A955" t="s">
        <v>2453</v>
      </c>
      <c r="B955" t="s">
        <v>2454</v>
      </c>
      <c r="C955" t="s">
        <v>106</v>
      </c>
      <c r="D955" t="s">
        <v>61</v>
      </c>
      <c r="E955" t="s">
        <v>198</v>
      </c>
      <c r="F955" t="s">
        <v>534</v>
      </c>
      <c r="G955" t="s">
        <v>48</v>
      </c>
      <c r="H955">
        <v>257.92</v>
      </c>
      <c r="I955" t="s">
        <v>65</v>
      </c>
      <c r="J955" t="s">
        <v>26</v>
      </c>
      <c r="K955">
        <v>29</v>
      </c>
      <c r="L955">
        <v>3</v>
      </c>
    </row>
    <row r="956" spans="1:12" x14ac:dyDescent="0.2">
      <c r="A956" t="s">
        <v>2455</v>
      </c>
      <c r="B956" t="s">
        <v>2456</v>
      </c>
      <c r="C956" t="s">
        <v>73</v>
      </c>
      <c r="D956" t="s">
        <v>125</v>
      </c>
      <c r="E956" t="s">
        <v>238</v>
      </c>
      <c r="F956" t="s">
        <v>2457</v>
      </c>
      <c r="G956" t="s">
        <v>57</v>
      </c>
      <c r="H956">
        <v>489.98</v>
      </c>
      <c r="I956" t="s">
        <v>49</v>
      </c>
      <c r="J956" t="s">
        <v>26</v>
      </c>
      <c r="K956">
        <v>72</v>
      </c>
      <c r="L956">
        <v>3</v>
      </c>
    </row>
    <row r="957" spans="1:12" x14ac:dyDescent="0.2">
      <c r="A957" t="s">
        <v>2458</v>
      </c>
      <c r="B957" t="s">
        <v>2459</v>
      </c>
      <c r="C957" t="s">
        <v>53</v>
      </c>
      <c r="D957" t="s">
        <v>89</v>
      </c>
      <c r="E957" t="s">
        <v>55</v>
      </c>
      <c r="F957" t="s">
        <v>1990</v>
      </c>
      <c r="G957" t="s">
        <v>33</v>
      </c>
      <c r="H957">
        <v>111.74</v>
      </c>
      <c r="I957" t="s">
        <v>122</v>
      </c>
      <c r="J957" t="s">
        <v>26</v>
      </c>
      <c r="K957">
        <v>63</v>
      </c>
      <c r="L957">
        <v>1</v>
      </c>
    </row>
    <row r="958" spans="1:12" x14ac:dyDescent="0.2">
      <c r="A958" t="s">
        <v>2460</v>
      </c>
      <c r="B958" t="s">
        <v>2461</v>
      </c>
      <c r="C958" t="s">
        <v>106</v>
      </c>
      <c r="D958" t="s">
        <v>74</v>
      </c>
      <c r="E958" t="s">
        <v>85</v>
      </c>
      <c r="F958" t="s">
        <v>1221</v>
      </c>
      <c r="G958" t="s">
        <v>48</v>
      </c>
      <c r="H958">
        <v>211.21</v>
      </c>
      <c r="I958" t="s">
        <v>122</v>
      </c>
      <c r="J958" t="s">
        <v>20</v>
      </c>
      <c r="K958">
        <v>52</v>
      </c>
    </row>
    <row r="959" spans="1:12" x14ac:dyDescent="0.2">
      <c r="A959" t="s">
        <v>2462</v>
      </c>
      <c r="B959" t="s">
        <v>2463</v>
      </c>
      <c r="C959" t="s">
        <v>73</v>
      </c>
      <c r="D959" t="s">
        <v>80</v>
      </c>
      <c r="E959" t="s">
        <v>46</v>
      </c>
      <c r="F959" t="s">
        <v>1248</v>
      </c>
      <c r="G959" t="s">
        <v>33</v>
      </c>
      <c r="H959">
        <v>167.68</v>
      </c>
      <c r="I959" t="s">
        <v>49</v>
      </c>
      <c r="J959" t="s">
        <v>50</v>
      </c>
      <c r="K959">
        <v>24</v>
      </c>
      <c r="L959">
        <v>2</v>
      </c>
    </row>
    <row r="960" spans="1:12" x14ac:dyDescent="0.2">
      <c r="A960" t="s">
        <v>2464</v>
      </c>
      <c r="B960" t="s">
        <v>2465</v>
      </c>
      <c r="C960" t="s">
        <v>44</v>
      </c>
      <c r="D960" t="s">
        <v>61</v>
      </c>
      <c r="E960" t="s">
        <v>102</v>
      </c>
      <c r="F960" t="s">
        <v>2179</v>
      </c>
      <c r="G960" t="s">
        <v>57</v>
      </c>
      <c r="H960">
        <v>391.74</v>
      </c>
      <c r="I960" t="s">
        <v>19</v>
      </c>
      <c r="J960" t="s">
        <v>20</v>
      </c>
      <c r="K960">
        <v>68</v>
      </c>
      <c r="L960">
        <v>1</v>
      </c>
    </row>
    <row r="961" spans="1:12" x14ac:dyDescent="0.2">
      <c r="A961" t="s">
        <v>2466</v>
      </c>
      <c r="B961" t="s">
        <v>2467</v>
      </c>
      <c r="C961" t="s">
        <v>14</v>
      </c>
      <c r="D961" t="s">
        <v>15</v>
      </c>
      <c r="E961" t="s">
        <v>272</v>
      </c>
      <c r="F961" t="s">
        <v>2468</v>
      </c>
      <c r="G961" t="s">
        <v>33</v>
      </c>
      <c r="H961">
        <v>342.86</v>
      </c>
      <c r="I961" t="s">
        <v>65</v>
      </c>
      <c r="J961" t="s">
        <v>50</v>
      </c>
      <c r="K961">
        <v>59</v>
      </c>
      <c r="L961">
        <v>5</v>
      </c>
    </row>
    <row r="962" spans="1:12" x14ac:dyDescent="0.2">
      <c r="A962" t="s">
        <v>2469</v>
      </c>
      <c r="B962" t="s">
        <v>2470</v>
      </c>
      <c r="C962" t="s">
        <v>73</v>
      </c>
      <c r="D962" t="s">
        <v>139</v>
      </c>
      <c r="E962" t="s">
        <v>69</v>
      </c>
      <c r="F962" t="s">
        <v>2471</v>
      </c>
      <c r="G962" t="s">
        <v>64</v>
      </c>
      <c r="H962">
        <v>179.21</v>
      </c>
      <c r="I962" t="s">
        <v>49</v>
      </c>
      <c r="J962" t="s">
        <v>41</v>
      </c>
      <c r="K962">
        <v>15</v>
      </c>
      <c r="L962">
        <v>3</v>
      </c>
    </row>
    <row r="963" spans="1:12" x14ac:dyDescent="0.2">
      <c r="A963" t="s">
        <v>2472</v>
      </c>
      <c r="B963" t="s">
        <v>2473</v>
      </c>
      <c r="C963" t="s">
        <v>73</v>
      </c>
      <c r="D963" t="s">
        <v>37</v>
      </c>
      <c r="E963" t="s">
        <v>75</v>
      </c>
      <c r="F963" t="s">
        <v>1711</v>
      </c>
      <c r="G963" t="s">
        <v>48</v>
      </c>
      <c r="H963">
        <v>411.51</v>
      </c>
      <c r="I963" t="s">
        <v>49</v>
      </c>
      <c r="J963" t="s">
        <v>26</v>
      </c>
      <c r="K963">
        <v>86</v>
      </c>
      <c r="L963">
        <v>1</v>
      </c>
    </row>
    <row r="964" spans="1:12" x14ac:dyDescent="0.2">
      <c r="A964" t="s">
        <v>2474</v>
      </c>
      <c r="B964" t="s">
        <v>2475</v>
      </c>
      <c r="C964" t="s">
        <v>29</v>
      </c>
      <c r="D964" t="s">
        <v>45</v>
      </c>
      <c r="E964" t="s">
        <v>69</v>
      </c>
      <c r="F964" t="s">
        <v>1812</v>
      </c>
      <c r="G964" t="s">
        <v>33</v>
      </c>
      <c r="H964">
        <v>451.37</v>
      </c>
      <c r="I964" t="s">
        <v>19</v>
      </c>
      <c r="J964" t="s">
        <v>26</v>
      </c>
      <c r="K964">
        <v>46</v>
      </c>
      <c r="L964">
        <v>1</v>
      </c>
    </row>
    <row r="965" spans="1:12" x14ac:dyDescent="0.2">
      <c r="A965" t="s">
        <v>2476</v>
      </c>
      <c r="B965" t="s">
        <v>2477</v>
      </c>
      <c r="C965" t="s">
        <v>73</v>
      </c>
      <c r="D965" t="s">
        <v>89</v>
      </c>
      <c r="E965" t="s">
        <v>118</v>
      </c>
      <c r="F965" t="s">
        <v>1496</v>
      </c>
      <c r="G965" t="s">
        <v>64</v>
      </c>
      <c r="H965">
        <v>113.55</v>
      </c>
      <c r="I965" t="s">
        <v>49</v>
      </c>
      <c r="J965" t="s">
        <v>50</v>
      </c>
      <c r="K965">
        <v>79</v>
      </c>
      <c r="L965">
        <v>4</v>
      </c>
    </row>
    <row r="966" spans="1:12" x14ac:dyDescent="0.2">
      <c r="A966" t="s">
        <v>2478</v>
      </c>
      <c r="B966" t="s">
        <v>2479</v>
      </c>
      <c r="C966" t="s">
        <v>68</v>
      </c>
      <c r="D966" t="s">
        <v>61</v>
      </c>
      <c r="E966" t="s">
        <v>272</v>
      </c>
      <c r="F966" t="s">
        <v>605</v>
      </c>
      <c r="G966" t="s">
        <v>40</v>
      </c>
      <c r="H966">
        <v>419.72</v>
      </c>
      <c r="I966" t="s">
        <v>19</v>
      </c>
      <c r="J966" t="s">
        <v>50</v>
      </c>
      <c r="K966">
        <v>75</v>
      </c>
      <c r="L966">
        <v>4</v>
      </c>
    </row>
    <row r="967" spans="1:12" x14ac:dyDescent="0.2">
      <c r="A967" t="s">
        <v>2480</v>
      </c>
      <c r="B967" t="s">
        <v>2481</v>
      </c>
      <c r="C967" t="s">
        <v>53</v>
      </c>
      <c r="D967" t="s">
        <v>54</v>
      </c>
      <c r="E967" t="s">
        <v>113</v>
      </c>
      <c r="F967" t="s">
        <v>1815</v>
      </c>
      <c r="G967" t="s">
        <v>40</v>
      </c>
      <c r="H967">
        <v>131.66</v>
      </c>
      <c r="I967" t="s">
        <v>19</v>
      </c>
      <c r="J967" t="s">
        <v>26</v>
      </c>
      <c r="K967">
        <v>70</v>
      </c>
      <c r="L967">
        <v>2</v>
      </c>
    </row>
    <row r="968" spans="1:12" x14ac:dyDescent="0.2">
      <c r="A968" t="s">
        <v>2482</v>
      </c>
      <c r="B968" t="s">
        <v>2483</v>
      </c>
      <c r="C968" t="s">
        <v>44</v>
      </c>
      <c r="D968" t="s">
        <v>89</v>
      </c>
      <c r="E968" t="s">
        <v>180</v>
      </c>
      <c r="F968" t="s">
        <v>756</v>
      </c>
      <c r="G968" t="s">
        <v>48</v>
      </c>
      <c r="H968">
        <v>498.57</v>
      </c>
      <c r="I968" t="s">
        <v>65</v>
      </c>
      <c r="J968" t="s">
        <v>41</v>
      </c>
      <c r="K968">
        <v>90</v>
      </c>
      <c r="L968">
        <v>4</v>
      </c>
    </row>
    <row r="969" spans="1:12" x14ac:dyDescent="0.2">
      <c r="A969" t="s">
        <v>2484</v>
      </c>
      <c r="B969" t="s">
        <v>2485</v>
      </c>
      <c r="C969" t="s">
        <v>29</v>
      </c>
      <c r="D969" t="s">
        <v>61</v>
      </c>
      <c r="E969" t="s">
        <v>16</v>
      </c>
      <c r="F969" t="s">
        <v>824</v>
      </c>
      <c r="G969" t="s">
        <v>48</v>
      </c>
      <c r="H969">
        <v>392.63</v>
      </c>
      <c r="I969" t="s">
        <v>19</v>
      </c>
      <c r="J969" t="s">
        <v>50</v>
      </c>
      <c r="K969">
        <v>42</v>
      </c>
      <c r="L969">
        <v>1</v>
      </c>
    </row>
    <row r="970" spans="1:12" x14ac:dyDescent="0.2">
      <c r="A970" t="s">
        <v>2486</v>
      </c>
      <c r="B970" t="s">
        <v>2487</v>
      </c>
      <c r="C970" t="s">
        <v>68</v>
      </c>
      <c r="D970" t="s">
        <v>37</v>
      </c>
      <c r="E970" t="s">
        <v>302</v>
      </c>
      <c r="F970" t="s">
        <v>1447</v>
      </c>
      <c r="G970" t="s">
        <v>33</v>
      </c>
      <c r="H970">
        <v>378.44</v>
      </c>
      <c r="I970" t="s">
        <v>122</v>
      </c>
      <c r="J970" t="s">
        <v>26</v>
      </c>
      <c r="K970">
        <v>46</v>
      </c>
      <c r="L970">
        <v>2</v>
      </c>
    </row>
    <row r="971" spans="1:12" x14ac:dyDescent="0.2">
      <c r="A971" t="s">
        <v>2488</v>
      </c>
      <c r="B971" t="s">
        <v>2489</v>
      </c>
      <c r="C971" t="s">
        <v>117</v>
      </c>
      <c r="D971" t="s">
        <v>74</v>
      </c>
      <c r="E971" t="s">
        <v>75</v>
      </c>
      <c r="F971" t="s">
        <v>550</v>
      </c>
      <c r="G971" t="s">
        <v>18</v>
      </c>
      <c r="H971">
        <v>351.95</v>
      </c>
      <c r="I971" t="s">
        <v>65</v>
      </c>
      <c r="J971" t="s">
        <v>50</v>
      </c>
      <c r="K971">
        <v>54</v>
      </c>
      <c r="L971">
        <v>2</v>
      </c>
    </row>
    <row r="972" spans="1:12" x14ac:dyDescent="0.2">
      <c r="A972" t="s">
        <v>2490</v>
      </c>
      <c r="B972" t="s">
        <v>2491</v>
      </c>
      <c r="C972" t="s">
        <v>44</v>
      </c>
      <c r="D972" t="s">
        <v>125</v>
      </c>
      <c r="E972" t="s">
        <v>118</v>
      </c>
      <c r="F972" t="s">
        <v>2492</v>
      </c>
      <c r="G972" t="s">
        <v>64</v>
      </c>
      <c r="H972">
        <v>137.88</v>
      </c>
      <c r="I972" t="s">
        <v>65</v>
      </c>
      <c r="J972" t="s">
        <v>41</v>
      </c>
      <c r="K972">
        <v>33</v>
      </c>
      <c r="L972">
        <v>2</v>
      </c>
    </row>
    <row r="973" spans="1:12" x14ac:dyDescent="0.2">
      <c r="A973" t="s">
        <v>2493</v>
      </c>
      <c r="B973" t="s">
        <v>2494</v>
      </c>
      <c r="C973" t="s">
        <v>14</v>
      </c>
      <c r="D973" t="s">
        <v>61</v>
      </c>
      <c r="E973" t="s">
        <v>85</v>
      </c>
      <c r="F973" t="s">
        <v>2495</v>
      </c>
      <c r="G973" t="s">
        <v>57</v>
      </c>
      <c r="H973">
        <v>388.64</v>
      </c>
      <c r="I973" t="s">
        <v>19</v>
      </c>
      <c r="J973" t="s">
        <v>26</v>
      </c>
      <c r="K973">
        <v>86</v>
      </c>
      <c r="L973">
        <v>5</v>
      </c>
    </row>
    <row r="974" spans="1:12" x14ac:dyDescent="0.2">
      <c r="A974" t="s">
        <v>2496</v>
      </c>
      <c r="B974" t="s">
        <v>2497</v>
      </c>
      <c r="C974" t="s">
        <v>53</v>
      </c>
      <c r="D974" t="s">
        <v>89</v>
      </c>
      <c r="E974" t="s">
        <v>129</v>
      </c>
      <c r="F974" t="s">
        <v>1340</v>
      </c>
      <c r="G974" t="s">
        <v>48</v>
      </c>
      <c r="H974">
        <v>58.55</v>
      </c>
      <c r="I974" t="s">
        <v>65</v>
      </c>
      <c r="J974" t="s">
        <v>41</v>
      </c>
      <c r="K974">
        <v>83</v>
      </c>
      <c r="L974">
        <v>4</v>
      </c>
    </row>
    <row r="975" spans="1:12" x14ac:dyDescent="0.2">
      <c r="A975" t="s">
        <v>2498</v>
      </c>
      <c r="B975" t="s">
        <v>2499</v>
      </c>
      <c r="C975" t="s">
        <v>73</v>
      </c>
      <c r="D975" t="s">
        <v>37</v>
      </c>
      <c r="E975" t="s">
        <v>349</v>
      </c>
      <c r="F975" t="s">
        <v>950</v>
      </c>
      <c r="G975" t="s">
        <v>77</v>
      </c>
      <c r="H975">
        <v>373.45</v>
      </c>
      <c r="I975" t="s">
        <v>122</v>
      </c>
      <c r="J975" t="s">
        <v>26</v>
      </c>
      <c r="K975">
        <v>61</v>
      </c>
      <c r="L975">
        <v>2</v>
      </c>
    </row>
    <row r="976" spans="1:12" x14ac:dyDescent="0.2">
      <c r="A976" t="s">
        <v>2500</v>
      </c>
      <c r="B976" t="s">
        <v>2501</v>
      </c>
      <c r="C976" t="s">
        <v>44</v>
      </c>
      <c r="D976" t="s">
        <v>80</v>
      </c>
      <c r="E976" t="s">
        <v>16</v>
      </c>
      <c r="F976" t="s">
        <v>2502</v>
      </c>
      <c r="G976" t="s">
        <v>18</v>
      </c>
      <c r="H976">
        <v>388.09</v>
      </c>
      <c r="I976" t="s">
        <v>65</v>
      </c>
      <c r="J976" t="s">
        <v>50</v>
      </c>
      <c r="K976">
        <v>90</v>
      </c>
    </row>
    <row r="977" spans="1:12" x14ac:dyDescent="0.2">
      <c r="A977" t="s">
        <v>2503</v>
      </c>
      <c r="B977" t="s">
        <v>2504</v>
      </c>
      <c r="C977" t="s">
        <v>14</v>
      </c>
      <c r="D977" t="s">
        <v>15</v>
      </c>
      <c r="E977" t="s">
        <v>238</v>
      </c>
      <c r="F977" t="s">
        <v>1464</v>
      </c>
      <c r="G977" t="s">
        <v>33</v>
      </c>
      <c r="H977">
        <v>143.94</v>
      </c>
      <c r="I977" t="s">
        <v>49</v>
      </c>
      <c r="J977" t="s">
        <v>41</v>
      </c>
      <c r="K977">
        <v>22</v>
      </c>
    </row>
    <row r="978" spans="1:12" x14ac:dyDescent="0.2">
      <c r="A978" t="s">
        <v>2505</v>
      </c>
      <c r="B978" t="s">
        <v>2506</v>
      </c>
      <c r="C978" t="s">
        <v>29</v>
      </c>
      <c r="D978" t="s">
        <v>54</v>
      </c>
      <c r="E978" t="s">
        <v>180</v>
      </c>
      <c r="F978" t="s">
        <v>1990</v>
      </c>
      <c r="G978" t="s">
        <v>64</v>
      </c>
      <c r="H978">
        <v>199.07</v>
      </c>
      <c r="I978" t="s">
        <v>49</v>
      </c>
      <c r="J978" t="s">
        <v>26</v>
      </c>
      <c r="K978">
        <v>63</v>
      </c>
      <c r="L978">
        <v>5</v>
      </c>
    </row>
    <row r="979" spans="1:12" x14ac:dyDescent="0.2">
      <c r="A979" t="s">
        <v>2507</v>
      </c>
      <c r="B979" t="s">
        <v>2508</v>
      </c>
      <c r="C979" t="s">
        <v>44</v>
      </c>
      <c r="D979" t="s">
        <v>61</v>
      </c>
      <c r="E979" t="s">
        <v>132</v>
      </c>
      <c r="F979" t="s">
        <v>86</v>
      </c>
      <c r="G979" t="s">
        <v>91</v>
      </c>
      <c r="H979">
        <v>429.6</v>
      </c>
      <c r="I979" t="s">
        <v>122</v>
      </c>
      <c r="J979" t="s">
        <v>41</v>
      </c>
      <c r="K979">
        <v>88</v>
      </c>
      <c r="L979">
        <v>2</v>
      </c>
    </row>
    <row r="980" spans="1:12" x14ac:dyDescent="0.2">
      <c r="A980" t="s">
        <v>2509</v>
      </c>
      <c r="B980" t="s">
        <v>2510</v>
      </c>
      <c r="C980" t="s">
        <v>68</v>
      </c>
      <c r="D980" t="s">
        <v>139</v>
      </c>
      <c r="E980" t="s">
        <v>69</v>
      </c>
      <c r="F980" t="s">
        <v>1982</v>
      </c>
      <c r="G980" t="s">
        <v>33</v>
      </c>
      <c r="H980">
        <v>348.74</v>
      </c>
      <c r="I980" t="s">
        <v>122</v>
      </c>
      <c r="J980" t="s">
        <v>41</v>
      </c>
      <c r="K980">
        <v>27</v>
      </c>
    </row>
    <row r="981" spans="1:12" x14ac:dyDescent="0.2">
      <c r="A981" t="s">
        <v>2511</v>
      </c>
      <c r="B981" t="s">
        <v>913</v>
      </c>
      <c r="C981" t="s">
        <v>60</v>
      </c>
      <c r="D981" t="s">
        <v>74</v>
      </c>
      <c r="E981" t="s">
        <v>302</v>
      </c>
      <c r="F981" t="s">
        <v>857</v>
      </c>
      <c r="G981" t="s">
        <v>33</v>
      </c>
      <c r="H981">
        <v>124.62</v>
      </c>
      <c r="I981" t="s">
        <v>122</v>
      </c>
      <c r="J981" t="s">
        <v>41</v>
      </c>
      <c r="K981">
        <v>27</v>
      </c>
      <c r="L981">
        <v>3</v>
      </c>
    </row>
    <row r="982" spans="1:12" x14ac:dyDescent="0.2">
      <c r="A982" t="s">
        <v>2512</v>
      </c>
      <c r="B982" t="s">
        <v>2513</v>
      </c>
      <c r="C982" t="s">
        <v>73</v>
      </c>
      <c r="D982" t="s">
        <v>54</v>
      </c>
      <c r="E982" t="s">
        <v>302</v>
      </c>
      <c r="F982" t="s">
        <v>621</v>
      </c>
      <c r="G982" t="s">
        <v>91</v>
      </c>
      <c r="H982">
        <v>98.8</v>
      </c>
      <c r="I982" t="s">
        <v>19</v>
      </c>
      <c r="J982" t="s">
        <v>20</v>
      </c>
      <c r="K982">
        <v>65</v>
      </c>
      <c r="L982">
        <v>2</v>
      </c>
    </row>
    <row r="983" spans="1:12" x14ac:dyDescent="0.2">
      <c r="A983" t="s">
        <v>2514</v>
      </c>
      <c r="B983" t="s">
        <v>2515</v>
      </c>
      <c r="C983" t="s">
        <v>29</v>
      </c>
      <c r="D983" t="s">
        <v>61</v>
      </c>
      <c r="E983" t="s">
        <v>16</v>
      </c>
      <c r="F983" t="s">
        <v>1296</v>
      </c>
      <c r="G983" t="s">
        <v>40</v>
      </c>
      <c r="H983">
        <v>497.65</v>
      </c>
      <c r="I983" t="s">
        <v>49</v>
      </c>
      <c r="J983" t="s">
        <v>20</v>
      </c>
      <c r="K983">
        <v>29</v>
      </c>
      <c r="L983">
        <v>3</v>
      </c>
    </row>
    <row r="984" spans="1:12" x14ac:dyDescent="0.2">
      <c r="A984" t="s">
        <v>2516</v>
      </c>
      <c r="B984" t="s">
        <v>2517</v>
      </c>
      <c r="C984" t="s">
        <v>29</v>
      </c>
      <c r="D984" t="s">
        <v>125</v>
      </c>
      <c r="E984" t="s">
        <v>102</v>
      </c>
      <c r="F984" t="s">
        <v>1206</v>
      </c>
      <c r="G984" t="s">
        <v>40</v>
      </c>
      <c r="H984">
        <v>421.31</v>
      </c>
      <c r="I984" t="s">
        <v>19</v>
      </c>
      <c r="J984" t="s">
        <v>50</v>
      </c>
      <c r="K984">
        <v>65</v>
      </c>
      <c r="L984">
        <v>5</v>
      </c>
    </row>
    <row r="985" spans="1:12" x14ac:dyDescent="0.2">
      <c r="A985" t="s">
        <v>2518</v>
      </c>
      <c r="B985" t="s">
        <v>521</v>
      </c>
      <c r="C985" t="s">
        <v>14</v>
      </c>
      <c r="D985" t="s">
        <v>139</v>
      </c>
      <c r="E985" t="s">
        <v>24</v>
      </c>
      <c r="F985" t="s">
        <v>2519</v>
      </c>
      <c r="G985" t="s">
        <v>77</v>
      </c>
      <c r="H985">
        <v>199.51</v>
      </c>
      <c r="I985" t="s">
        <v>122</v>
      </c>
      <c r="J985" t="s">
        <v>41</v>
      </c>
      <c r="K985">
        <v>51</v>
      </c>
      <c r="L985">
        <v>5</v>
      </c>
    </row>
    <row r="986" spans="1:12" x14ac:dyDescent="0.2">
      <c r="A986" t="s">
        <v>2520</v>
      </c>
      <c r="B986" t="s">
        <v>2521</v>
      </c>
      <c r="C986" t="s">
        <v>68</v>
      </c>
      <c r="D986" t="s">
        <v>80</v>
      </c>
      <c r="E986" t="s">
        <v>81</v>
      </c>
      <c r="F986" t="s">
        <v>967</v>
      </c>
      <c r="G986" t="s">
        <v>77</v>
      </c>
      <c r="H986">
        <v>413.41</v>
      </c>
      <c r="I986" t="s">
        <v>49</v>
      </c>
      <c r="J986" t="s">
        <v>50</v>
      </c>
      <c r="K986">
        <v>18</v>
      </c>
      <c r="L986">
        <v>3</v>
      </c>
    </row>
    <row r="987" spans="1:12" x14ac:dyDescent="0.2">
      <c r="A987" t="s">
        <v>2522</v>
      </c>
      <c r="B987" t="s">
        <v>2523</v>
      </c>
      <c r="C987" t="s">
        <v>14</v>
      </c>
      <c r="D987" t="s">
        <v>89</v>
      </c>
      <c r="E987" t="s">
        <v>118</v>
      </c>
      <c r="F987" t="s">
        <v>2524</v>
      </c>
      <c r="G987" t="s">
        <v>33</v>
      </c>
      <c r="H987">
        <v>347.2</v>
      </c>
      <c r="I987" t="s">
        <v>122</v>
      </c>
      <c r="J987" t="s">
        <v>20</v>
      </c>
      <c r="K987">
        <v>87</v>
      </c>
      <c r="L987">
        <v>3</v>
      </c>
    </row>
    <row r="988" spans="1:12" x14ac:dyDescent="0.2">
      <c r="A988" t="s">
        <v>2525</v>
      </c>
      <c r="B988" t="s">
        <v>2526</v>
      </c>
      <c r="C988" t="s">
        <v>117</v>
      </c>
      <c r="D988" t="s">
        <v>61</v>
      </c>
      <c r="E988" t="s">
        <v>129</v>
      </c>
      <c r="F988" t="s">
        <v>2527</v>
      </c>
      <c r="G988" t="s">
        <v>48</v>
      </c>
      <c r="H988">
        <v>65.209999999999994</v>
      </c>
      <c r="I988" t="s">
        <v>19</v>
      </c>
      <c r="J988" t="s">
        <v>20</v>
      </c>
      <c r="K988">
        <v>78</v>
      </c>
      <c r="L988">
        <v>2</v>
      </c>
    </row>
    <row r="989" spans="1:12" x14ac:dyDescent="0.2">
      <c r="A989" t="s">
        <v>2528</v>
      </c>
      <c r="B989" t="s">
        <v>2529</v>
      </c>
      <c r="C989" t="s">
        <v>60</v>
      </c>
      <c r="D989" t="s">
        <v>80</v>
      </c>
      <c r="E989" t="s">
        <v>129</v>
      </c>
      <c r="F989" t="s">
        <v>616</v>
      </c>
      <c r="G989" t="s">
        <v>33</v>
      </c>
      <c r="H989">
        <v>273.06</v>
      </c>
      <c r="I989" t="s">
        <v>65</v>
      </c>
      <c r="J989" t="s">
        <v>41</v>
      </c>
      <c r="K989">
        <v>29</v>
      </c>
      <c r="L989">
        <v>2</v>
      </c>
    </row>
    <row r="990" spans="1:12" x14ac:dyDescent="0.2">
      <c r="A990" t="s">
        <v>2530</v>
      </c>
      <c r="B990" t="s">
        <v>2531</v>
      </c>
      <c r="C990" t="s">
        <v>68</v>
      </c>
      <c r="D990" t="s">
        <v>37</v>
      </c>
      <c r="E990" t="s">
        <v>473</v>
      </c>
      <c r="F990" t="s">
        <v>82</v>
      </c>
      <c r="G990" t="s">
        <v>40</v>
      </c>
      <c r="H990">
        <v>306.97000000000003</v>
      </c>
      <c r="I990" t="s">
        <v>122</v>
      </c>
      <c r="J990" t="s">
        <v>26</v>
      </c>
      <c r="K990">
        <v>61</v>
      </c>
      <c r="L990">
        <v>4</v>
      </c>
    </row>
    <row r="991" spans="1:12" x14ac:dyDescent="0.2">
      <c r="A991" t="s">
        <v>2532</v>
      </c>
      <c r="B991" t="s">
        <v>2533</v>
      </c>
      <c r="C991" t="s">
        <v>44</v>
      </c>
      <c r="D991" t="s">
        <v>125</v>
      </c>
      <c r="E991" t="s">
        <v>69</v>
      </c>
      <c r="F991" t="s">
        <v>2534</v>
      </c>
      <c r="G991" t="s">
        <v>77</v>
      </c>
      <c r="H991">
        <v>111.75</v>
      </c>
      <c r="I991" t="s">
        <v>19</v>
      </c>
      <c r="J991" t="s">
        <v>50</v>
      </c>
      <c r="K991">
        <v>75</v>
      </c>
      <c r="L991">
        <v>3</v>
      </c>
    </row>
    <row r="992" spans="1:12" x14ac:dyDescent="0.2">
      <c r="A992" t="s">
        <v>2535</v>
      </c>
      <c r="B992" t="s">
        <v>2536</v>
      </c>
      <c r="C992" t="s">
        <v>73</v>
      </c>
      <c r="D992" t="s">
        <v>37</v>
      </c>
      <c r="E992" t="s">
        <v>75</v>
      </c>
      <c r="F992" t="s">
        <v>1850</v>
      </c>
      <c r="G992" t="s">
        <v>33</v>
      </c>
      <c r="H992">
        <v>250.83</v>
      </c>
      <c r="I992" t="s">
        <v>65</v>
      </c>
      <c r="J992" t="s">
        <v>41</v>
      </c>
      <c r="K992">
        <v>85</v>
      </c>
      <c r="L992">
        <v>5</v>
      </c>
    </row>
    <row r="993" spans="1:12" x14ac:dyDescent="0.2">
      <c r="A993" t="s">
        <v>2537</v>
      </c>
      <c r="B993" t="s">
        <v>2538</v>
      </c>
      <c r="C993" t="s">
        <v>44</v>
      </c>
      <c r="D993" t="s">
        <v>54</v>
      </c>
      <c r="E993" t="s">
        <v>349</v>
      </c>
      <c r="F993" t="s">
        <v>2539</v>
      </c>
      <c r="G993" t="s">
        <v>91</v>
      </c>
      <c r="H993">
        <v>264.77</v>
      </c>
      <c r="I993" t="s">
        <v>65</v>
      </c>
      <c r="J993" t="s">
        <v>50</v>
      </c>
      <c r="K993">
        <v>45</v>
      </c>
      <c r="L993">
        <v>4</v>
      </c>
    </row>
    <row r="994" spans="1:12" x14ac:dyDescent="0.2">
      <c r="A994" t="s">
        <v>2540</v>
      </c>
      <c r="B994" t="s">
        <v>2541</v>
      </c>
      <c r="C994" t="s">
        <v>73</v>
      </c>
      <c r="D994" t="s">
        <v>80</v>
      </c>
      <c r="E994" t="s">
        <v>272</v>
      </c>
      <c r="F994" t="s">
        <v>988</v>
      </c>
      <c r="G994" t="s">
        <v>33</v>
      </c>
      <c r="H994">
        <v>240.39</v>
      </c>
      <c r="I994" t="s">
        <v>122</v>
      </c>
      <c r="J994" t="s">
        <v>20</v>
      </c>
      <c r="K994">
        <v>70</v>
      </c>
      <c r="L994">
        <v>1</v>
      </c>
    </row>
    <row r="995" spans="1:12" x14ac:dyDescent="0.2">
      <c r="A995" t="s">
        <v>2542</v>
      </c>
      <c r="B995" t="s">
        <v>2543</v>
      </c>
      <c r="C995" t="s">
        <v>73</v>
      </c>
      <c r="D995" t="s">
        <v>54</v>
      </c>
      <c r="E995" t="s">
        <v>302</v>
      </c>
      <c r="F995" t="s">
        <v>103</v>
      </c>
      <c r="G995" t="s">
        <v>48</v>
      </c>
      <c r="H995">
        <v>227.74</v>
      </c>
      <c r="I995" t="s">
        <v>19</v>
      </c>
      <c r="J995" t="s">
        <v>50</v>
      </c>
      <c r="K995">
        <v>23</v>
      </c>
      <c r="L995">
        <v>3</v>
      </c>
    </row>
    <row r="996" spans="1:12" x14ac:dyDescent="0.2">
      <c r="A996" t="s">
        <v>2544</v>
      </c>
      <c r="B996" t="s">
        <v>430</v>
      </c>
      <c r="C996" t="s">
        <v>23</v>
      </c>
      <c r="D996" t="s">
        <v>74</v>
      </c>
      <c r="E996" t="s">
        <v>257</v>
      </c>
      <c r="F996" t="s">
        <v>2545</v>
      </c>
      <c r="G996" t="s">
        <v>57</v>
      </c>
      <c r="H996">
        <v>121.19</v>
      </c>
      <c r="I996" t="s">
        <v>19</v>
      </c>
      <c r="J996" t="s">
        <v>50</v>
      </c>
      <c r="K996">
        <v>33</v>
      </c>
      <c r="L996">
        <v>5</v>
      </c>
    </row>
    <row r="997" spans="1:12" x14ac:dyDescent="0.2">
      <c r="A997" t="s">
        <v>2546</v>
      </c>
      <c r="B997" t="s">
        <v>2547</v>
      </c>
      <c r="C997" t="s">
        <v>44</v>
      </c>
      <c r="D997" t="s">
        <v>54</v>
      </c>
      <c r="E997" t="s">
        <v>302</v>
      </c>
      <c r="F997" t="s">
        <v>2548</v>
      </c>
      <c r="G997" t="s">
        <v>64</v>
      </c>
      <c r="H997">
        <v>97.9</v>
      </c>
      <c r="I997" t="s">
        <v>49</v>
      </c>
      <c r="J997" t="s">
        <v>26</v>
      </c>
      <c r="K997">
        <v>29</v>
      </c>
      <c r="L997">
        <v>4</v>
      </c>
    </row>
    <row r="998" spans="1:12" x14ac:dyDescent="0.2">
      <c r="A998" t="s">
        <v>2549</v>
      </c>
      <c r="B998" t="s">
        <v>2550</v>
      </c>
      <c r="C998" t="s">
        <v>53</v>
      </c>
      <c r="D998" t="s">
        <v>54</v>
      </c>
      <c r="E998" t="s">
        <v>118</v>
      </c>
      <c r="F998" t="s">
        <v>840</v>
      </c>
      <c r="G998" t="s">
        <v>48</v>
      </c>
      <c r="H998">
        <v>421.37</v>
      </c>
      <c r="I998" t="s">
        <v>19</v>
      </c>
      <c r="J998" t="s">
        <v>50</v>
      </c>
      <c r="K998">
        <v>52</v>
      </c>
    </row>
    <row r="999" spans="1:12" x14ac:dyDescent="0.2">
      <c r="A999" t="s">
        <v>2551</v>
      </c>
      <c r="B999" t="s">
        <v>2552</v>
      </c>
      <c r="C999" t="s">
        <v>23</v>
      </c>
      <c r="D999" t="s">
        <v>74</v>
      </c>
      <c r="E999" t="s">
        <v>55</v>
      </c>
      <c r="F999" t="s">
        <v>1622</v>
      </c>
      <c r="G999" t="s">
        <v>33</v>
      </c>
      <c r="H999">
        <v>52.09</v>
      </c>
      <c r="I999" t="s">
        <v>19</v>
      </c>
      <c r="J999" t="s">
        <v>20</v>
      </c>
      <c r="K999">
        <v>54</v>
      </c>
      <c r="L999">
        <v>3</v>
      </c>
    </row>
    <row r="1000" spans="1:12" x14ac:dyDescent="0.2">
      <c r="A1000" t="s">
        <v>2553</v>
      </c>
      <c r="B1000" t="s">
        <v>2554</v>
      </c>
      <c r="C1000" t="s">
        <v>53</v>
      </c>
      <c r="D1000" t="s">
        <v>139</v>
      </c>
      <c r="E1000" t="s">
        <v>129</v>
      </c>
      <c r="F1000" t="s">
        <v>258</v>
      </c>
      <c r="G1000" t="s">
        <v>33</v>
      </c>
      <c r="H1000">
        <v>86.21</v>
      </c>
      <c r="I1000" t="s">
        <v>19</v>
      </c>
      <c r="J1000" t="s">
        <v>50</v>
      </c>
      <c r="K1000">
        <v>60</v>
      </c>
      <c r="L1000">
        <v>1</v>
      </c>
    </row>
    <row r="1001" spans="1:12" x14ac:dyDescent="0.2">
      <c r="A1001" t="s">
        <v>2555</v>
      </c>
      <c r="B1001" t="s">
        <v>2556</v>
      </c>
      <c r="C1001" t="s">
        <v>106</v>
      </c>
      <c r="D1001" t="s">
        <v>74</v>
      </c>
      <c r="E1001" t="s">
        <v>69</v>
      </c>
      <c r="F1001" t="s">
        <v>1548</v>
      </c>
      <c r="G1001" t="s">
        <v>64</v>
      </c>
      <c r="H1001">
        <v>254.8</v>
      </c>
      <c r="I1001" t="s">
        <v>122</v>
      </c>
      <c r="J1001" t="s">
        <v>26</v>
      </c>
      <c r="K1001">
        <v>87</v>
      </c>
      <c r="L1001">
        <v>5</v>
      </c>
    </row>
    <row r="1002" spans="1:12" x14ac:dyDescent="0.2">
      <c r="A1002" t="s">
        <v>2557</v>
      </c>
      <c r="B1002" t="s">
        <v>2558</v>
      </c>
      <c r="C1002" t="s">
        <v>117</v>
      </c>
      <c r="D1002" t="s">
        <v>61</v>
      </c>
      <c r="E1002" t="s">
        <v>102</v>
      </c>
      <c r="F1002" t="s">
        <v>724</v>
      </c>
      <c r="G1002" t="s">
        <v>91</v>
      </c>
      <c r="H1002">
        <v>459.85</v>
      </c>
      <c r="I1002" t="s">
        <v>122</v>
      </c>
      <c r="J1002" t="s">
        <v>41</v>
      </c>
      <c r="K1002">
        <v>18</v>
      </c>
      <c r="L1002">
        <v>3</v>
      </c>
    </row>
    <row r="1003" spans="1:12" x14ac:dyDescent="0.2">
      <c r="A1003" t="s">
        <v>2559</v>
      </c>
      <c r="B1003" t="s">
        <v>2560</v>
      </c>
      <c r="C1003" t="s">
        <v>14</v>
      </c>
      <c r="D1003" t="s">
        <v>37</v>
      </c>
      <c r="E1003" t="s">
        <v>473</v>
      </c>
      <c r="F1003" t="s">
        <v>574</v>
      </c>
      <c r="G1003" t="s">
        <v>64</v>
      </c>
      <c r="H1003">
        <v>485.04</v>
      </c>
      <c r="I1003" t="s">
        <v>122</v>
      </c>
      <c r="J1003" t="s">
        <v>26</v>
      </c>
      <c r="K1003">
        <v>88</v>
      </c>
      <c r="L1003">
        <v>5</v>
      </c>
    </row>
    <row r="1004" spans="1:12" x14ac:dyDescent="0.2">
      <c r="A1004" t="s">
        <v>2561</v>
      </c>
      <c r="B1004" t="s">
        <v>213</v>
      </c>
      <c r="C1004" t="s">
        <v>44</v>
      </c>
      <c r="D1004" t="s">
        <v>125</v>
      </c>
      <c r="E1004" t="s">
        <v>102</v>
      </c>
      <c r="F1004" t="s">
        <v>1136</v>
      </c>
      <c r="G1004" t="s">
        <v>33</v>
      </c>
      <c r="H1004">
        <v>302.3</v>
      </c>
      <c r="I1004" t="s">
        <v>65</v>
      </c>
      <c r="J1004" t="s">
        <v>50</v>
      </c>
      <c r="K1004">
        <v>61</v>
      </c>
      <c r="L1004">
        <v>4</v>
      </c>
    </row>
    <row r="1005" spans="1:12" x14ac:dyDescent="0.2">
      <c r="A1005" t="s">
        <v>2562</v>
      </c>
      <c r="B1005" t="s">
        <v>2563</v>
      </c>
      <c r="C1005" t="s">
        <v>23</v>
      </c>
      <c r="D1005" t="s">
        <v>61</v>
      </c>
      <c r="E1005" t="s">
        <v>238</v>
      </c>
      <c r="F1005" t="s">
        <v>2564</v>
      </c>
      <c r="G1005" t="s">
        <v>33</v>
      </c>
      <c r="H1005">
        <v>181.65</v>
      </c>
      <c r="I1005" t="s">
        <v>49</v>
      </c>
      <c r="J1005" t="s">
        <v>26</v>
      </c>
      <c r="K1005">
        <v>58</v>
      </c>
      <c r="L1005">
        <v>4</v>
      </c>
    </row>
    <row r="1006" spans="1:12" x14ac:dyDescent="0.2">
      <c r="A1006" t="s">
        <v>2565</v>
      </c>
      <c r="B1006" t="s">
        <v>2566</v>
      </c>
      <c r="C1006" t="s">
        <v>23</v>
      </c>
      <c r="D1006" t="s">
        <v>80</v>
      </c>
      <c r="E1006" t="s">
        <v>272</v>
      </c>
      <c r="F1006" t="s">
        <v>1200</v>
      </c>
      <c r="G1006" t="s">
        <v>48</v>
      </c>
      <c r="H1006">
        <v>231.45</v>
      </c>
      <c r="I1006" t="s">
        <v>19</v>
      </c>
      <c r="J1006" t="s">
        <v>50</v>
      </c>
      <c r="K1006">
        <v>43</v>
      </c>
      <c r="L1006">
        <v>1</v>
      </c>
    </row>
    <row r="1007" spans="1:12" x14ac:dyDescent="0.2">
      <c r="A1007" t="s">
        <v>2567</v>
      </c>
      <c r="B1007" t="s">
        <v>2568</v>
      </c>
      <c r="C1007" t="s">
        <v>68</v>
      </c>
      <c r="D1007" t="s">
        <v>89</v>
      </c>
      <c r="E1007" t="s">
        <v>55</v>
      </c>
      <c r="F1007" t="s">
        <v>854</v>
      </c>
      <c r="G1007" t="s">
        <v>57</v>
      </c>
      <c r="H1007">
        <v>238.78</v>
      </c>
      <c r="I1007" t="s">
        <v>122</v>
      </c>
      <c r="J1007" t="s">
        <v>41</v>
      </c>
      <c r="K1007">
        <v>54</v>
      </c>
    </row>
    <row r="1008" spans="1:12" x14ac:dyDescent="0.2">
      <c r="A1008" t="s">
        <v>2569</v>
      </c>
      <c r="B1008" t="s">
        <v>2570</v>
      </c>
      <c r="C1008" t="s">
        <v>14</v>
      </c>
      <c r="D1008" t="s">
        <v>89</v>
      </c>
      <c r="E1008" t="s">
        <v>473</v>
      </c>
      <c r="F1008" t="s">
        <v>2571</v>
      </c>
      <c r="G1008" t="s">
        <v>64</v>
      </c>
      <c r="H1008">
        <v>107.05</v>
      </c>
      <c r="I1008" t="s">
        <v>19</v>
      </c>
      <c r="J1008" t="s">
        <v>26</v>
      </c>
      <c r="K1008">
        <v>59</v>
      </c>
      <c r="L1008">
        <v>2</v>
      </c>
    </row>
    <row r="1009" spans="1:12" x14ac:dyDescent="0.2">
      <c r="A1009" t="s">
        <v>2572</v>
      </c>
      <c r="B1009" t="s">
        <v>2573</v>
      </c>
      <c r="C1009" t="s">
        <v>60</v>
      </c>
      <c r="D1009" t="s">
        <v>45</v>
      </c>
      <c r="E1009" t="s">
        <v>75</v>
      </c>
      <c r="F1009" t="s">
        <v>970</v>
      </c>
      <c r="G1009" t="s">
        <v>91</v>
      </c>
      <c r="H1009">
        <v>263.22000000000003</v>
      </c>
      <c r="I1009" t="s">
        <v>65</v>
      </c>
      <c r="J1009" t="s">
        <v>50</v>
      </c>
      <c r="K1009">
        <v>35</v>
      </c>
      <c r="L1009">
        <v>2</v>
      </c>
    </row>
    <row r="1010" spans="1:12" x14ac:dyDescent="0.2">
      <c r="A1010" t="s">
        <v>2574</v>
      </c>
      <c r="B1010" t="s">
        <v>2575</v>
      </c>
      <c r="C1010" t="s">
        <v>23</v>
      </c>
      <c r="D1010" t="s">
        <v>139</v>
      </c>
      <c r="E1010" t="s">
        <v>113</v>
      </c>
      <c r="F1010" t="s">
        <v>1409</v>
      </c>
      <c r="G1010" t="s">
        <v>91</v>
      </c>
      <c r="H1010">
        <v>338</v>
      </c>
      <c r="I1010" t="s">
        <v>19</v>
      </c>
      <c r="J1010" t="s">
        <v>26</v>
      </c>
      <c r="K1010">
        <v>52</v>
      </c>
      <c r="L1010">
        <v>4</v>
      </c>
    </row>
    <row r="1011" spans="1:12" x14ac:dyDescent="0.2">
      <c r="A1011" t="s">
        <v>2576</v>
      </c>
      <c r="B1011" t="s">
        <v>2577</v>
      </c>
      <c r="C1011" t="s">
        <v>106</v>
      </c>
      <c r="D1011" t="s">
        <v>89</v>
      </c>
      <c r="E1011" t="s">
        <v>69</v>
      </c>
      <c r="F1011" t="s">
        <v>540</v>
      </c>
      <c r="G1011" t="s">
        <v>77</v>
      </c>
      <c r="H1011">
        <v>490.79</v>
      </c>
      <c r="I1011" t="s">
        <v>65</v>
      </c>
      <c r="J1011" t="s">
        <v>26</v>
      </c>
      <c r="K1011">
        <v>81</v>
      </c>
      <c r="L1011">
        <v>2</v>
      </c>
    </row>
    <row r="1012" spans="1:12" x14ac:dyDescent="0.2">
      <c r="A1012" t="s">
        <v>2578</v>
      </c>
      <c r="B1012" t="s">
        <v>2579</v>
      </c>
      <c r="C1012" t="s">
        <v>60</v>
      </c>
      <c r="D1012" t="s">
        <v>125</v>
      </c>
      <c r="E1012" t="s">
        <v>129</v>
      </c>
      <c r="F1012" t="s">
        <v>1464</v>
      </c>
      <c r="G1012" t="s">
        <v>91</v>
      </c>
      <c r="H1012">
        <v>217.06</v>
      </c>
      <c r="I1012" t="s">
        <v>122</v>
      </c>
      <c r="J1012" t="s">
        <v>41</v>
      </c>
      <c r="K1012">
        <v>82</v>
      </c>
      <c r="L1012">
        <v>4</v>
      </c>
    </row>
    <row r="1013" spans="1:12" x14ac:dyDescent="0.2">
      <c r="A1013" t="s">
        <v>2580</v>
      </c>
      <c r="B1013" t="s">
        <v>2581</v>
      </c>
      <c r="C1013" t="s">
        <v>44</v>
      </c>
      <c r="D1013" t="s">
        <v>15</v>
      </c>
      <c r="E1013" t="s">
        <v>46</v>
      </c>
      <c r="F1013" t="s">
        <v>291</v>
      </c>
      <c r="G1013" t="s">
        <v>48</v>
      </c>
      <c r="H1013">
        <v>319.69</v>
      </c>
      <c r="I1013" t="s">
        <v>19</v>
      </c>
      <c r="J1013" t="s">
        <v>20</v>
      </c>
      <c r="K1013">
        <v>70</v>
      </c>
      <c r="L1013">
        <v>1</v>
      </c>
    </row>
    <row r="1014" spans="1:12" x14ac:dyDescent="0.2">
      <c r="A1014" t="s">
        <v>2582</v>
      </c>
      <c r="B1014" t="s">
        <v>2583</v>
      </c>
      <c r="C1014" t="s">
        <v>106</v>
      </c>
      <c r="D1014" t="s">
        <v>37</v>
      </c>
      <c r="E1014" t="s">
        <v>102</v>
      </c>
      <c r="F1014" t="s">
        <v>1195</v>
      </c>
      <c r="G1014" t="s">
        <v>18</v>
      </c>
      <c r="H1014">
        <v>200.46</v>
      </c>
      <c r="I1014" t="s">
        <v>65</v>
      </c>
      <c r="J1014" t="s">
        <v>20</v>
      </c>
      <c r="K1014">
        <v>50</v>
      </c>
      <c r="L1014">
        <v>4</v>
      </c>
    </row>
    <row r="1015" spans="1:12" x14ac:dyDescent="0.2">
      <c r="A1015" t="s">
        <v>2584</v>
      </c>
      <c r="B1015" t="s">
        <v>2585</v>
      </c>
      <c r="C1015" t="s">
        <v>106</v>
      </c>
      <c r="D1015" t="s">
        <v>15</v>
      </c>
      <c r="E1015" t="s">
        <v>69</v>
      </c>
      <c r="F1015" t="s">
        <v>1102</v>
      </c>
      <c r="G1015" t="s">
        <v>77</v>
      </c>
      <c r="H1015">
        <v>74.400000000000006</v>
      </c>
      <c r="I1015" t="s">
        <v>49</v>
      </c>
      <c r="J1015" t="s">
        <v>26</v>
      </c>
      <c r="K1015">
        <v>56</v>
      </c>
      <c r="L1015">
        <v>4</v>
      </c>
    </row>
    <row r="1016" spans="1:12" x14ac:dyDescent="0.2">
      <c r="A1016" t="s">
        <v>2586</v>
      </c>
      <c r="B1016" t="s">
        <v>2587</v>
      </c>
      <c r="C1016" t="s">
        <v>106</v>
      </c>
      <c r="D1016" t="s">
        <v>61</v>
      </c>
      <c r="E1016" t="s">
        <v>257</v>
      </c>
      <c r="F1016" t="s">
        <v>730</v>
      </c>
      <c r="G1016" t="s">
        <v>64</v>
      </c>
      <c r="H1016">
        <v>412.61</v>
      </c>
      <c r="I1016" t="s">
        <v>19</v>
      </c>
      <c r="J1016" t="s">
        <v>50</v>
      </c>
      <c r="K1016">
        <v>19</v>
      </c>
      <c r="L1016">
        <v>4</v>
      </c>
    </row>
    <row r="1017" spans="1:12" x14ac:dyDescent="0.2">
      <c r="A1017" t="s">
        <v>2588</v>
      </c>
      <c r="B1017" t="s">
        <v>2589</v>
      </c>
      <c r="C1017" t="s">
        <v>117</v>
      </c>
      <c r="D1017" t="s">
        <v>54</v>
      </c>
      <c r="E1017" t="s">
        <v>140</v>
      </c>
      <c r="F1017" t="s">
        <v>273</v>
      </c>
      <c r="G1017" t="s">
        <v>77</v>
      </c>
      <c r="H1017">
        <v>462.17</v>
      </c>
      <c r="I1017" t="s">
        <v>19</v>
      </c>
      <c r="J1017" t="s">
        <v>20</v>
      </c>
      <c r="K1017">
        <v>85</v>
      </c>
      <c r="L1017">
        <v>4</v>
      </c>
    </row>
    <row r="1018" spans="1:12" x14ac:dyDescent="0.2">
      <c r="A1018" t="s">
        <v>2590</v>
      </c>
      <c r="B1018" t="s">
        <v>2591</v>
      </c>
      <c r="C1018" t="s">
        <v>14</v>
      </c>
      <c r="D1018" t="s">
        <v>74</v>
      </c>
      <c r="E1018" t="s">
        <v>343</v>
      </c>
      <c r="F1018" t="s">
        <v>1474</v>
      </c>
      <c r="G1018" t="s">
        <v>18</v>
      </c>
      <c r="H1018">
        <v>435.64</v>
      </c>
      <c r="I1018" t="s">
        <v>19</v>
      </c>
      <c r="J1018" t="s">
        <v>41</v>
      </c>
      <c r="K1018">
        <v>88</v>
      </c>
    </row>
    <row r="1019" spans="1:12" x14ac:dyDescent="0.2">
      <c r="A1019" t="s">
        <v>2592</v>
      </c>
      <c r="B1019" t="s">
        <v>2593</v>
      </c>
      <c r="C1019" t="s">
        <v>53</v>
      </c>
      <c r="D1019" t="s">
        <v>54</v>
      </c>
      <c r="E1019" t="s">
        <v>62</v>
      </c>
      <c r="F1019" t="s">
        <v>2594</v>
      </c>
      <c r="G1019" t="s">
        <v>91</v>
      </c>
      <c r="H1019">
        <v>146.94</v>
      </c>
      <c r="I1019" t="s">
        <v>19</v>
      </c>
      <c r="J1019" t="s">
        <v>50</v>
      </c>
      <c r="K1019">
        <v>64</v>
      </c>
      <c r="L1019">
        <v>3</v>
      </c>
    </row>
    <row r="1020" spans="1:12" x14ac:dyDescent="0.2">
      <c r="A1020" t="s">
        <v>2595</v>
      </c>
      <c r="B1020" t="s">
        <v>2596</v>
      </c>
      <c r="C1020" t="s">
        <v>73</v>
      </c>
      <c r="D1020" t="s">
        <v>54</v>
      </c>
      <c r="E1020" t="s">
        <v>257</v>
      </c>
      <c r="F1020" t="s">
        <v>296</v>
      </c>
      <c r="G1020" t="s">
        <v>18</v>
      </c>
      <c r="H1020">
        <v>65.88</v>
      </c>
      <c r="I1020" t="s">
        <v>19</v>
      </c>
      <c r="J1020" t="s">
        <v>20</v>
      </c>
      <c r="K1020">
        <v>21</v>
      </c>
      <c r="L1020">
        <v>2</v>
      </c>
    </row>
    <row r="1021" spans="1:12" x14ac:dyDescent="0.2">
      <c r="A1021" t="s">
        <v>2597</v>
      </c>
      <c r="B1021" t="s">
        <v>2598</v>
      </c>
      <c r="C1021" t="s">
        <v>14</v>
      </c>
      <c r="D1021" t="s">
        <v>54</v>
      </c>
      <c r="E1021" t="s">
        <v>113</v>
      </c>
      <c r="F1021" t="s">
        <v>2325</v>
      </c>
      <c r="G1021" t="s">
        <v>48</v>
      </c>
      <c r="H1021">
        <v>115.88</v>
      </c>
      <c r="I1021" t="s">
        <v>65</v>
      </c>
      <c r="J1021" t="s">
        <v>20</v>
      </c>
      <c r="K1021">
        <v>76</v>
      </c>
      <c r="L1021">
        <v>5</v>
      </c>
    </row>
    <row r="1022" spans="1:12" x14ac:dyDescent="0.2">
      <c r="A1022" t="s">
        <v>2599</v>
      </c>
      <c r="B1022" t="s">
        <v>2600</v>
      </c>
      <c r="C1022" t="s">
        <v>60</v>
      </c>
      <c r="D1022" t="s">
        <v>15</v>
      </c>
      <c r="E1022" t="s">
        <v>343</v>
      </c>
      <c r="F1022" t="s">
        <v>2601</v>
      </c>
      <c r="G1022" t="s">
        <v>33</v>
      </c>
      <c r="H1022">
        <v>176.2</v>
      </c>
      <c r="I1022" t="s">
        <v>19</v>
      </c>
      <c r="J1022" t="s">
        <v>26</v>
      </c>
      <c r="K1022">
        <v>73</v>
      </c>
      <c r="L1022">
        <v>1</v>
      </c>
    </row>
    <row r="1023" spans="1:12" x14ac:dyDescent="0.2">
      <c r="A1023" t="s">
        <v>2602</v>
      </c>
      <c r="B1023" t="s">
        <v>649</v>
      </c>
      <c r="C1023" t="s">
        <v>53</v>
      </c>
      <c r="D1023" t="s">
        <v>61</v>
      </c>
      <c r="E1023" t="s">
        <v>349</v>
      </c>
      <c r="F1023" t="s">
        <v>1933</v>
      </c>
      <c r="G1023" t="s">
        <v>91</v>
      </c>
      <c r="H1023">
        <v>365.32</v>
      </c>
      <c r="I1023" t="s">
        <v>19</v>
      </c>
      <c r="J1023" t="s">
        <v>41</v>
      </c>
      <c r="K1023">
        <v>51</v>
      </c>
    </row>
    <row r="1024" spans="1:12" x14ac:dyDescent="0.2">
      <c r="A1024" t="s">
        <v>2603</v>
      </c>
      <c r="B1024" t="s">
        <v>2604</v>
      </c>
      <c r="C1024" t="s">
        <v>73</v>
      </c>
      <c r="D1024" t="s">
        <v>15</v>
      </c>
      <c r="E1024" t="s">
        <v>97</v>
      </c>
      <c r="F1024" t="s">
        <v>1139</v>
      </c>
      <c r="G1024" t="s">
        <v>91</v>
      </c>
      <c r="H1024">
        <v>391.3</v>
      </c>
      <c r="I1024" t="s">
        <v>65</v>
      </c>
      <c r="J1024" t="s">
        <v>41</v>
      </c>
      <c r="K1024">
        <v>49</v>
      </c>
    </row>
    <row r="1025" spans="1:12" x14ac:dyDescent="0.2">
      <c r="A1025" t="s">
        <v>2605</v>
      </c>
      <c r="B1025" t="s">
        <v>2606</v>
      </c>
      <c r="C1025" t="s">
        <v>68</v>
      </c>
      <c r="D1025" t="s">
        <v>15</v>
      </c>
      <c r="E1025" t="s">
        <v>343</v>
      </c>
      <c r="F1025" t="s">
        <v>63</v>
      </c>
      <c r="G1025" t="s">
        <v>77</v>
      </c>
      <c r="H1025">
        <v>113.07</v>
      </c>
      <c r="I1025" t="s">
        <v>122</v>
      </c>
      <c r="J1025" t="s">
        <v>26</v>
      </c>
      <c r="K1025">
        <v>67</v>
      </c>
      <c r="L1025">
        <v>2</v>
      </c>
    </row>
    <row r="1026" spans="1:12" x14ac:dyDescent="0.2">
      <c r="A1026" t="s">
        <v>2607</v>
      </c>
      <c r="B1026" t="s">
        <v>2608</v>
      </c>
      <c r="C1026" t="s">
        <v>44</v>
      </c>
      <c r="D1026" t="s">
        <v>45</v>
      </c>
      <c r="E1026" t="s">
        <v>180</v>
      </c>
      <c r="F1026" t="s">
        <v>1007</v>
      </c>
      <c r="G1026" t="s">
        <v>77</v>
      </c>
      <c r="H1026">
        <v>397.63</v>
      </c>
      <c r="I1026" t="s">
        <v>65</v>
      </c>
      <c r="J1026" t="s">
        <v>50</v>
      </c>
      <c r="K1026">
        <v>40</v>
      </c>
      <c r="L1026">
        <v>1</v>
      </c>
    </row>
    <row r="1027" spans="1:12" x14ac:dyDescent="0.2">
      <c r="A1027" t="s">
        <v>2609</v>
      </c>
      <c r="B1027" t="s">
        <v>2610</v>
      </c>
      <c r="C1027" t="s">
        <v>117</v>
      </c>
      <c r="D1027" t="s">
        <v>61</v>
      </c>
      <c r="E1027" t="s">
        <v>272</v>
      </c>
      <c r="F1027" t="s">
        <v>2611</v>
      </c>
      <c r="G1027" t="s">
        <v>48</v>
      </c>
      <c r="H1027">
        <v>135.02000000000001</v>
      </c>
      <c r="I1027" t="s">
        <v>122</v>
      </c>
      <c r="J1027" t="s">
        <v>26</v>
      </c>
      <c r="K1027">
        <v>22</v>
      </c>
      <c r="L1027">
        <v>5</v>
      </c>
    </row>
    <row r="1028" spans="1:12" x14ac:dyDescent="0.2">
      <c r="A1028" t="s">
        <v>2612</v>
      </c>
      <c r="B1028" t="s">
        <v>2613</v>
      </c>
      <c r="C1028" t="s">
        <v>68</v>
      </c>
      <c r="D1028" t="s">
        <v>139</v>
      </c>
      <c r="E1028" t="s">
        <v>272</v>
      </c>
      <c r="F1028" t="s">
        <v>843</v>
      </c>
      <c r="G1028" t="s">
        <v>18</v>
      </c>
      <c r="H1028">
        <v>289.92</v>
      </c>
      <c r="I1028" t="s">
        <v>122</v>
      </c>
      <c r="J1028" t="s">
        <v>50</v>
      </c>
      <c r="K1028">
        <v>39</v>
      </c>
      <c r="L1028">
        <v>2</v>
      </c>
    </row>
    <row r="1029" spans="1:12" x14ac:dyDescent="0.2">
      <c r="A1029" t="s">
        <v>2614</v>
      </c>
      <c r="B1029" t="s">
        <v>1089</v>
      </c>
      <c r="C1029" t="s">
        <v>68</v>
      </c>
      <c r="D1029" t="s">
        <v>61</v>
      </c>
      <c r="E1029" t="s">
        <v>69</v>
      </c>
      <c r="F1029" t="s">
        <v>378</v>
      </c>
      <c r="G1029" t="s">
        <v>33</v>
      </c>
      <c r="H1029">
        <v>245.09</v>
      </c>
      <c r="I1029" t="s">
        <v>49</v>
      </c>
      <c r="J1029" t="s">
        <v>50</v>
      </c>
      <c r="K1029">
        <v>50</v>
      </c>
      <c r="L1029">
        <v>1</v>
      </c>
    </row>
    <row r="1030" spans="1:12" x14ac:dyDescent="0.2">
      <c r="A1030" t="s">
        <v>2615</v>
      </c>
      <c r="B1030" t="s">
        <v>2616</v>
      </c>
      <c r="C1030" t="s">
        <v>60</v>
      </c>
      <c r="D1030" t="s">
        <v>80</v>
      </c>
      <c r="E1030" t="s">
        <v>55</v>
      </c>
      <c r="F1030" t="s">
        <v>235</v>
      </c>
      <c r="G1030" t="s">
        <v>57</v>
      </c>
      <c r="H1030">
        <v>339.3</v>
      </c>
      <c r="I1030" t="s">
        <v>19</v>
      </c>
      <c r="J1030" t="s">
        <v>20</v>
      </c>
      <c r="K1030">
        <v>58</v>
      </c>
      <c r="L1030">
        <v>4</v>
      </c>
    </row>
    <row r="1031" spans="1:12" x14ac:dyDescent="0.2">
      <c r="A1031" t="s">
        <v>2617</v>
      </c>
      <c r="B1031" t="s">
        <v>2618</v>
      </c>
      <c r="C1031" t="s">
        <v>117</v>
      </c>
      <c r="D1031" t="s">
        <v>74</v>
      </c>
      <c r="E1031" t="s">
        <v>349</v>
      </c>
      <c r="F1031" t="s">
        <v>1496</v>
      </c>
      <c r="G1031" t="s">
        <v>18</v>
      </c>
      <c r="H1031">
        <v>482.6</v>
      </c>
      <c r="I1031" t="s">
        <v>49</v>
      </c>
      <c r="J1031" t="s">
        <v>41</v>
      </c>
      <c r="K1031">
        <v>87</v>
      </c>
      <c r="L1031">
        <v>3</v>
      </c>
    </row>
    <row r="1032" spans="1:12" x14ac:dyDescent="0.2">
      <c r="A1032" t="s">
        <v>2619</v>
      </c>
      <c r="B1032" t="s">
        <v>2620</v>
      </c>
      <c r="C1032" t="s">
        <v>23</v>
      </c>
      <c r="D1032" t="s">
        <v>37</v>
      </c>
      <c r="E1032" t="s">
        <v>97</v>
      </c>
      <c r="F1032" t="s">
        <v>1287</v>
      </c>
      <c r="G1032" t="s">
        <v>77</v>
      </c>
      <c r="H1032">
        <v>351.39</v>
      </c>
      <c r="I1032" t="s">
        <v>65</v>
      </c>
      <c r="J1032" t="s">
        <v>26</v>
      </c>
      <c r="K1032">
        <v>90</v>
      </c>
      <c r="L1032">
        <v>5</v>
      </c>
    </row>
    <row r="1033" spans="1:12" x14ac:dyDescent="0.2">
      <c r="A1033" t="s">
        <v>2621</v>
      </c>
      <c r="B1033" t="s">
        <v>2589</v>
      </c>
      <c r="C1033" t="s">
        <v>106</v>
      </c>
      <c r="D1033" t="s">
        <v>139</v>
      </c>
      <c r="E1033" t="s">
        <v>102</v>
      </c>
      <c r="F1033" t="s">
        <v>323</v>
      </c>
      <c r="G1033" t="s">
        <v>40</v>
      </c>
      <c r="H1033">
        <v>162.22</v>
      </c>
      <c r="I1033" t="s">
        <v>49</v>
      </c>
      <c r="J1033" t="s">
        <v>50</v>
      </c>
      <c r="K1033">
        <v>39</v>
      </c>
    </row>
    <row r="1034" spans="1:12" x14ac:dyDescent="0.2">
      <c r="A1034" t="s">
        <v>2622</v>
      </c>
      <c r="B1034" t="s">
        <v>2623</v>
      </c>
      <c r="C1034" t="s">
        <v>14</v>
      </c>
      <c r="D1034" t="s">
        <v>37</v>
      </c>
      <c r="E1034" t="s">
        <v>129</v>
      </c>
      <c r="F1034" t="s">
        <v>1447</v>
      </c>
      <c r="G1034" t="s">
        <v>33</v>
      </c>
      <c r="H1034">
        <v>248.11</v>
      </c>
      <c r="I1034" t="s">
        <v>122</v>
      </c>
      <c r="J1034" t="s">
        <v>50</v>
      </c>
      <c r="K1034">
        <v>85</v>
      </c>
      <c r="L1034">
        <v>5</v>
      </c>
    </row>
    <row r="1035" spans="1:12" x14ac:dyDescent="0.2">
      <c r="A1035" t="s">
        <v>2624</v>
      </c>
      <c r="B1035" t="s">
        <v>2625</v>
      </c>
      <c r="C1035" t="s">
        <v>68</v>
      </c>
      <c r="D1035" t="s">
        <v>45</v>
      </c>
      <c r="E1035" t="s">
        <v>69</v>
      </c>
      <c r="F1035" t="s">
        <v>2626</v>
      </c>
      <c r="G1035" t="s">
        <v>64</v>
      </c>
      <c r="H1035">
        <v>216.73</v>
      </c>
      <c r="I1035" t="s">
        <v>122</v>
      </c>
      <c r="J1035" t="s">
        <v>41</v>
      </c>
      <c r="K1035">
        <v>39</v>
      </c>
      <c r="L1035">
        <v>4</v>
      </c>
    </row>
    <row r="1036" spans="1:12" x14ac:dyDescent="0.2">
      <c r="A1036" t="s">
        <v>2627</v>
      </c>
      <c r="B1036" t="s">
        <v>2628</v>
      </c>
      <c r="C1036" t="s">
        <v>44</v>
      </c>
      <c r="D1036" t="s">
        <v>37</v>
      </c>
      <c r="E1036" t="s">
        <v>140</v>
      </c>
      <c r="F1036" t="s">
        <v>190</v>
      </c>
      <c r="G1036" t="s">
        <v>33</v>
      </c>
      <c r="H1036">
        <v>358.69</v>
      </c>
      <c r="I1036" t="s">
        <v>65</v>
      </c>
      <c r="J1036" t="s">
        <v>20</v>
      </c>
      <c r="K1036">
        <v>90</v>
      </c>
      <c r="L1036">
        <v>2</v>
      </c>
    </row>
    <row r="1037" spans="1:12" x14ac:dyDescent="0.2">
      <c r="A1037" t="s">
        <v>2629</v>
      </c>
      <c r="B1037" t="s">
        <v>2630</v>
      </c>
      <c r="C1037" t="s">
        <v>14</v>
      </c>
      <c r="D1037" t="s">
        <v>80</v>
      </c>
      <c r="E1037" t="s">
        <v>317</v>
      </c>
      <c r="F1037" t="s">
        <v>126</v>
      </c>
      <c r="G1037" t="s">
        <v>91</v>
      </c>
      <c r="H1037">
        <v>356.03</v>
      </c>
      <c r="I1037" t="s">
        <v>65</v>
      </c>
      <c r="J1037" t="s">
        <v>50</v>
      </c>
      <c r="K1037">
        <v>48</v>
      </c>
      <c r="L1037">
        <v>1</v>
      </c>
    </row>
    <row r="1038" spans="1:12" x14ac:dyDescent="0.2">
      <c r="A1038" t="s">
        <v>2631</v>
      </c>
      <c r="B1038" t="s">
        <v>2632</v>
      </c>
      <c r="C1038" t="s">
        <v>14</v>
      </c>
      <c r="D1038" t="s">
        <v>125</v>
      </c>
      <c r="E1038" t="s">
        <v>69</v>
      </c>
      <c r="F1038" t="s">
        <v>2492</v>
      </c>
      <c r="G1038" t="s">
        <v>48</v>
      </c>
      <c r="H1038">
        <v>350.95</v>
      </c>
      <c r="I1038" t="s">
        <v>65</v>
      </c>
      <c r="J1038" t="s">
        <v>26</v>
      </c>
      <c r="K1038">
        <v>32</v>
      </c>
      <c r="L1038">
        <v>2</v>
      </c>
    </row>
    <row r="1039" spans="1:12" x14ac:dyDescent="0.2">
      <c r="A1039" t="s">
        <v>2633</v>
      </c>
      <c r="B1039" t="s">
        <v>2634</v>
      </c>
      <c r="C1039" t="s">
        <v>117</v>
      </c>
      <c r="D1039" t="s">
        <v>61</v>
      </c>
      <c r="E1039" t="s">
        <v>349</v>
      </c>
      <c r="F1039" t="s">
        <v>1290</v>
      </c>
      <c r="G1039" t="s">
        <v>57</v>
      </c>
      <c r="H1039">
        <v>499.04</v>
      </c>
      <c r="I1039" t="s">
        <v>65</v>
      </c>
      <c r="J1039" t="s">
        <v>50</v>
      </c>
      <c r="K1039">
        <v>63</v>
      </c>
      <c r="L1039">
        <v>2</v>
      </c>
    </row>
    <row r="1040" spans="1:12" x14ac:dyDescent="0.2">
      <c r="A1040" t="s">
        <v>2635</v>
      </c>
      <c r="B1040" t="s">
        <v>2636</v>
      </c>
      <c r="C1040" t="s">
        <v>60</v>
      </c>
      <c r="D1040" t="s">
        <v>45</v>
      </c>
      <c r="E1040" t="s">
        <v>161</v>
      </c>
      <c r="F1040" t="s">
        <v>1036</v>
      </c>
      <c r="G1040" t="s">
        <v>77</v>
      </c>
      <c r="H1040">
        <v>433.01</v>
      </c>
      <c r="I1040" t="s">
        <v>65</v>
      </c>
      <c r="J1040" t="s">
        <v>26</v>
      </c>
      <c r="K1040">
        <v>24</v>
      </c>
      <c r="L1040">
        <v>5</v>
      </c>
    </row>
    <row r="1041" spans="1:12" x14ac:dyDescent="0.2">
      <c r="A1041" t="s">
        <v>2637</v>
      </c>
      <c r="B1041" t="s">
        <v>2638</v>
      </c>
      <c r="C1041" t="s">
        <v>53</v>
      </c>
      <c r="D1041" t="s">
        <v>139</v>
      </c>
      <c r="E1041" t="s">
        <v>129</v>
      </c>
      <c r="F1041" t="s">
        <v>2639</v>
      </c>
      <c r="G1041" t="s">
        <v>77</v>
      </c>
      <c r="H1041">
        <v>89.74</v>
      </c>
      <c r="I1041" t="s">
        <v>19</v>
      </c>
      <c r="J1041" t="s">
        <v>20</v>
      </c>
      <c r="K1041">
        <v>37</v>
      </c>
      <c r="L1041">
        <v>2</v>
      </c>
    </row>
    <row r="1042" spans="1:12" x14ac:dyDescent="0.2">
      <c r="A1042" t="s">
        <v>2640</v>
      </c>
      <c r="B1042" t="s">
        <v>2641</v>
      </c>
      <c r="C1042" t="s">
        <v>44</v>
      </c>
      <c r="D1042" t="s">
        <v>80</v>
      </c>
      <c r="E1042" t="s">
        <v>62</v>
      </c>
      <c r="F1042" t="s">
        <v>1641</v>
      </c>
      <c r="G1042" t="s">
        <v>18</v>
      </c>
      <c r="H1042">
        <v>494.19</v>
      </c>
      <c r="I1042" t="s">
        <v>122</v>
      </c>
      <c r="J1042" t="s">
        <v>26</v>
      </c>
      <c r="K1042">
        <v>82</v>
      </c>
      <c r="L1042">
        <v>2</v>
      </c>
    </row>
    <row r="1043" spans="1:12" x14ac:dyDescent="0.2">
      <c r="A1043" t="s">
        <v>2642</v>
      </c>
      <c r="B1043" t="s">
        <v>2643</v>
      </c>
      <c r="C1043" t="s">
        <v>117</v>
      </c>
      <c r="D1043" t="s">
        <v>15</v>
      </c>
      <c r="E1043" t="s">
        <v>113</v>
      </c>
      <c r="F1043" t="s">
        <v>1815</v>
      </c>
      <c r="G1043" t="s">
        <v>33</v>
      </c>
      <c r="H1043">
        <v>142.55000000000001</v>
      </c>
      <c r="I1043" t="s">
        <v>122</v>
      </c>
      <c r="J1043" t="s">
        <v>20</v>
      </c>
      <c r="K1043">
        <v>29</v>
      </c>
      <c r="L1043">
        <v>1</v>
      </c>
    </row>
    <row r="1044" spans="1:12" x14ac:dyDescent="0.2">
      <c r="A1044" t="s">
        <v>2644</v>
      </c>
      <c r="B1044" t="s">
        <v>2645</v>
      </c>
      <c r="C1044" t="s">
        <v>117</v>
      </c>
      <c r="D1044" t="s">
        <v>139</v>
      </c>
      <c r="E1044" t="s">
        <v>31</v>
      </c>
      <c r="F1044" t="s">
        <v>846</v>
      </c>
      <c r="G1044" t="s">
        <v>64</v>
      </c>
      <c r="H1044">
        <v>256.64999999999998</v>
      </c>
      <c r="I1044" t="s">
        <v>65</v>
      </c>
      <c r="J1044" t="s">
        <v>26</v>
      </c>
      <c r="K1044">
        <v>19</v>
      </c>
      <c r="L1044">
        <v>5</v>
      </c>
    </row>
    <row r="1045" spans="1:12" x14ac:dyDescent="0.2">
      <c r="A1045" t="s">
        <v>2646</v>
      </c>
      <c r="B1045" t="s">
        <v>2647</v>
      </c>
      <c r="C1045" t="s">
        <v>14</v>
      </c>
      <c r="D1045" t="s">
        <v>74</v>
      </c>
      <c r="E1045" t="s">
        <v>140</v>
      </c>
      <c r="F1045" t="s">
        <v>1496</v>
      </c>
      <c r="G1045" t="s">
        <v>18</v>
      </c>
      <c r="H1045">
        <v>358.12</v>
      </c>
      <c r="I1045" t="s">
        <v>122</v>
      </c>
      <c r="J1045" t="s">
        <v>20</v>
      </c>
      <c r="K1045">
        <v>88</v>
      </c>
    </row>
    <row r="1046" spans="1:12" x14ac:dyDescent="0.2">
      <c r="A1046" t="s">
        <v>2648</v>
      </c>
      <c r="B1046" t="s">
        <v>2649</v>
      </c>
      <c r="C1046" t="s">
        <v>73</v>
      </c>
      <c r="D1046" t="s">
        <v>54</v>
      </c>
      <c r="E1046" t="s">
        <v>31</v>
      </c>
      <c r="F1046" t="s">
        <v>1096</v>
      </c>
      <c r="G1046" t="s">
        <v>57</v>
      </c>
      <c r="H1046">
        <v>499.77</v>
      </c>
      <c r="I1046" t="s">
        <v>65</v>
      </c>
      <c r="J1046" t="s">
        <v>20</v>
      </c>
      <c r="K1046">
        <v>60</v>
      </c>
      <c r="L1046">
        <v>2</v>
      </c>
    </row>
    <row r="1047" spans="1:12" x14ac:dyDescent="0.2">
      <c r="A1047" t="s">
        <v>2650</v>
      </c>
      <c r="B1047" t="s">
        <v>2651</v>
      </c>
      <c r="C1047" t="s">
        <v>23</v>
      </c>
      <c r="D1047" t="s">
        <v>37</v>
      </c>
      <c r="E1047" t="s">
        <v>46</v>
      </c>
      <c r="F1047" t="s">
        <v>866</v>
      </c>
      <c r="G1047" t="s">
        <v>40</v>
      </c>
      <c r="H1047">
        <v>490.61</v>
      </c>
      <c r="I1047" t="s">
        <v>19</v>
      </c>
      <c r="J1047" t="s">
        <v>26</v>
      </c>
      <c r="K1047">
        <v>21</v>
      </c>
      <c r="L1047">
        <v>4</v>
      </c>
    </row>
    <row r="1048" spans="1:12" x14ac:dyDescent="0.2">
      <c r="A1048" t="s">
        <v>2652</v>
      </c>
      <c r="B1048" t="s">
        <v>2653</v>
      </c>
      <c r="C1048" t="s">
        <v>44</v>
      </c>
      <c r="D1048" t="s">
        <v>89</v>
      </c>
      <c r="E1048" t="s">
        <v>154</v>
      </c>
      <c r="F1048" t="s">
        <v>2548</v>
      </c>
      <c r="G1048" t="s">
        <v>33</v>
      </c>
      <c r="H1048">
        <v>84.83</v>
      </c>
      <c r="I1048" t="s">
        <v>19</v>
      </c>
      <c r="J1048" t="s">
        <v>41</v>
      </c>
      <c r="K1048">
        <v>31</v>
      </c>
      <c r="L1048">
        <v>4</v>
      </c>
    </row>
    <row r="1049" spans="1:12" x14ac:dyDescent="0.2">
      <c r="A1049" t="s">
        <v>2654</v>
      </c>
      <c r="B1049" t="s">
        <v>2655</v>
      </c>
      <c r="C1049" t="s">
        <v>44</v>
      </c>
      <c r="D1049" t="s">
        <v>80</v>
      </c>
      <c r="E1049" t="s">
        <v>154</v>
      </c>
      <c r="F1049" t="s">
        <v>1136</v>
      </c>
      <c r="G1049" t="s">
        <v>91</v>
      </c>
      <c r="H1049">
        <v>331.03</v>
      </c>
      <c r="I1049" t="s">
        <v>19</v>
      </c>
      <c r="J1049" t="s">
        <v>41</v>
      </c>
      <c r="K1049">
        <v>16</v>
      </c>
      <c r="L1049">
        <v>1</v>
      </c>
    </row>
    <row r="1050" spans="1:12" x14ac:dyDescent="0.2">
      <c r="A1050" t="s">
        <v>2656</v>
      </c>
      <c r="B1050" t="s">
        <v>2657</v>
      </c>
      <c r="C1050" t="s">
        <v>23</v>
      </c>
      <c r="D1050" t="s">
        <v>45</v>
      </c>
      <c r="E1050" t="s">
        <v>161</v>
      </c>
      <c r="F1050" t="s">
        <v>1499</v>
      </c>
      <c r="G1050" t="s">
        <v>77</v>
      </c>
      <c r="H1050">
        <v>408.95</v>
      </c>
      <c r="I1050" t="s">
        <v>49</v>
      </c>
      <c r="J1050" t="s">
        <v>50</v>
      </c>
      <c r="K1050">
        <v>17</v>
      </c>
      <c r="L1050">
        <v>1</v>
      </c>
    </row>
    <row r="1051" spans="1:12" x14ac:dyDescent="0.2">
      <c r="A1051" t="s">
        <v>2658</v>
      </c>
      <c r="B1051" t="s">
        <v>2659</v>
      </c>
      <c r="C1051" t="s">
        <v>23</v>
      </c>
      <c r="D1051" t="s">
        <v>54</v>
      </c>
      <c r="E1051" t="s">
        <v>97</v>
      </c>
      <c r="F1051" t="s">
        <v>2083</v>
      </c>
      <c r="G1051" t="s">
        <v>33</v>
      </c>
      <c r="H1051">
        <v>74.05</v>
      </c>
      <c r="I1051" t="s">
        <v>65</v>
      </c>
      <c r="J1051" t="s">
        <v>41</v>
      </c>
      <c r="K1051">
        <v>34</v>
      </c>
      <c r="L1051">
        <v>4</v>
      </c>
    </row>
    <row r="1052" spans="1:12" x14ac:dyDescent="0.2">
      <c r="A1052" t="s">
        <v>2660</v>
      </c>
      <c r="B1052" t="s">
        <v>2661</v>
      </c>
      <c r="C1052" t="s">
        <v>106</v>
      </c>
      <c r="D1052" t="s">
        <v>125</v>
      </c>
      <c r="E1052" t="s">
        <v>343</v>
      </c>
      <c r="F1052" t="s">
        <v>1933</v>
      </c>
      <c r="G1052" t="s">
        <v>57</v>
      </c>
      <c r="H1052">
        <v>283.5</v>
      </c>
      <c r="I1052" t="s">
        <v>122</v>
      </c>
      <c r="J1052" t="s">
        <v>20</v>
      </c>
      <c r="K1052">
        <v>90</v>
      </c>
      <c r="L1052">
        <v>2</v>
      </c>
    </row>
    <row r="1053" spans="1:12" x14ac:dyDescent="0.2">
      <c r="A1053" t="s">
        <v>2662</v>
      </c>
      <c r="B1053" t="s">
        <v>2115</v>
      </c>
      <c r="C1053" t="s">
        <v>23</v>
      </c>
      <c r="D1053" t="s">
        <v>80</v>
      </c>
      <c r="E1053" t="s">
        <v>102</v>
      </c>
      <c r="F1053" t="s">
        <v>1363</v>
      </c>
      <c r="G1053" t="s">
        <v>57</v>
      </c>
      <c r="H1053">
        <v>321.62</v>
      </c>
      <c r="I1053" t="s">
        <v>49</v>
      </c>
      <c r="J1053" t="s">
        <v>26</v>
      </c>
      <c r="K1053">
        <v>41</v>
      </c>
      <c r="L1053">
        <v>3</v>
      </c>
    </row>
    <row r="1054" spans="1:12" x14ac:dyDescent="0.2">
      <c r="A1054" t="s">
        <v>2663</v>
      </c>
      <c r="B1054" t="s">
        <v>2664</v>
      </c>
      <c r="C1054" t="s">
        <v>23</v>
      </c>
      <c r="D1054" t="s">
        <v>74</v>
      </c>
      <c r="E1054" t="s">
        <v>16</v>
      </c>
      <c r="F1054" t="s">
        <v>2033</v>
      </c>
      <c r="G1054" t="s">
        <v>91</v>
      </c>
      <c r="H1054">
        <v>176.34</v>
      </c>
      <c r="I1054" t="s">
        <v>65</v>
      </c>
      <c r="J1054" t="s">
        <v>50</v>
      </c>
      <c r="K1054">
        <v>29</v>
      </c>
      <c r="L1054">
        <v>5</v>
      </c>
    </row>
    <row r="1055" spans="1:12" x14ac:dyDescent="0.2">
      <c r="A1055" t="s">
        <v>2665</v>
      </c>
      <c r="B1055" t="s">
        <v>2666</v>
      </c>
      <c r="C1055" t="s">
        <v>60</v>
      </c>
      <c r="D1055" t="s">
        <v>54</v>
      </c>
      <c r="E1055" t="s">
        <v>317</v>
      </c>
      <c r="F1055" t="s">
        <v>1136</v>
      </c>
      <c r="G1055" t="s">
        <v>40</v>
      </c>
      <c r="H1055">
        <v>257.2</v>
      </c>
      <c r="I1055" t="s">
        <v>49</v>
      </c>
      <c r="J1055" t="s">
        <v>26</v>
      </c>
      <c r="K1055">
        <v>86</v>
      </c>
      <c r="L1055">
        <v>5</v>
      </c>
    </row>
    <row r="1056" spans="1:12" x14ac:dyDescent="0.2">
      <c r="A1056" t="s">
        <v>2667</v>
      </c>
      <c r="B1056" t="s">
        <v>2668</v>
      </c>
      <c r="C1056" t="s">
        <v>60</v>
      </c>
      <c r="D1056" t="s">
        <v>61</v>
      </c>
      <c r="E1056" t="s">
        <v>97</v>
      </c>
      <c r="F1056" t="s">
        <v>2669</v>
      </c>
      <c r="G1056" t="s">
        <v>57</v>
      </c>
      <c r="H1056">
        <v>481.73</v>
      </c>
      <c r="I1056" t="s">
        <v>65</v>
      </c>
      <c r="J1056" t="s">
        <v>20</v>
      </c>
      <c r="K1056">
        <v>33</v>
      </c>
      <c r="L1056">
        <v>4</v>
      </c>
    </row>
    <row r="1057" spans="1:12" x14ac:dyDescent="0.2">
      <c r="A1057" t="s">
        <v>2670</v>
      </c>
      <c r="B1057" t="s">
        <v>2671</v>
      </c>
      <c r="C1057" t="s">
        <v>23</v>
      </c>
      <c r="D1057" t="s">
        <v>37</v>
      </c>
      <c r="E1057" t="s">
        <v>161</v>
      </c>
      <c r="F1057" t="s">
        <v>2672</v>
      </c>
      <c r="G1057" t="s">
        <v>64</v>
      </c>
      <c r="H1057">
        <v>479.13</v>
      </c>
      <c r="I1057" t="s">
        <v>19</v>
      </c>
      <c r="J1057" t="s">
        <v>20</v>
      </c>
      <c r="K1057">
        <v>56</v>
      </c>
    </row>
    <row r="1058" spans="1:12" x14ac:dyDescent="0.2">
      <c r="A1058" t="s">
        <v>2673</v>
      </c>
      <c r="B1058" t="s">
        <v>2674</v>
      </c>
      <c r="C1058" t="s">
        <v>14</v>
      </c>
      <c r="D1058" t="s">
        <v>89</v>
      </c>
      <c r="E1058" t="s">
        <v>85</v>
      </c>
      <c r="F1058" t="s">
        <v>525</v>
      </c>
      <c r="G1058" t="s">
        <v>33</v>
      </c>
      <c r="H1058">
        <v>364.41</v>
      </c>
      <c r="I1058" t="s">
        <v>49</v>
      </c>
      <c r="J1058" t="s">
        <v>20</v>
      </c>
      <c r="K1058">
        <v>62</v>
      </c>
      <c r="L1058">
        <v>3</v>
      </c>
    </row>
    <row r="1059" spans="1:12" x14ac:dyDescent="0.2">
      <c r="A1059" t="s">
        <v>2675</v>
      </c>
      <c r="B1059" t="s">
        <v>2676</v>
      </c>
      <c r="C1059" t="s">
        <v>106</v>
      </c>
      <c r="D1059" t="s">
        <v>89</v>
      </c>
      <c r="E1059" t="s">
        <v>132</v>
      </c>
      <c r="F1059" t="s">
        <v>168</v>
      </c>
      <c r="G1059" t="s">
        <v>33</v>
      </c>
      <c r="H1059">
        <v>286.04000000000002</v>
      </c>
      <c r="I1059" t="s">
        <v>65</v>
      </c>
      <c r="J1059" t="s">
        <v>41</v>
      </c>
      <c r="K1059">
        <v>86</v>
      </c>
      <c r="L1059">
        <v>2</v>
      </c>
    </row>
    <row r="1060" spans="1:12" x14ac:dyDescent="0.2">
      <c r="A1060" t="s">
        <v>2677</v>
      </c>
      <c r="B1060" t="s">
        <v>2678</v>
      </c>
      <c r="C1060" t="s">
        <v>117</v>
      </c>
      <c r="D1060" t="s">
        <v>61</v>
      </c>
      <c r="E1060" t="s">
        <v>81</v>
      </c>
      <c r="F1060" t="s">
        <v>2679</v>
      </c>
      <c r="G1060" t="s">
        <v>18</v>
      </c>
      <c r="H1060">
        <v>300.95</v>
      </c>
      <c r="I1060" t="s">
        <v>65</v>
      </c>
      <c r="J1060" t="s">
        <v>26</v>
      </c>
      <c r="K1060">
        <v>72</v>
      </c>
      <c r="L1060">
        <v>2</v>
      </c>
    </row>
    <row r="1061" spans="1:12" x14ac:dyDescent="0.2">
      <c r="A1061" t="s">
        <v>2680</v>
      </c>
      <c r="B1061" t="s">
        <v>2681</v>
      </c>
      <c r="C1061" t="s">
        <v>68</v>
      </c>
      <c r="D1061" t="s">
        <v>89</v>
      </c>
      <c r="E1061" t="s">
        <v>69</v>
      </c>
      <c r="F1061" t="s">
        <v>273</v>
      </c>
      <c r="G1061" t="s">
        <v>57</v>
      </c>
      <c r="H1061">
        <v>268.8</v>
      </c>
      <c r="I1061" t="s">
        <v>49</v>
      </c>
      <c r="J1061" t="s">
        <v>26</v>
      </c>
      <c r="K1061">
        <v>43</v>
      </c>
      <c r="L1061">
        <v>3</v>
      </c>
    </row>
    <row r="1062" spans="1:12" x14ac:dyDescent="0.2">
      <c r="A1062" t="s">
        <v>2682</v>
      </c>
      <c r="B1062" t="s">
        <v>2683</v>
      </c>
      <c r="C1062" t="s">
        <v>29</v>
      </c>
      <c r="D1062" t="s">
        <v>54</v>
      </c>
      <c r="E1062" t="s">
        <v>161</v>
      </c>
      <c r="F1062" t="s">
        <v>1596</v>
      </c>
      <c r="G1062" t="s">
        <v>91</v>
      </c>
      <c r="H1062">
        <v>235.77</v>
      </c>
      <c r="I1062" t="s">
        <v>122</v>
      </c>
      <c r="J1062" t="s">
        <v>50</v>
      </c>
      <c r="K1062">
        <v>25</v>
      </c>
      <c r="L1062">
        <v>2</v>
      </c>
    </row>
    <row r="1063" spans="1:12" x14ac:dyDescent="0.2">
      <c r="A1063" t="s">
        <v>2684</v>
      </c>
      <c r="B1063" t="s">
        <v>2685</v>
      </c>
      <c r="C1063" t="s">
        <v>68</v>
      </c>
      <c r="D1063" t="s">
        <v>45</v>
      </c>
      <c r="E1063" t="s">
        <v>69</v>
      </c>
      <c r="F1063" t="s">
        <v>2686</v>
      </c>
      <c r="G1063" t="s">
        <v>64</v>
      </c>
      <c r="H1063">
        <v>114.73</v>
      </c>
      <c r="I1063" t="s">
        <v>49</v>
      </c>
      <c r="J1063" t="s">
        <v>26</v>
      </c>
      <c r="K1063">
        <v>57</v>
      </c>
      <c r="L1063">
        <v>1</v>
      </c>
    </row>
    <row r="1064" spans="1:12" x14ac:dyDescent="0.2">
      <c r="A1064" t="s">
        <v>2687</v>
      </c>
      <c r="B1064" t="s">
        <v>2688</v>
      </c>
      <c r="C1064" t="s">
        <v>23</v>
      </c>
      <c r="D1064" t="s">
        <v>37</v>
      </c>
      <c r="E1064" t="s">
        <v>55</v>
      </c>
      <c r="F1064" t="s">
        <v>1139</v>
      </c>
      <c r="G1064" t="s">
        <v>91</v>
      </c>
      <c r="H1064">
        <v>211.21</v>
      </c>
      <c r="I1064" t="s">
        <v>122</v>
      </c>
      <c r="J1064" t="s">
        <v>50</v>
      </c>
      <c r="K1064">
        <v>75</v>
      </c>
      <c r="L1064">
        <v>3</v>
      </c>
    </row>
    <row r="1065" spans="1:12" x14ac:dyDescent="0.2">
      <c r="A1065" t="s">
        <v>2689</v>
      </c>
      <c r="B1065" t="s">
        <v>2690</v>
      </c>
      <c r="C1065" t="s">
        <v>53</v>
      </c>
      <c r="D1065" t="s">
        <v>45</v>
      </c>
      <c r="E1065" t="s">
        <v>69</v>
      </c>
      <c r="F1065" t="s">
        <v>211</v>
      </c>
      <c r="G1065" t="s">
        <v>48</v>
      </c>
      <c r="H1065">
        <v>381.91</v>
      </c>
      <c r="I1065" t="s">
        <v>49</v>
      </c>
      <c r="J1065" t="s">
        <v>20</v>
      </c>
      <c r="K1065">
        <v>73</v>
      </c>
      <c r="L1065">
        <v>4</v>
      </c>
    </row>
    <row r="1066" spans="1:12" x14ac:dyDescent="0.2">
      <c r="A1066" t="s">
        <v>2691</v>
      </c>
      <c r="B1066" t="s">
        <v>2692</v>
      </c>
      <c r="C1066" t="s">
        <v>14</v>
      </c>
      <c r="D1066" t="s">
        <v>15</v>
      </c>
      <c r="E1066" t="s">
        <v>129</v>
      </c>
      <c r="F1066" t="s">
        <v>242</v>
      </c>
      <c r="G1066" t="s">
        <v>18</v>
      </c>
      <c r="H1066">
        <v>314.64999999999998</v>
      </c>
      <c r="I1066" t="s">
        <v>65</v>
      </c>
      <c r="J1066" t="s">
        <v>20</v>
      </c>
      <c r="K1066">
        <v>29</v>
      </c>
    </row>
    <row r="1067" spans="1:12" x14ac:dyDescent="0.2">
      <c r="A1067" t="s">
        <v>2693</v>
      </c>
      <c r="B1067" t="s">
        <v>2694</v>
      </c>
      <c r="C1067" t="s">
        <v>53</v>
      </c>
      <c r="D1067" t="s">
        <v>125</v>
      </c>
      <c r="E1067" t="s">
        <v>129</v>
      </c>
      <c r="F1067" t="s">
        <v>2695</v>
      </c>
      <c r="G1067" t="s">
        <v>40</v>
      </c>
      <c r="H1067">
        <v>314.7</v>
      </c>
      <c r="I1067" t="s">
        <v>19</v>
      </c>
      <c r="J1067" t="s">
        <v>50</v>
      </c>
      <c r="K1067">
        <v>51</v>
      </c>
      <c r="L1067">
        <v>2</v>
      </c>
    </row>
    <row r="1068" spans="1:12" x14ac:dyDescent="0.2">
      <c r="A1068" t="s">
        <v>2696</v>
      </c>
      <c r="B1068" t="s">
        <v>2697</v>
      </c>
      <c r="C1068" t="s">
        <v>29</v>
      </c>
      <c r="D1068" t="s">
        <v>15</v>
      </c>
      <c r="E1068" t="s">
        <v>272</v>
      </c>
      <c r="F1068" t="s">
        <v>2698</v>
      </c>
      <c r="G1068" t="s">
        <v>48</v>
      </c>
      <c r="H1068">
        <v>450.42</v>
      </c>
      <c r="I1068" t="s">
        <v>65</v>
      </c>
      <c r="J1068" t="s">
        <v>50</v>
      </c>
      <c r="K1068">
        <v>34</v>
      </c>
      <c r="L1068">
        <v>1</v>
      </c>
    </row>
    <row r="1069" spans="1:12" x14ac:dyDescent="0.2">
      <c r="A1069" t="s">
        <v>2699</v>
      </c>
      <c r="B1069" t="s">
        <v>2700</v>
      </c>
      <c r="C1069" t="s">
        <v>53</v>
      </c>
      <c r="D1069" t="s">
        <v>74</v>
      </c>
      <c r="E1069" t="s">
        <v>24</v>
      </c>
      <c r="F1069" t="s">
        <v>621</v>
      </c>
      <c r="G1069" t="s">
        <v>48</v>
      </c>
      <c r="H1069">
        <v>454.63</v>
      </c>
      <c r="I1069" t="s">
        <v>65</v>
      </c>
      <c r="J1069" t="s">
        <v>26</v>
      </c>
      <c r="K1069">
        <v>67</v>
      </c>
      <c r="L1069">
        <v>3</v>
      </c>
    </row>
    <row r="1070" spans="1:12" x14ac:dyDescent="0.2">
      <c r="A1070" t="s">
        <v>2701</v>
      </c>
      <c r="B1070" t="s">
        <v>2702</v>
      </c>
      <c r="C1070" t="s">
        <v>29</v>
      </c>
      <c r="D1070" t="s">
        <v>45</v>
      </c>
      <c r="E1070" t="s">
        <v>180</v>
      </c>
      <c r="F1070" t="s">
        <v>1145</v>
      </c>
      <c r="G1070" t="s">
        <v>64</v>
      </c>
      <c r="H1070">
        <v>127.98</v>
      </c>
      <c r="I1070" t="s">
        <v>122</v>
      </c>
      <c r="J1070" t="s">
        <v>50</v>
      </c>
      <c r="K1070">
        <v>77</v>
      </c>
      <c r="L1070">
        <v>3</v>
      </c>
    </row>
    <row r="1071" spans="1:12" x14ac:dyDescent="0.2">
      <c r="A1071" t="s">
        <v>2703</v>
      </c>
      <c r="B1071" t="s">
        <v>2704</v>
      </c>
      <c r="C1071" t="s">
        <v>44</v>
      </c>
      <c r="D1071" t="s">
        <v>80</v>
      </c>
      <c r="E1071" t="s">
        <v>113</v>
      </c>
      <c r="F1071" t="s">
        <v>299</v>
      </c>
      <c r="G1071" t="s">
        <v>64</v>
      </c>
      <c r="H1071">
        <v>320.81</v>
      </c>
      <c r="I1071" t="s">
        <v>122</v>
      </c>
      <c r="J1071" t="s">
        <v>41</v>
      </c>
      <c r="K1071">
        <v>79</v>
      </c>
    </row>
    <row r="1072" spans="1:12" x14ac:dyDescent="0.2">
      <c r="A1072" t="s">
        <v>2705</v>
      </c>
      <c r="B1072" t="s">
        <v>157</v>
      </c>
      <c r="C1072" t="s">
        <v>60</v>
      </c>
      <c r="D1072" t="s">
        <v>61</v>
      </c>
      <c r="E1072" t="s">
        <v>132</v>
      </c>
      <c r="F1072" t="s">
        <v>1496</v>
      </c>
      <c r="G1072" t="s">
        <v>33</v>
      </c>
      <c r="H1072">
        <v>199.29</v>
      </c>
      <c r="I1072" t="s">
        <v>122</v>
      </c>
      <c r="J1072" t="s">
        <v>26</v>
      </c>
      <c r="K1072">
        <v>73</v>
      </c>
      <c r="L1072">
        <v>2</v>
      </c>
    </row>
    <row r="1073" spans="1:12" x14ac:dyDescent="0.2">
      <c r="A1073" t="s">
        <v>2706</v>
      </c>
      <c r="B1073" t="s">
        <v>1781</v>
      </c>
      <c r="C1073" t="s">
        <v>23</v>
      </c>
      <c r="D1073" t="s">
        <v>45</v>
      </c>
      <c r="E1073" t="s">
        <v>238</v>
      </c>
      <c r="F1073" t="s">
        <v>1990</v>
      </c>
      <c r="G1073" t="s">
        <v>48</v>
      </c>
      <c r="H1073">
        <v>253.05</v>
      </c>
      <c r="I1073" t="s">
        <v>19</v>
      </c>
      <c r="J1073" t="s">
        <v>41</v>
      </c>
      <c r="K1073">
        <v>74</v>
      </c>
      <c r="L1073">
        <v>1</v>
      </c>
    </row>
    <row r="1074" spans="1:12" x14ac:dyDescent="0.2">
      <c r="A1074" t="s">
        <v>2707</v>
      </c>
      <c r="B1074" t="s">
        <v>2708</v>
      </c>
      <c r="C1074" t="s">
        <v>14</v>
      </c>
      <c r="D1074" t="s">
        <v>74</v>
      </c>
      <c r="E1074" t="s">
        <v>154</v>
      </c>
      <c r="F1074" t="s">
        <v>925</v>
      </c>
      <c r="G1074" t="s">
        <v>64</v>
      </c>
      <c r="H1074">
        <v>291</v>
      </c>
      <c r="I1074" t="s">
        <v>122</v>
      </c>
      <c r="J1074" t="s">
        <v>20</v>
      </c>
      <c r="K1074">
        <v>34</v>
      </c>
      <c r="L1074">
        <v>3</v>
      </c>
    </row>
    <row r="1075" spans="1:12" x14ac:dyDescent="0.2">
      <c r="A1075" t="s">
        <v>2709</v>
      </c>
      <c r="B1075" t="s">
        <v>2710</v>
      </c>
      <c r="C1075" t="s">
        <v>73</v>
      </c>
      <c r="D1075" t="s">
        <v>74</v>
      </c>
      <c r="E1075" t="s">
        <v>102</v>
      </c>
      <c r="F1075" t="s">
        <v>2626</v>
      </c>
      <c r="G1075" t="s">
        <v>18</v>
      </c>
      <c r="H1075">
        <v>282.41000000000003</v>
      </c>
      <c r="I1075" t="s">
        <v>65</v>
      </c>
      <c r="J1075" t="s">
        <v>50</v>
      </c>
      <c r="K1075">
        <v>79</v>
      </c>
      <c r="L1075">
        <v>4</v>
      </c>
    </row>
    <row r="1076" spans="1:12" x14ac:dyDescent="0.2">
      <c r="A1076" t="s">
        <v>2711</v>
      </c>
      <c r="B1076" t="s">
        <v>2712</v>
      </c>
      <c r="C1076" t="s">
        <v>23</v>
      </c>
      <c r="D1076" t="s">
        <v>89</v>
      </c>
      <c r="E1076" t="s">
        <v>343</v>
      </c>
      <c r="F1076" t="s">
        <v>2611</v>
      </c>
      <c r="G1076" t="s">
        <v>33</v>
      </c>
      <c r="H1076">
        <v>427.98</v>
      </c>
      <c r="I1076" t="s">
        <v>49</v>
      </c>
      <c r="J1076" t="s">
        <v>41</v>
      </c>
      <c r="K1076">
        <v>62</v>
      </c>
      <c r="L1076">
        <v>3</v>
      </c>
    </row>
    <row r="1077" spans="1:12" x14ac:dyDescent="0.2">
      <c r="A1077" t="s">
        <v>2713</v>
      </c>
      <c r="B1077" t="s">
        <v>2714</v>
      </c>
      <c r="C1077" t="s">
        <v>53</v>
      </c>
      <c r="D1077" t="s">
        <v>61</v>
      </c>
      <c r="E1077" t="s">
        <v>62</v>
      </c>
      <c r="F1077" t="s">
        <v>970</v>
      </c>
      <c r="G1077" t="s">
        <v>64</v>
      </c>
      <c r="H1077">
        <v>479.52</v>
      </c>
      <c r="I1077" t="s">
        <v>65</v>
      </c>
      <c r="J1077" t="s">
        <v>20</v>
      </c>
      <c r="K1077">
        <v>57</v>
      </c>
      <c r="L1077">
        <v>3</v>
      </c>
    </row>
    <row r="1078" spans="1:12" x14ac:dyDescent="0.2">
      <c r="A1078" t="s">
        <v>2715</v>
      </c>
      <c r="B1078" t="s">
        <v>2716</v>
      </c>
      <c r="C1078" t="s">
        <v>44</v>
      </c>
      <c r="D1078" t="s">
        <v>89</v>
      </c>
      <c r="E1078" t="s">
        <v>102</v>
      </c>
      <c r="F1078" t="s">
        <v>2717</v>
      </c>
      <c r="G1078" t="s">
        <v>48</v>
      </c>
      <c r="H1078">
        <v>122.95</v>
      </c>
      <c r="I1078" t="s">
        <v>19</v>
      </c>
      <c r="J1078" t="s">
        <v>41</v>
      </c>
      <c r="K1078">
        <v>58</v>
      </c>
      <c r="L1078">
        <v>2</v>
      </c>
    </row>
    <row r="1079" spans="1:12" x14ac:dyDescent="0.2">
      <c r="A1079" t="s">
        <v>2718</v>
      </c>
      <c r="B1079" t="s">
        <v>1564</v>
      </c>
      <c r="C1079" t="s">
        <v>73</v>
      </c>
      <c r="D1079" t="s">
        <v>45</v>
      </c>
      <c r="E1079" t="s">
        <v>102</v>
      </c>
      <c r="F1079" t="s">
        <v>76</v>
      </c>
      <c r="G1079" t="s">
        <v>40</v>
      </c>
      <c r="H1079">
        <v>341.01</v>
      </c>
      <c r="I1079" t="s">
        <v>19</v>
      </c>
      <c r="J1079" t="s">
        <v>41</v>
      </c>
      <c r="K1079">
        <v>64</v>
      </c>
      <c r="L1079">
        <v>3</v>
      </c>
    </row>
    <row r="1080" spans="1:12" x14ac:dyDescent="0.2">
      <c r="A1080" t="s">
        <v>2719</v>
      </c>
      <c r="B1080" t="s">
        <v>2720</v>
      </c>
      <c r="C1080" t="s">
        <v>29</v>
      </c>
      <c r="D1080" t="s">
        <v>74</v>
      </c>
      <c r="E1080" t="s">
        <v>343</v>
      </c>
      <c r="F1080" t="s">
        <v>2721</v>
      </c>
      <c r="G1080" t="s">
        <v>77</v>
      </c>
      <c r="H1080">
        <v>310.79000000000002</v>
      </c>
      <c r="I1080" t="s">
        <v>65</v>
      </c>
      <c r="J1080" t="s">
        <v>41</v>
      </c>
      <c r="K1080">
        <v>29</v>
      </c>
    </row>
    <row r="1081" spans="1:12" x14ac:dyDescent="0.2">
      <c r="A1081" t="s">
        <v>2722</v>
      </c>
      <c r="B1081" t="s">
        <v>2723</v>
      </c>
      <c r="C1081" t="s">
        <v>106</v>
      </c>
      <c r="D1081" t="s">
        <v>89</v>
      </c>
      <c r="E1081" t="s">
        <v>16</v>
      </c>
      <c r="F1081" t="s">
        <v>795</v>
      </c>
      <c r="G1081" t="s">
        <v>48</v>
      </c>
      <c r="H1081">
        <v>112.01</v>
      </c>
      <c r="I1081" t="s">
        <v>49</v>
      </c>
      <c r="J1081" t="s">
        <v>50</v>
      </c>
      <c r="K1081">
        <v>40</v>
      </c>
      <c r="L1081">
        <v>4</v>
      </c>
    </row>
    <row r="1082" spans="1:12" x14ac:dyDescent="0.2">
      <c r="A1082" t="s">
        <v>2724</v>
      </c>
      <c r="B1082" t="s">
        <v>2725</v>
      </c>
      <c r="C1082" t="s">
        <v>23</v>
      </c>
      <c r="D1082" t="s">
        <v>37</v>
      </c>
      <c r="E1082" t="s">
        <v>161</v>
      </c>
      <c r="F1082" t="s">
        <v>2272</v>
      </c>
      <c r="G1082" t="s">
        <v>40</v>
      </c>
      <c r="H1082">
        <v>439.4</v>
      </c>
      <c r="I1082" t="s">
        <v>19</v>
      </c>
      <c r="J1082" t="s">
        <v>41</v>
      </c>
      <c r="K1082">
        <v>55</v>
      </c>
      <c r="L1082">
        <v>5</v>
      </c>
    </row>
    <row r="1083" spans="1:12" x14ac:dyDescent="0.2">
      <c r="A1083" t="s">
        <v>2726</v>
      </c>
      <c r="B1083" t="s">
        <v>2727</v>
      </c>
      <c r="C1083" t="s">
        <v>14</v>
      </c>
      <c r="D1083" t="s">
        <v>80</v>
      </c>
      <c r="E1083" t="s">
        <v>317</v>
      </c>
      <c r="F1083" t="s">
        <v>1412</v>
      </c>
      <c r="G1083" t="s">
        <v>91</v>
      </c>
      <c r="H1083">
        <v>151.68</v>
      </c>
      <c r="I1083" t="s">
        <v>122</v>
      </c>
      <c r="J1083" t="s">
        <v>26</v>
      </c>
      <c r="K1083">
        <v>81</v>
      </c>
      <c r="L1083">
        <v>1</v>
      </c>
    </row>
    <row r="1084" spans="1:12" x14ac:dyDescent="0.2">
      <c r="A1084" t="s">
        <v>2728</v>
      </c>
      <c r="B1084" t="s">
        <v>2729</v>
      </c>
      <c r="C1084" t="s">
        <v>68</v>
      </c>
      <c r="D1084" t="s">
        <v>139</v>
      </c>
      <c r="E1084" t="s">
        <v>161</v>
      </c>
      <c r="F1084" t="s">
        <v>242</v>
      </c>
      <c r="G1084" t="s">
        <v>33</v>
      </c>
      <c r="H1084">
        <v>301.94</v>
      </c>
      <c r="I1084" t="s">
        <v>49</v>
      </c>
      <c r="J1084" t="s">
        <v>50</v>
      </c>
      <c r="K1084">
        <v>61</v>
      </c>
      <c r="L1084">
        <v>2</v>
      </c>
    </row>
    <row r="1085" spans="1:12" x14ac:dyDescent="0.2">
      <c r="A1085" t="s">
        <v>2730</v>
      </c>
      <c r="B1085" t="s">
        <v>2731</v>
      </c>
      <c r="C1085" t="s">
        <v>73</v>
      </c>
      <c r="D1085" t="s">
        <v>125</v>
      </c>
      <c r="E1085" t="s">
        <v>31</v>
      </c>
      <c r="F1085" t="s">
        <v>1099</v>
      </c>
      <c r="G1085" t="s">
        <v>77</v>
      </c>
      <c r="H1085">
        <v>170.65</v>
      </c>
      <c r="I1085" t="s">
        <v>65</v>
      </c>
      <c r="J1085" t="s">
        <v>41</v>
      </c>
      <c r="K1085">
        <v>47</v>
      </c>
    </row>
    <row r="1086" spans="1:12" x14ac:dyDescent="0.2">
      <c r="A1086" t="s">
        <v>2732</v>
      </c>
      <c r="B1086" t="s">
        <v>2733</v>
      </c>
      <c r="C1086" t="s">
        <v>73</v>
      </c>
      <c r="D1086" t="s">
        <v>139</v>
      </c>
      <c r="E1086" t="s">
        <v>118</v>
      </c>
      <c r="F1086" t="s">
        <v>1128</v>
      </c>
      <c r="G1086" t="s">
        <v>64</v>
      </c>
      <c r="H1086">
        <v>470.17</v>
      </c>
      <c r="I1086" t="s">
        <v>65</v>
      </c>
      <c r="J1086" t="s">
        <v>26</v>
      </c>
      <c r="K1086">
        <v>90</v>
      </c>
      <c r="L1086">
        <v>3</v>
      </c>
    </row>
    <row r="1087" spans="1:12" x14ac:dyDescent="0.2">
      <c r="A1087" t="s">
        <v>2734</v>
      </c>
      <c r="B1087" t="s">
        <v>2735</v>
      </c>
      <c r="C1087" t="s">
        <v>117</v>
      </c>
      <c r="D1087" t="s">
        <v>80</v>
      </c>
      <c r="E1087" t="s">
        <v>75</v>
      </c>
      <c r="F1087" t="s">
        <v>706</v>
      </c>
      <c r="G1087" t="s">
        <v>33</v>
      </c>
      <c r="H1087">
        <v>216.41</v>
      </c>
      <c r="I1087" t="s">
        <v>19</v>
      </c>
      <c r="J1087" t="s">
        <v>50</v>
      </c>
      <c r="K1087">
        <v>46</v>
      </c>
      <c r="L1087">
        <v>2</v>
      </c>
    </row>
    <row r="1088" spans="1:12" x14ac:dyDescent="0.2">
      <c r="A1088" t="s">
        <v>2736</v>
      </c>
      <c r="B1088" t="s">
        <v>2737</v>
      </c>
      <c r="C1088" t="s">
        <v>29</v>
      </c>
      <c r="D1088" t="s">
        <v>15</v>
      </c>
      <c r="E1088" t="s">
        <v>343</v>
      </c>
      <c r="F1088" t="s">
        <v>2738</v>
      </c>
      <c r="G1088" t="s">
        <v>40</v>
      </c>
      <c r="H1088">
        <v>267.35000000000002</v>
      </c>
      <c r="I1088" t="s">
        <v>49</v>
      </c>
      <c r="J1088" t="s">
        <v>50</v>
      </c>
      <c r="K1088">
        <v>80</v>
      </c>
      <c r="L1088">
        <v>5</v>
      </c>
    </row>
    <row r="1089" spans="1:12" x14ac:dyDescent="0.2">
      <c r="A1089" t="s">
        <v>2739</v>
      </c>
      <c r="B1089" t="s">
        <v>2740</v>
      </c>
      <c r="C1089" t="s">
        <v>68</v>
      </c>
      <c r="D1089" t="s">
        <v>139</v>
      </c>
      <c r="E1089" t="s">
        <v>144</v>
      </c>
      <c r="F1089" t="s">
        <v>1352</v>
      </c>
      <c r="G1089" t="s">
        <v>18</v>
      </c>
      <c r="H1089">
        <v>356.07</v>
      </c>
      <c r="I1089" t="s">
        <v>19</v>
      </c>
      <c r="J1089" t="s">
        <v>41</v>
      </c>
      <c r="K1089">
        <v>57</v>
      </c>
    </row>
    <row r="1090" spans="1:12" x14ac:dyDescent="0.2">
      <c r="A1090" t="s">
        <v>2741</v>
      </c>
      <c r="B1090" t="s">
        <v>2742</v>
      </c>
      <c r="C1090" t="s">
        <v>29</v>
      </c>
      <c r="D1090" t="s">
        <v>125</v>
      </c>
      <c r="E1090" t="s">
        <v>46</v>
      </c>
      <c r="F1090" t="s">
        <v>94</v>
      </c>
      <c r="G1090" t="s">
        <v>57</v>
      </c>
      <c r="H1090">
        <v>215.45</v>
      </c>
      <c r="I1090" t="s">
        <v>122</v>
      </c>
      <c r="J1090" t="s">
        <v>50</v>
      </c>
      <c r="K1090">
        <v>73</v>
      </c>
    </row>
    <row r="1091" spans="1:12" x14ac:dyDescent="0.2">
      <c r="A1091" t="s">
        <v>2743</v>
      </c>
      <c r="B1091" t="s">
        <v>2223</v>
      </c>
      <c r="C1091" t="s">
        <v>68</v>
      </c>
      <c r="D1091" t="s">
        <v>139</v>
      </c>
      <c r="E1091" t="s">
        <v>62</v>
      </c>
      <c r="F1091" t="s">
        <v>882</v>
      </c>
      <c r="G1091" t="s">
        <v>33</v>
      </c>
      <c r="H1091">
        <v>384.97</v>
      </c>
      <c r="I1091" t="s">
        <v>19</v>
      </c>
      <c r="J1091" t="s">
        <v>20</v>
      </c>
      <c r="K1091">
        <v>78</v>
      </c>
      <c r="L1091">
        <v>5</v>
      </c>
    </row>
    <row r="1092" spans="1:12" x14ac:dyDescent="0.2">
      <c r="A1092" t="s">
        <v>2744</v>
      </c>
      <c r="B1092" t="s">
        <v>2745</v>
      </c>
      <c r="C1092" t="s">
        <v>44</v>
      </c>
      <c r="D1092" t="s">
        <v>74</v>
      </c>
      <c r="E1092" t="s">
        <v>62</v>
      </c>
      <c r="F1092" t="s">
        <v>1319</v>
      </c>
      <c r="G1092" t="s">
        <v>57</v>
      </c>
      <c r="H1092">
        <v>301.27999999999997</v>
      </c>
      <c r="I1092" t="s">
        <v>19</v>
      </c>
      <c r="J1092" t="s">
        <v>26</v>
      </c>
      <c r="K1092">
        <v>38</v>
      </c>
      <c r="L1092">
        <v>3</v>
      </c>
    </row>
    <row r="1093" spans="1:12" x14ac:dyDescent="0.2">
      <c r="A1093" t="s">
        <v>2746</v>
      </c>
      <c r="B1093" t="s">
        <v>2747</v>
      </c>
      <c r="C1093" t="s">
        <v>44</v>
      </c>
      <c r="D1093" t="s">
        <v>125</v>
      </c>
      <c r="E1093" t="s">
        <v>343</v>
      </c>
      <c r="F1093" t="s">
        <v>1624</v>
      </c>
      <c r="G1093" t="s">
        <v>57</v>
      </c>
      <c r="H1093">
        <v>465.8</v>
      </c>
      <c r="I1093" t="s">
        <v>122</v>
      </c>
      <c r="J1093" t="s">
        <v>20</v>
      </c>
      <c r="K1093">
        <v>61</v>
      </c>
      <c r="L1093">
        <v>3</v>
      </c>
    </row>
    <row r="1094" spans="1:12" x14ac:dyDescent="0.2">
      <c r="A1094" t="s">
        <v>2748</v>
      </c>
      <c r="B1094" t="s">
        <v>2749</v>
      </c>
      <c r="C1094" t="s">
        <v>29</v>
      </c>
      <c r="D1094" t="s">
        <v>61</v>
      </c>
      <c r="E1094" t="s">
        <v>38</v>
      </c>
      <c r="F1094" t="s">
        <v>779</v>
      </c>
      <c r="G1094" t="s">
        <v>40</v>
      </c>
      <c r="H1094">
        <v>367.08</v>
      </c>
      <c r="I1094" t="s">
        <v>49</v>
      </c>
      <c r="J1094" t="s">
        <v>41</v>
      </c>
      <c r="K1094">
        <v>81</v>
      </c>
      <c r="L1094">
        <v>3</v>
      </c>
    </row>
    <row r="1095" spans="1:12" x14ac:dyDescent="0.2">
      <c r="A1095" t="s">
        <v>2750</v>
      </c>
      <c r="B1095" t="s">
        <v>2751</v>
      </c>
      <c r="C1095" t="s">
        <v>68</v>
      </c>
      <c r="D1095" t="s">
        <v>139</v>
      </c>
      <c r="E1095" t="s">
        <v>317</v>
      </c>
      <c r="F1095" t="s">
        <v>2519</v>
      </c>
      <c r="G1095" t="s">
        <v>33</v>
      </c>
      <c r="H1095">
        <v>295.14</v>
      </c>
      <c r="I1095" t="s">
        <v>49</v>
      </c>
      <c r="J1095" t="s">
        <v>41</v>
      </c>
      <c r="K1095">
        <v>21</v>
      </c>
      <c r="L1095">
        <v>2</v>
      </c>
    </row>
    <row r="1096" spans="1:12" x14ac:dyDescent="0.2">
      <c r="A1096" t="s">
        <v>2752</v>
      </c>
      <c r="B1096" t="s">
        <v>2753</v>
      </c>
      <c r="C1096" t="s">
        <v>23</v>
      </c>
      <c r="D1096" t="s">
        <v>37</v>
      </c>
      <c r="E1096" t="s">
        <v>349</v>
      </c>
      <c r="F1096" t="s">
        <v>2754</v>
      </c>
      <c r="G1096" t="s">
        <v>48</v>
      </c>
      <c r="H1096">
        <v>403.34</v>
      </c>
      <c r="I1096" t="s">
        <v>19</v>
      </c>
      <c r="J1096" t="s">
        <v>50</v>
      </c>
      <c r="K1096">
        <v>67</v>
      </c>
      <c r="L1096">
        <v>4</v>
      </c>
    </row>
    <row r="1097" spans="1:12" x14ac:dyDescent="0.2">
      <c r="A1097" t="s">
        <v>2755</v>
      </c>
      <c r="B1097" t="s">
        <v>2756</v>
      </c>
      <c r="C1097" t="s">
        <v>60</v>
      </c>
      <c r="D1097" t="s">
        <v>74</v>
      </c>
      <c r="E1097" t="s">
        <v>144</v>
      </c>
      <c r="F1097" t="s">
        <v>1437</v>
      </c>
      <c r="G1097" t="s">
        <v>64</v>
      </c>
      <c r="H1097">
        <v>282.58999999999997</v>
      </c>
      <c r="I1097" t="s">
        <v>65</v>
      </c>
      <c r="J1097" t="s">
        <v>20</v>
      </c>
      <c r="K1097">
        <v>45</v>
      </c>
      <c r="L1097">
        <v>1</v>
      </c>
    </row>
    <row r="1098" spans="1:12" x14ac:dyDescent="0.2">
      <c r="A1098" t="s">
        <v>2757</v>
      </c>
      <c r="B1098" t="s">
        <v>2758</v>
      </c>
      <c r="C1098" t="s">
        <v>53</v>
      </c>
      <c r="D1098" t="s">
        <v>74</v>
      </c>
      <c r="E1098" t="s">
        <v>113</v>
      </c>
      <c r="F1098" t="s">
        <v>1313</v>
      </c>
      <c r="G1098" t="s">
        <v>57</v>
      </c>
      <c r="H1098">
        <v>476.58</v>
      </c>
      <c r="I1098" t="s">
        <v>49</v>
      </c>
      <c r="J1098" t="s">
        <v>26</v>
      </c>
      <c r="K1098">
        <v>64</v>
      </c>
      <c r="L1098">
        <v>2</v>
      </c>
    </row>
    <row r="1099" spans="1:12" x14ac:dyDescent="0.2">
      <c r="A1099" t="s">
        <v>2759</v>
      </c>
      <c r="B1099" t="s">
        <v>352</v>
      </c>
      <c r="C1099" t="s">
        <v>117</v>
      </c>
      <c r="D1099" t="s">
        <v>125</v>
      </c>
      <c r="E1099" t="s">
        <v>24</v>
      </c>
      <c r="F1099" t="s">
        <v>1499</v>
      </c>
      <c r="G1099" t="s">
        <v>18</v>
      </c>
      <c r="H1099">
        <v>112.56</v>
      </c>
      <c r="I1099" t="s">
        <v>19</v>
      </c>
      <c r="J1099" t="s">
        <v>50</v>
      </c>
      <c r="K1099">
        <v>21</v>
      </c>
      <c r="L1099">
        <v>3</v>
      </c>
    </row>
    <row r="1100" spans="1:12" x14ac:dyDescent="0.2">
      <c r="A1100" t="s">
        <v>2760</v>
      </c>
      <c r="B1100" t="s">
        <v>2761</v>
      </c>
      <c r="C1100" t="s">
        <v>44</v>
      </c>
      <c r="D1100" t="s">
        <v>45</v>
      </c>
      <c r="E1100" t="s">
        <v>24</v>
      </c>
      <c r="F1100" t="s">
        <v>2639</v>
      </c>
      <c r="G1100" t="s">
        <v>91</v>
      </c>
      <c r="H1100">
        <v>280.07</v>
      </c>
      <c r="I1100" t="s">
        <v>122</v>
      </c>
      <c r="J1100" t="s">
        <v>26</v>
      </c>
      <c r="K1100">
        <v>39</v>
      </c>
      <c r="L1100">
        <v>2</v>
      </c>
    </row>
    <row r="1101" spans="1:12" x14ac:dyDescent="0.2">
      <c r="A1101" t="s">
        <v>2762</v>
      </c>
      <c r="B1101" t="s">
        <v>2763</v>
      </c>
      <c r="C1101" t="s">
        <v>68</v>
      </c>
      <c r="D1101" t="s">
        <v>80</v>
      </c>
      <c r="E1101" t="s">
        <v>55</v>
      </c>
      <c r="F1101" t="s">
        <v>2764</v>
      </c>
      <c r="G1101" t="s">
        <v>33</v>
      </c>
      <c r="H1101">
        <v>270.63</v>
      </c>
      <c r="I1101" t="s">
        <v>49</v>
      </c>
      <c r="J1101" t="s">
        <v>20</v>
      </c>
      <c r="K1101">
        <v>30</v>
      </c>
    </row>
    <row r="1102" spans="1:12" x14ac:dyDescent="0.2">
      <c r="A1102" t="s">
        <v>2765</v>
      </c>
      <c r="B1102" t="s">
        <v>2766</v>
      </c>
      <c r="C1102" t="s">
        <v>53</v>
      </c>
      <c r="D1102" t="s">
        <v>61</v>
      </c>
      <c r="E1102" t="s">
        <v>118</v>
      </c>
      <c r="F1102" t="s">
        <v>2492</v>
      </c>
      <c r="G1102" t="s">
        <v>33</v>
      </c>
      <c r="H1102">
        <v>440.56</v>
      </c>
      <c r="I1102" t="s">
        <v>49</v>
      </c>
      <c r="J1102" t="s">
        <v>26</v>
      </c>
      <c r="K1102">
        <v>42</v>
      </c>
    </row>
    <row r="1103" spans="1:12" x14ac:dyDescent="0.2">
      <c r="A1103" t="s">
        <v>2767</v>
      </c>
      <c r="B1103" t="s">
        <v>2768</v>
      </c>
      <c r="C1103" t="s">
        <v>117</v>
      </c>
      <c r="D1103" t="s">
        <v>80</v>
      </c>
      <c r="E1103" t="s">
        <v>31</v>
      </c>
      <c r="F1103" t="s">
        <v>362</v>
      </c>
      <c r="G1103" t="s">
        <v>33</v>
      </c>
      <c r="H1103">
        <v>455.08</v>
      </c>
      <c r="I1103" t="s">
        <v>65</v>
      </c>
      <c r="J1103" t="s">
        <v>26</v>
      </c>
      <c r="K1103">
        <v>35</v>
      </c>
      <c r="L1103">
        <v>5</v>
      </c>
    </row>
    <row r="1104" spans="1:12" x14ac:dyDescent="0.2">
      <c r="A1104" t="s">
        <v>2769</v>
      </c>
      <c r="B1104" t="s">
        <v>2770</v>
      </c>
      <c r="C1104" t="s">
        <v>117</v>
      </c>
      <c r="D1104" t="s">
        <v>15</v>
      </c>
      <c r="E1104" t="s">
        <v>198</v>
      </c>
      <c r="F1104" t="s">
        <v>1082</v>
      </c>
      <c r="G1104" t="s">
        <v>40</v>
      </c>
      <c r="H1104">
        <v>207.79</v>
      </c>
      <c r="I1104" t="s">
        <v>19</v>
      </c>
      <c r="J1104" t="s">
        <v>41</v>
      </c>
      <c r="K1104">
        <v>77</v>
      </c>
      <c r="L1104">
        <v>3</v>
      </c>
    </row>
    <row r="1105" spans="1:12" x14ac:dyDescent="0.2">
      <c r="A1105" t="s">
        <v>2771</v>
      </c>
      <c r="B1105" t="s">
        <v>718</v>
      </c>
      <c r="C1105" t="s">
        <v>44</v>
      </c>
      <c r="D1105" t="s">
        <v>54</v>
      </c>
      <c r="E1105" t="s">
        <v>113</v>
      </c>
      <c r="F1105" t="s">
        <v>1752</v>
      </c>
      <c r="G1105" t="s">
        <v>64</v>
      </c>
      <c r="H1105">
        <v>450.39</v>
      </c>
      <c r="I1105" t="s">
        <v>122</v>
      </c>
      <c r="J1105" t="s">
        <v>50</v>
      </c>
      <c r="K1105">
        <v>43</v>
      </c>
      <c r="L1105">
        <v>1</v>
      </c>
    </row>
    <row r="1106" spans="1:12" x14ac:dyDescent="0.2">
      <c r="A1106" t="s">
        <v>2772</v>
      </c>
      <c r="B1106" t="s">
        <v>2773</v>
      </c>
      <c r="C1106" t="s">
        <v>53</v>
      </c>
      <c r="D1106" t="s">
        <v>74</v>
      </c>
      <c r="E1106" t="s">
        <v>62</v>
      </c>
      <c r="F1106" t="s">
        <v>914</v>
      </c>
      <c r="G1106" t="s">
        <v>77</v>
      </c>
      <c r="H1106">
        <v>103.39</v>
      </c>
      <c r="I1106" t="s">
        <v>19</v>
      </c>
      <c r="J1106" t="s">
        <v>26</v>
      </c>
      <c r="K1106">
        <v>62</v>
      </c>
      <c r="L1106">
        <v>5</v>
      </c>
    </row>
    <row r="1107" spans="1:12" x14ac:dyDescent="0.2">
      <c r="A1107" t="s">
        <v>2774</v>
      </c>
      <c r="B1107" t="s">
        <v>2775</v>
      </c>
      <c r="C1107" t="s">
        <v>60</v>
      </c>
      <c r="D1107" t="s">
        <v>80</v>
      </c>
      <c r="E1107" t="s">
        <v>62</v>
      </c>
      <c r="F1107" t="s">
        <v>2776</v>
      </c>
      <c r="G1107" t="s">
        <v>48</v>
      </c>
      <c r="H1107">
        <v>264.77999999999997</v>
      </c>
      <c r="I1107" t="s">
        <v>122</v>
      </c>
      <c r="J1107" t="s">
        <v>41</v>
      </c>
      <c r="K1107">
        <v>24</v>
      </c>
      <c r="L1107">
        <v>5</v>
      </c>
    </row>
    <row r="1108" spans="1:12" x14ac:dyDescent="0.2">
      <c r="A1108" t="s">
        <v>2777</v>
      </c>
      <c r="B1108" t="s">
        <v>2778</v>
      </c>
      <c r="C1108" t="s">
        <v>23</v>
      </c>
      <c r="D1108" t="s">
        <v>89</v>
      </c>
      <c r="E1108" t="s">
        <v>272</v>
      </c>
      <c r="F1108" t="s">
        <v>756</v>
      </c>
      <c r="G1108" t="s">
        <v>77</v>
      </c>
      <c r="H1108">
        <v>66.87</v>
      </c>
      <c r="I1108" t="s">
        <v>19</v>
      </c>
      <c r="J1108" t="s">
        <v>50</v>
      </c>
      <c r="K1108">
        <v>62</v>
      </c>
      <c r="L1108">
        <v>1</v>
      </c>
    </row>
    <row r="1109" spans="1:12" x14ac:dyDescent="0.2">
      <c r="A1109" t="s">
        <v>2779</v>
      </c>
      <c r="B1109" t="s">
        <v>2780</v>
      </c>
      <c r="C1109" t="s">
        <v>53</v>
      </c>
      <c r="D1109" t="s">
        <v>74</v>
      </c>
      <c r="E1109" t="s">
        <v>69</v>
      </c>
      <c r="F1109" t="s">
        <v>378</v>
      </c>
      <c r="G1109" t="s">
        <v>40</v>
      </c>
      <c r="H1109">
        <v>374</v>
      </c>
      <c r="I1109" t="s">
        <v>65</v>
      </c>
      <c r="J1109" t="s">
        <v>41</v>
      </c>
      <c r="K1109">
        <v>35</v>
      </c>
    </row>
    <row r="1110" spans="1:12" x14ac:dyDescent="0.2">
      <c r="A1110" t="s">
        <v>2781</v>
      </c>
      <c r="B1110" t="s">
        <v>2623</v>
      </c>
      <c r="C1110" t="s">
        <v>68</v>
      </c>
      <c r="D1110" t="s">
        <v>37</v>
      </c>
      <c r="E1110" t="s">
        <v>62</v>
      </c>
      <c r="F1110" t="s">
        <v>158</v>
      </c>
      <c r="G1110" t="s">
        <v>18</v>
      </c>
      <c r="H1110">
        <v>357.8</v>
      </c>
      <c r="I1110" t="s">
        <v>49</v>
      </c>
      <c r="J1110" t="s">
        <v>41</v>
      </c>
      <c r="K1110">
        <v>70</v>
      </c>
      <c r="L1110">
        <v>5</v>
      </c>
    </row>
    <row r="1111" spans="1:12" x14ac:dyDescent="0.2">
      <c r="A1111" t="s">
        <v>2782</v>
      </c>
      <c r="B1111" t="s">
        <v>2783</v>
      </c>
      <c r="C1111" t="s">
        <v>29</v>
      </c>
      <c r="D1111" t="s">
        <v>125</v>
      </c>
      <c r="E1111" t="s">
        <v>75</v>
      </c>
      <c r="F1111" t="s">
        <v>2784</v>
      </c>
      <c r="G1111" t="s">
        <v>64</v>
      </c>
      <c r="H1111">
        <v>65.77</v>
      </c>
      <c r="I1111" t="s">
        <v>19</v>
      </c>
      <c r="J1111" t="s">
        <v>20</v>
      </c>
      <c r="K1111">
        <v>73</v>
      </c>
      <c r="L1111">
        <v>3</v>
      </c>
    </row>
    <row r="1112" spans="1:12" x14ac:dyDescent="0.2">
      <c r="A1112" t="s">
        <v>2785</v>
      </c>
      <c r="B1112" t="s">
        <v>2786</v>
      </c>
      <c r="C1112" t="s">
        <v>23</v>
      </c>
      <c r="D1112" t="s">
        <v>80</v>
      </c>
      <c r="E1112" t="s">
        <v>302</v>
      </c>
      <c r="F1112" t="s">
        <v>2787</v>
      </c>
      <c r="G1112" t="s">
        <v>64</v>
      </c>
      <c r="H1112">
        <v>53.8</v>
      </c>
      <c r="I1112" t="s">
        <v>122</v>
      </c>
      <c r="J1112" t="s">
        <v>50</v>
      </c>
      <c r="K1112">
        <v>16</v>
      </c>
      <c r="L1112">
        <v>4</v>
      </c>
    </row>
    <row r="1113" spans="1:12" x14ac:dyDescent="0.2">
      <c r="A1113" t="s">
        <v>2788</v>
      </c>
      <c r="B1113" t="s">
        <v>2789</v>
      </c>
      <c r="C1113" t="s">
        <v>14</v>
      </c>
      <c r="D1113" t="s">
        <v>89</v>
      </c>
      <c r="E1113" t="s">
        <v>97</v>
      </c>
      <c r="F1113" t="s">
        <v>288</v>
      </c>
      <c r="G1113" t="s">
        <v>57</v>
      </c>
      <c r="H1113">
        <v>195.43</v>
      </c>
      <c r="I1113" t="s">
        <v>65</v>
      </c>
      <c r="J1113" t="s">
        <v>41</v>
      </c>
      <c r="K1113">
        <v>24</v>
      </c>
      <c r="L1113">
        <v>4</v>
      </c>
    </row>
    <row r="1114" spans="1:12" x14ac:dyDescent="0.2">
      <c r="A1114" t="s">
        <v>2790</v>
      </c>
      <c r="B1114" t="s">
        <v>2791</v>
      </c>
      <c r="C1114" t="s">
        <v>44</v>
      </c>
      <c r="D1114" t="s">
        <v>80</v>
      </c>
      <c r="E1114" t="s">
        <v>144</v>
      </c>
      <c r="F1114" t="s">
        <v>1200</v>
      </c>
      <c r="G1114" t="s">
        <v>64</v>
      </c>
      <c r="H1114">
        <v>56.74</v>
      </c>
      <c r="I1114" t="s">
        <v>122</v>
      </c>
      <c r="J1114" t="s">
        <v>26</v>
      </c>
      <c r="K1114">
        <v>44</v>
      </c>
      <c r="L1114">
        <v>2</v>
      </c>
    </row>
    <row r="1115" spans="1:12" x14ac:dyDescent="0.2">
      <c r="A1115" t="s">
        <v>2792</v>
      </c>
      <c r="B1115" t="s">
        <v>2793</v>
      </c>
      <c r="C1115" t="s">
        <v>73</v>
      </c>
      <c r="D1115" t="s">
        <v>61</v>
      </c>
      <c r="E1115" t="s">
        <v>129</v>
      </c>
      <c r="F1115" t="s">
        <v>2269</v>
      </c>
      <c r="G1115" t="s">
        <v>57</v>
      </c>
      <c r="H1115">
        <v>242.48</v>
      </c>
      <c r="I1115" t="s">
        <v>49</v>
      </c>
      <c r="J1115" t="s">
        <v>26</v>
      </c>
      <c r="K1115">
        <v>69</v>
      </c>
    </row>
    <row r="1116" spans="1:12" x14ac:dyDescent="0.2">
      <c r="A1116" t="s">
        <v>2794</v>
      </c>
      <c r="B1116" t="s">
        <v>2795</v>
      </c>
      <c r="C1116" t="s">
        <v>117</v>
      </c>
      <c r="D1116" t="s">
        <v>89</v>
      </c>
      <c r="E1116" t="s">
        <v>154</v>
      </c>
      <c r="F1116" t="s">
        <v>1077</v>
      </c>
      <c r="G1116" t="s">
        <v>33</v>
      </c>
      <c r="H1116">
        <v>193.31</v>
      </c>
      <c r="I1116" t="s">
        <v>122</v>
      </c>
      <c r="J1116" t="s">
        <v>50</v>
      </c>
      <c r="K1116">
        <v>87</v>
      </c>
    </row>
    <row r="1117" spans="1:12" x14ac:dyDescent="0.2">
      <c r="A1117" t="s">
        <v>2796</v>
      </c>
      <c r="B1117" t="s">
        <v>835</v>
      </c>
      <c r="C1117" t="s">
        <v>73</v>
      </c>
      <c r="D1117" t="s">
        <v>74</v>
      </c>
      <c r="E1117" t="s">
        <v>161</v>
      </c>
      <c r="F1117" t="s">
        <v>2797</v>
      </c>
      <c r="G1117" t="s">
        <v>77</v>
      </c>
      <c r="H1117">
        <v>393.54</v>
      </c>
      <c r="I1117" t="s">
        <v>49</v>
      </c>
      <c r="J1117" t="s">
        <v>41</v>
      </c>
      <c r="K1117">
        <v>86</v>
      </c>
      <c r="L1117">
        <v>5</v>
      </c>
    </row>
    <row r="1118" spans="1:12" x14ac:dyDescent="0.2">
      <c r="A1118" t="s">
        <v>2798</v>
      </c>
      <c r="B1118" t="s">
        <v>2799</v>
      </c>
      <c r="C1118" t="s">
        <v>29</v>
      </c>
      <c r="D1118" t="s">
        <v>139</v>
      </c>
      <c r="E1118" t="s">
        <v>16</v>
      </c>
      <c r="F1118" t="s">
        <v>2800</v>
      </c>
      <c r="G1118" t="s">
        <v>48</v>
      </c>
      <c r="H1118">
        <v>441.13</v>
      </c>
      <c r="I1118" t="s">
        <v>19</v>
      </c>
      <c r="J1118" t="s">
        <v>26</v>
      </c>
      <c r="K1118">
        <v>79</v>
      </c>
      <c r="L1118">
        <v>5</v>
      </c>
    </row>
    <row r="1119" spans="1:12" x14ac:dyDescent="0.2">
      <c r="A1119" t="s">
        <v>2801</v>
      </c>
      <c r="B1119" t="s">
        <v>2802</v>
      </c>
      <c r="C1119" t="s">
        <v>14</v>
      </c>
      <c r="D1119" t="s">
        <v>80</v>
      </c>
      <c r="E1119" t="s">
        <v>272</v>
      </c>
      <c r="F1119" t="s">
        <v>1316</v>
      </c>
      <c r="G1119" t="s">
        <v>91</v>
      </c>
      <c r="H1119">
        <v>311.25</v>
      </c>
      <c r="I1119" t="s">
        <v>49</v>
      </c>
      <c r="J1119" t="s">
        <v>26</v>
      </c>
      <c r="K1119">
        <v>66</v>
      </c>
      <c r="L1119">
        <v>5</v>
      </c>
    </row>
    <row r="1120" spans="1:12" x14ac:dyDescent="0.2">
      <c r="A1120" t="s">
        <v>2803</v>
      </c>
      <c r="B1120" t="s">
        <v>2804</v>
      </c>
      <c r="C1120" t="s">
        <v>106</v>
      </c>
      <c r="D1120" t="s">
        <v>89</v>
      </c>
      <c r="E1120" t="s">
        <v>113</v>
      </c>
      <c r="F1120" t="s">
        <v>2805</v>
      </c>
      <c r="G1120" t="s">
        <v>18</v>
      </c>
      <c r="H1120">
        <v>471.45</v>
      </c>
      <c r="I1120" t="s">
        <v>65</v>
      </c>
      <c r="J1120" t="s">
        <v>50</v>
      </c>
      <c r="K1120">
        <v>23</v>
      </c>
      <c r="L1120">
        <v>4</v>
      </c>
    </row>
    <row r="1121" spans="1:12" x14ac:dyDescent="0.2">
      <c r="A1121" t="s">
        <v>2806</v>
      </c>
      <c r="B1121" t="s">
        <v>2274</v>
      </c>
      <c r="C1121" t="s">
        <v>106</v>
      </c>
      <c r="D1121" t="s">
        <v>15</v>
      </c>
      <c r="E1121" t="s">
        <v>97</v>
      </c>
      <c r="F1121" t="s">
        <v>403</v>
      </c>
      <c r="G1121" t="s">
        <v>57</v>
      </c>
      <c r="H1121">
        <v>245.47</v>
      </c>
      <c r="I1121" t="s">
        <v>122</v>
      </c>
      <c r="J1121" t="s">
        <v>50</v>
      </c>
      <c r="K1121">
        <v>52</v>
      </c>
      <c r="L1121">
        <v>3</v>
      </c>
    </row>
    <row r="1122" spans="1:12" x14ac:dyDescent="0.2">
      <c r="A1122" t="s">
        <v>2807</v>
      </c>
      <c r="B1122" t="s">
        <v>2808</v>
      </c>
      <c r="C1122" t="s">
        <v>68</v>
      </c>
      <c r="D1122" t="s">
        <v>74</v>
      </c>
      <c r="E1122" t="s">
        <v>349</v>
      </c>
      <c r="F1122" t="s">
        <v>1683</v>
      </c>
      <c r="G1122" t="s">
        <v>18</v>
      </c>
      <c r="H1122">
        <v>448.83</v>
      </c>
      <c r="I1122" t="s">
        <v>122</v>
      </c>
      <c r="J1122" t="s">
        <v>20</v>
      </c>
      <c r="K1122">
        <v>41</v>
      </c>
      <c r="L1122">
        <v>3</v>
      </c>
    </row>
    <row r="1123" spans="1:12" x14ac:dyDescent="0.2">
      <c r="A1123" t="s">
        <v>2809</v>
      </c>
      <c r="B1123" t="s">
        <v>2810</v>
      </c>
      <c r="C1123" t="s">
        <v>44</v>
      </c>
      <c r="D1123" t="s">
        <v>125</v>
      </c>
      <c r="E1123" t="s">
        <v>238</v>
      </c>
      <c r="F1123" t="s">
        <v>2811</v>
      </c>
      <c r="G1123" t="s">
        <v>33</v>
      </c>
      <c r="H1123">
        <v>66.12</v>
      </c>
      <c r="I1123" t="s">
        <v>49</v>
      </c>
      <c r="J1123" t="s">
        <v>20</v>
      </c>
      <c r="K1123">
        <v>61</v>
      </c>
      <c r="L1123">
        <v>2</v>
      </c>
    </row>
    <row r="1124" spans="1:12" x14ac:dyDescent="0.2">
      <c r="A1124" t="s">
        <v>2812</v>
      </c>
      <c r="B1124" t="s">
        <v>2813</v>
      </c>
      <c r="C1124" t="s">
        <v>106</v>
      </c>
      <c r="D1124" t="s">
        <v>125</v>
      </c>
      <c r="E1124" t="s">
        <v>118</v>
      </c>
      <c r="F1124" t="s">
        <v>1821</v>
      </c>
      <c r="G1124" t="s">
        <v>91</v>
      </c>
      <c r="H1124">
        <v>392.08</v>
      </c>
      <c r="I1124" t="s">
        <v>49</v>
      </c>
      <c r="J1124" t="s">
        <v>26</v>
      </c>
      <c r="K1124">
        <v>74</v>
      </c>
      <c r="L1124">
        <v>5</v>
      </c>
    </row>
    <row r="1125" spans="1:12" x14ac:dyDescent="0.2">
      <c r="A1125" t="s">
        <v>2814</v>
      </c>
      <c r="B1125" t="s">
        <v>2815</v>
      </c>
      <c r="C1125" t="s">
        <v>29</v>
      </c>
      <c r="D1125" t="s">
        <v>89</v>
      </c>
      <c r="E1125" t="s">
        <v>81</v>
      </c>
      <c r="F1125" t="s">
        <v>2269</v>
      </c>
      <c r="G1125" t="s">
        <v>33</v>
      </c>
      <c r="H1125">
        <v>134.24</v>
      </c>
      <c r="I1125" t="s">
        <v>49</v>
      </c>
      <c r="J1125" t="s">
        <v>50</v>
      </c>
      <c r="K1125">
        <v>65</v>
      </c>
      <c r="L1125">
        <v>4</v>
      </c>
    </row>
    <row r="1126" spans="1:12" x14ac:dyDescent="0.2">
      <c r="A1126" t="s">
        <v>2816</v>
      </c>
      <c r="B1126" t="s">
        <v>2678</v>
      </c>
      <c r="C1126" t="s">
        <v>68</v>
      </c>
      <c r="D1126" t="s">
        <v>37</v>
      </c>
      <c r="E1126" t="s">
        <v>180</v>
      </c>
      <c r="F1126" t="s">
        <v>956</v>
      </c>
      <c r="G1126" t="s">
        <v>57</v>
      </c>
      <c r="H1126">
        <v>260.39</v>
      </c>
      <c r="I1126" t="s">
        <v>65</v>
      </c>
      <c r="J1126" t="s">
        <v>41</v>
      </c>
      <c r="K1126">
        <v>85</v>
      </c>
      <c r="L1126">
        <v>4</v>
      </c>
    </row>
    <row r="1127" spans="1:12" x14ac:dyDescent="0.2">
      <c r="A1127" t="s">
        <v>2817</v>
      </c>
      <c r="B1127" t="s">
        <v>2818</v>
      </c>
      <c r="C1127" t="s">
        <v>73</v>
      </c>
      <c r="D1127" t="s">
        <v>15</v>
      </c>
      <c r="E1127" t="s">
        <v>24</v>
      </c>
      <c r="F1127" t="s">
        <v>177</v>
      </c>
      <c r="G1127" t="s">
        <v>33</v>
      </c>
      <c r="H1127">
        <v>486.11</v>
      </c>
      <c r="I1127" t="s">
        <v>49</v>
      </c>
      <c r="J1127" t="s">
        <v>41</v>
      </c>
      <c r="K1127">
        <v>18</v>
      </c>
    </row>
    <row r="1128" spans="1:12" x14ac:dyDescent="0.2">
      <c r="A1128" t="s">
        <v>2819</v>
      </c>
      <c r="B1128" t="s">
        <v>2820</v>
      </c>
      <c r="C1128" t="s">
        <v>29</v>
      </c>
      <c r="D1128" t="s">
        <v>89</v>
      </c>
      <c r="E1128" t="s">
        <v>55</v>
      </c>
      <c r="F1128" t="s">
        <v>2410</v>
      </c>
      <c r="G1128" t="s">
        <v>57</v>
      </c>
      <c r="H1128">
        <v>416.61</v>
      </c>
      <c r="I1128" t="s">
        <v>19</v>
      </c>
      <c r="J1128" t="s">
        <v>50</v>
      </c>
      <c r="K1128">
        <v>68</v>
      </c>
      <c r="L1128">
        <v>4</v>
      </c>
    </row>
    <row r="1129" spans="1:12" x14ac:dyDescent="0.2">
      <c r="A1129" t="s">
        <v>2821</v>
      </c>
      <c r="B1129" t="s">
        <v>2822</v>
      </c>
      <c r="C1129" t="s">
        <v>23</v>
      </c>
      <c r="D1129" t="s">
        <v>61</v>
      </c>
      <c r="E1129" t="s">
        <v>302</v>
      </c>
      <c r="F1129" t="s">
        <v>2823</v>
      </c>
      <c r="G1129" t="s">
        <v>77</v>
      </c>
      <c r="H1129">
        <v>155.77000000000001</v>
      </c>
      <c r="I1129" t="s">
        <v>122</v>
      </c>
      <c r="J1129" t="s">
        <v>20</v>
      </c>
      <c r="K1129">
        <v>20</v>
      </c>
      <c r="L1129">
        <v>4</v>
      </c>
    </row>
    <row r="1130" spans="1:12" x14ac:dyDescent="0.2">
      <c r="A1130" t="s">
        <v>2824</v>
      </c>
      <c r="B1130" t="s">
        <v>2825</v>
      </c>
      <c r="C1130" t="s">
        <v>29</v>
      </c>
      <c r="D1130" t="s">
        <v>54</v>
      </c>
      <c r="E1130" t="s">
        <v>118</v>
      </c>
      <c r="F1130" t="s">
        <v>724</v>
      </c>
      <c r="G1130" t="s">
        <v>48</v>
      </c>
      <c r="H1130">
        <v>338.03</v>
      </c>
      <c r="I1130" t="s">
        <v>65</v>
      </c>
      <c r="J1130" t="s">
        <v>26</v>
      </c>
      <c r="K1130">
        <v>45</v>
      </c>
      <c r="L1130">
        <v>5</v>
      </c>
    </row>
    <row r="1131" spans="1:12" x14ac:dyDescent="0.2">
      <c r="A1131" t="s">
        <v>2826</v>
      </c>
      <c r="B1131" t="s">
        <v>2827</v>
      </c>
      <c r="C1131" t="s">
        <v>106</v>
      </c>
      <c r="D1131" t="s">
        <v>61</v>
      </c>
      <c r="E1131" t="s">
        <v>81</v>
      </c>
      <c r="F1131" t="s">
        <v>2415</v>
      </c>
      <c r="G1131" t="s">
        <v>91</v>
      </c>
      <c r="H1131">
        <v>491.68</v>
      </c>
      <c r="I1131" t="s">
        <v>19</v>
      </c>
      <c r="J1131" t="s">
        <v>20</v>
      </c>
      <c r="K1131">
        <v>87</v>
      </c>
      <c r="L1131">
        <v>4</v>
      </c>
    </row>
    <row r="1132" spans="1:12" x14ac:dyDescent="0.2">
      <c r="A1132" t="s">
        <v>2828</v>
      </c>
      <c r="B1132" t="s">
        <v>2829</v>
      </c>
      <c r="C1132" t="s">
        <v>29</v>
      </c>
      <c r="D1132" t="s">
        <v>61</v>
      </c>
      <c r="E1132" t="s">
        <v>102</v>
      </c>
      <c r="F1132" t="s">
        <v>2212</v>
      </c>
      <c r="G1132" t="s">
        <v>91</v>
      </c>
      <c r="H1132">
        <v>68.81</v>
      </c>
      <c r="I1132" t="s">
        <v>65</v>
      </c>
      <c r="J1132" t="s">
        <v>50</v>
      </c>
      <c r="K1132">
        <v>29</v>
      </c>
      <c r="L1132">
        <v>3</v>
      </c>
    </row>
    <row r="1133" spans="1:12" x14ac:dyDescent="0.2">
      <c r="A1133" t="s">
        <v>2830</v>
      </c>
      <c r="B1133" t="s">
        <v>2831</v>
      </c>
      <c r="C1133" t="s">
        <v>29</v>
      </c>
      <c r="D1133" t="s">
        <v>74</v>
      </c>
      <c r="E1133" t="s">
        <v>238</v>
      </c>
      <c r="F1133" t="s">
        <v>528</v>
      </c>
      <c r="G1133" t="s">
        <v>64</v>
      </c>
      <c r="H1133">
        <v>221.39</v>
      </c>
      <c r="I1133" t="s">
        <v>19</v>
      </c>
      <c r="J1133" t="s">
        <v>50</v>
      </c>
      <c r="K1133">
        <v>29</v>
      </c>
      <c r="L1133">
        <v>1</v>
      </c>
    </row>
    <row r="1134" spans="1:12" x14ac:dyDescent="0.2">
      <c r="A1134" t="s">
        <v>2832</v>
      </c>
      <c r="B1134" t="s">
        <v>2833</v>
      </c>
      <c r="C1134" t="s">
        <v>29</v>
      </c>
      <c r="D1134" t="s">
        <v>45</v>
      </c>
      <c r="E1134" t="s">
        <v>102</v>
      </c>
      <c r="F1134" t="s">
        <v>2834</v>
      </c>
      <c r="G1134" t="s">
        <v>77</v>
      </c>
      <c r="H1134">
        <v>165.77</v>
      </c>
      <c r="I1134" t="s">
        <v>49</v>
      </c>
      <c r="J1134" t="s">
        <v>50</v>
      </c>
      <c r="K1134">
        <v>18</v>
      </c>
      <c r="L1134">
        <v>1</v>
      </c>
    </row>
    <row r="1135" spans="1:12" x14ac:dyDescent="0.2">
      <c r="A1135" t="s">
        <v>2835</v>
      </c>
      <c r="B1135" t="s">
        <v>2836</v>
      </c>
      <c r="C1135" t="s">
        <v>23</v>
      </c>
      <c r="D1135" t="s">
        <v>80</v>
      </c>
      <c r="E1135" t="s">
        <v>16</v>
      </c>
      <c r="F1135" t="s">
        <v>2452</v>
      </c>
      <c r="G1135" t="s">
        <v>18</v>
      </c>
      <c r="H1135">
        <v>238.45</v>
      </c>
      <c r="I1135" t="s">
        <v>49</v>
      </c>
      <c r="J1135" t="s">
        <v>50</v>
      </c>
      <c r="K1135">
        <v>34</v>
      </c>
      <c r="L1135">
        <v>1</v>
      </c>
    </row>
    <row r="1136" spans="1:12" x14ac:dyDescent="0.2">
      <c r="A1136" t="s">
        <v>2837</v>
      </c>
      <c r="B1136" t="s">
        <v>2838</v>
      </c>
      <c r="C1136" t="s">
        <v>68</v>
      </c>
      <c r="D1136" t="s">
        <v>54</v>
      </c>
      <c r="E1136" t="s">
        <v>97</v>
      </c>
      <c r="F1136" t="s">
        <v>2839</v>
      </c>
      <c r="G1136" t="s">
        <v>91</v>
      </c>
      <c r="H1136">
        <v>99.17</v>
      </c>
      <c r="I1136" t="s">
        <v>122</v>
      </c>
      <c r="J1136" t="s">
        <v>50</v>
      </c>
      <c r="K1136">
        <v>42</v>
      </c>
      <c r="L1136">
        <v>3</v>
      </c>
    </row>
    <row r="1137" spans="1:12" x14ac:dyDescent="0.2">
      <c r="A1137" t="s">
        <v>2840</v>
      </c>
      <c r="B1137" t="s">
        <v>2841</v>
      </c>
      <c r="C1137" t="s">
        <v>53</v>
      </c>
      <c r="D1137" t="s">
        <v>15</v>
      </c>
      <c r="E1137" t="s">
        <v>343</v>
      </c>
      <c r="F1137" t="s">
        <v>1982</v>
      </c>
      <c r="G1137" t="s">
        <v>64</v>
      </c>
      <c r="H1137">
        <v>170.16</v>
      </c>
      <c r="I1137" t="s">
        <v>19</v>
      </c>
      <c r="J1137" t="s">
        <v>20</v>
      </c>
      <c r="K1137">
        <v>46</v>
      </c>
      <c r="L1137">
        <v>1</v>
      </c>
    </row>
    <row r="1138" spans="1:12" x14ac:dyDescent="0.2">
      <c r="A1138" t="s">
        <v>2842</v>
      </c>
      <c r="B1138" t="s">
        <v>711</v>
      </c>
      <c r="C1138" t="s">
        <v>44</v>
      </c>
      <c r="D1138" t="s">
        <v>89</v>
      </c>
      <c r="E1138" t="s">
        <v>85</v>
      </c>
      <c r="F1138" t="s">
        <v>2843</v>
      </c>
      <c r="G1138" t="s">
        <v>48</v>
      </c>
      <c r="H1138">
        <v>264.47000000000003</v>
      </c>
      <c r="I1138" t="s">
        <v>122</v>
      </c>
      <c r="J1138" t="s">
        <v>50</v>
      </c>
      <c r="K1138">
        <v>77</v>
      </c>
      <c r="L1138">
        <v>3</v>
      </c>
    </row>
    <row r="1139" spans="1:12" x14ac:dyDescent="0.2">
      <c r="A1139" t="s">
        <v>2844</v>
      </c>
      <c r="B1139" t="s">
        <v>2845</v>
      </c>
      <c r="C1139" t="s">
        <v>106</v>
      </c>
      <c r="D1139" t="s">
        <v>45</v>
      </c>
      <c r="E1139" t="s">
        <v>140</v>
      </c>
      <c r="F1139" t="s">
        <v>63</v>
      </c>
      <c r="G1139" t="s">
        <v>77</v>
      </c>
      <c r="H1139">
        <v>378.48</v>
      </c>
      <c r="I1139" t="s">
        <v>65</v>
      </c>
      <c r="J1139" t="s">
        <v>41</v>
      </c>
      <c r="K1139">
        <v>58</v>
      </c>
      <c r="L1139">
        <v>3</v>
      </c>
    </row>
    <row r="1140" spans="1:12" x14ac:dyDescent="0.2">
      <c r="A1140" t="s">
        <v>2846</v>
      </c>
      <c r="B1140" t="s">
        <v>2847</v>
      </c>
      <c r="C1140" t="s">
        <v>60</v>
      </c>
      <c r="D1140" t="s">
        <v>45</v>
      </c>
      <c r="E1140" t="s">
        <v>161</v>
      </c>
      <c r="F1140" t="s">
        <v>2776</v>
      </c>
      <c r="G1140" t="s">
        <v>91</v>
      </c>
      <c r="H1140">
        <v>293.67</v>
      </c>
      <c r="I1140" t="s">
        <v>49</v>
      </c>
      <c r="J1140" t="s">
        <v>50</v>
      </c>
      <c r="K1140">
        <v>52</v>
      </c>
      <c r="L1140">
        <v>4</v>
      </c>
    </row>
    <row r="1141" spans="1:12" x14ac:dyDescent="0.2">
      <c r="A1141" t="s">
        <v>2848</v>
      </c>
      <c r="B1141" t="s">
        <v>2681</v>
      </c>
      <c r="C1141" t="s">
        <v>23</v>
      </c>
      <c r="D1141" t="s">
        <v>45</v>
      </c>
      <c r="E1141" t="s">
        <v>16</v>
      </c>
      <c r="F1141" t="s">
        <v>1627</v>
      </c>
      <c r="G1141" t="s">
        <v>33</v>
      </c>
      <c r="H1141">
        <v>223.58</v>
      </c>
      <c r="I1141" t="s">
        <v>19</v>
      </c>
      <c r="J1141" t="s">
        <v>50</v>
      </c>
      <c r="K1141">
        <v>23</v>
      </c>
      <c r="L1141">
        <v>3</v>
      </c>
    </row>
    <row r="1142" spans="1:12" x14ac:dyDescent="0.2">
      <c r="A1142" t="s">
        <v>2849</v>
      </c>
      <c r="B1142" t="s">
        <v>2850</v>
      </c>
      <c r="C1142" t="s">
        <v>44</v>
      </c>
      <c r="D1142" t="s">
        <v>45</v>
      </c>
      <c r="E1142" t="s">
        <v>161</v>
      </c>
      <c r="F1142" t="s">
        <v>2851</v>
      </c>
      <c r="G1142" t="s">
        <v>40</v>
      </c>
      <c r="H1142">
        <v>80.48</v>
      </c>
      <c r="I1142" t="s">
        <v>49</v>
      </c>
      <c r="J1142" t="s">
        <v>20</v>
      </c>
      <c r="K1142">
        <v>30</v>
      </c>
    </row>
    <row r="1143" spans="1:12" x14ac:dyDescent="0.2">
      <c r="A1143" t="s">
        <v>2852</v>
      </c>
      <c r="B1143" t="s">
        <v>2853</v>
      </c>
      <c r="C1143" t="s">
        <v>60</v>
      </c>
      <c r="D1143" t="s">
        <v>15</v>
      </c>
      <c r="E1143" t="s">
        <v>55</v>
      </c>
      <c r="F1143" t="s">
        <v>2854</v>
      </c>
      <c r="G1143" t="s">
        <v>33</v>
      </c>
      <c r="H1143">
        <v>362.74</v>
      </c>
      <c r="I1143" t="s">
        <v>49</v>
      </c>
      <c r="J1143" t="s">
        <v>50</v>
      </c>
      <c r="K1143">
        <v>68</v>
      </c>
      <c r="L1143">
        <v>5</v>
      </c>
    </row>
    <row r="1144" spans="1:12" x14ac:dyDescent="0.2">
      <c r="A1144" t="s">
        <v>2855</v>
      </c>
      <c r="B1144" t="s">
        <v>2856</v>
      </c>
      <c r="C1144" t="s">
        <v>73</v>
      </c>
      <c r="D1144" t="s">
        <v>80</v>
      </c>
      <c r="E1144" t="s">
        <v>154</v>
      </c>
      <c r="F1144" t="s">
        <v>2857</v>
      </c>
      <c r="G1144" t="s">
        <v>18</v>
      </c>
      <c r="H1144">
        <v>56.67</v>
      </c>
      <c r="I1144" t="s">
        <v>19</v>
      </c>
      <c r="J1144" t="s">
        <v>50</v>
      </c>
      <c r="K1144">
        <v>67</v>
      </c>
      <c r="L1144">
        <v>1</v>
      </c>
    </row>
    <row r="1145" spans="1:12" x14ac:dyDescent="0.2">
      <c r="A1145" t="s">
        <v>2858</v>
      </c>
      <c r="B1145" t="s">
        <v>2859</v>
      </c>
      <c r="C1145" t="s">
        <v>44</v>
      </c>
      <c r="D1145" t="s">
        <v>74</v>
      </c>
      <c r="E1145" t="s">
        <v>180</v>
      </c>
      <c r="F1145" t="s">
        <v>158</v>
      </c>
      <c r="G1145" t="s">
        <v>33</v>
      </c>
      <c r="H1145">
        <v>144.16</v>
      </c>
      <c r="I1145" t="s">
        <v>49</v>
      </c>
      <c r="J1145" t="s">
        <v>50</v>
      </c>
      <c r="K1145">
        <v>75</v>
      </c>
    </row>
    <row r="1146" spans="1:12" x14ac:dyDescent="0.2">
      <c r="A1146" t="s">
        <v>2860</v>
      </c>
      <c r="B1146" t="s">
        <v>2861</v>
      </c>
      <c r="C1146" t="s">
        <v>68</v>
      </c>
      <c r="D1146" t="s">
        <v>89</v>
      </c>
      <c r="E1146" t="s">
        <v>161</v>
      </c>
      <c r="F1146" t="s">
        <v>1969</v>
      </c>
      <c r="G1146" t="s">
        <v>18</v>
      </c>
      <c r="H1146">
        <v>262.79000000000002</v>
      </c>
      <c r="I1146" t="s">
        <v>19</v>
      </c>
      <c r="J1146" t="s">
        <v>20</v>
      </c>
      <c r="K1146">
        <v>41</v>
      </c>
    </row>
    <row r="1147" spans="1:12" x14ac:dyDescent="0.2">
      <c r="A1147" t="s">
        <v>2862</v>
      </c>
      <c r="B1147" t="s">
        <v>2863</v>
      </c>
      <c r="C1147" t="s">
        <v>73</v>
      </c>
      <c r="D1147" t="s">
        <v>89</v>
      </c>
      <c r="E1147" t="s">
        <v>257</v>
      </c>
      <c r="F1147" t="s">
        <v>254</v>
      </c>
      <c r="G1147" t="s">
        <v>57</v>
      </c>
      <c r="H1147">
        <v>195.05</v>
      </c>
      <c r="I1147" t="s">
        <v>122</v>
      </c>
      <c r="J1147" t="s">
        <v>41</v>
      </c>
      <c r="K1147">
        <v>50</v>
      </c>
      <c r="L1147">
        <v>5</v>
      </c>
    </row>
    <row r="1148" spans="1:12" x14ac:dyDescent="0.2">
      <c r="A1148" t="s">
        <v>2864</v>
      </c>
      <c r="B1148" t="s">
        <v>2313</v>
      </c>
      <c r="C1148" t="s">
        <v>23</v>
      </c>
      <c r="D1148" t="s">
        <v>15</v>
      </c>
      <c r="E1148" t="s">
        <v>46</v>
      </c>
      <c r="F1148" t="s">
        <v>997</v>
      </c>
      <c r="G1148" t="s">
        <v>64</v>
      </c>
      <c r="H1148">
        <v>103.59</v>
      </c>
      <c r="I1148" t="s">
        <v>122</v>
      </c>
      <c r="J1148" t="s">
        <v>41</v>
      </c>
      <c r="K1148">
        <v>17</v>
      </c>
      <c r="L1148">
        <v>4</v>
      </c>
    </row>
    <row r="1149" spans="1:12" x14ac:dyDescent="0.2">
      <c r="A1149" t="s">
        <v>2865</v>
      </c>
      <c r="B1149" t="s">
        <v>2529</v>
      </c>
      <c r="C1149" t="s">
        <v>44</v>
      </c>
      <c r="D1149" t="s">
        <v>54</v>
      </c>
      <c r="E1149" t="s">
        <v>118</v>
      </c>
      <c r="F1149" t="s">
        <v>1386</v>
      </c>
      <c r="G1149" t="s">
        <v>18</v>
      </c>
      <c r="H1149">
        <v>134.37</v>
      </c>
      <c r="I1149" t="s">
        <v>65</v>
      </c>
      <c r="J1149" t="s">
        <v>50</v>
      </c>
      <c r="K1149">
        <v>49</v>
      </c>
      <c r="L1149">
        <v>5</v>
      </c>
    </row>
    <row r="1150" spans="1:12" x14ac:dyDescent="0.2">
      <c r="A1150" t="s">
        <v>2866</v>
      </c>
      <c r="B1150" t="s">
        <v>2867</v>
      </c>
      <c r="C1150" t="s">
        <v>53</v>
      </c>
      <c r="D1150" t="s">
        <v>61</v>
      </c>
      <c r="E1150" t="s">
        <v>154</v>
      </c>
      <c r="F1150" t="s">
        <v>2868</v>
      </c>
      <c r="G1150" t="s">
        <v>91</v>
      </c>
      <c r="H1150">
        <v>125.73</v>
      </c>
      <c r="I1150" t="s">
        <v>122</v>
      </c>
      <c r="J1150" t="s">
        <v>41</v>
      </c>
      <c r="K1150">
        <v>77</v>
      </c>
      <c r="L1150">
        <v>4</v>
      </c>
    </row>
    <row r="1151" spans="1:12" x14ac:dyDescent="0.2">
      <c r="A1151" t="s">
        <v>2869</v>
      </c>
      <c r="B1151" t="s">
        <v>2870</v>
      </c>
      <c r="C1151" t="s">
        <v>44</v>
      </c>
      <c r="D1151" t="s">
        <v>139</v>
      </c>
      <c r="E1151" t="s">
        <v>31</v>
      </c>
      <c r="F1151" t="s">
        <v>1274</v>
      </c>
      <c r="G1151" t="s">
        <v>18</v>
      </c>
      <c r="H1151">
        <v>301.86</v>
      </c>
      <c r="I1151" t="s">
        <v>122</v>
      </c>
      <c r="J1151" t="s">
        <v>50</v>
      </c>
      <c r="K1151">
        <v>20</v>
      </c>
    </row>
    <row r="1152" spans="1:12" x14ac:dyDescent="0.2">
      <c r="A1152" t="s">
        <v>2871</v>
      </c>
      <c r="B1152" t="s">
        <v>2872</v>
      </c>
      <c r="C1152" t="s">
        <v>68</v>
      </c>
      <c r="D1152" t="s">
        <v>74</v>
      </c>
      <c r="E1152" t="s">
        <v>75</v>
      </c>
      <c r="F1152" t="s">
        <v>1502</v>
      </c>
      <c r="G1152" t="s">
        <v>40</v>
      </c>
      <c r="H1152">
        <v>74.89</v>
      </c>
      <c r="I1152" t="s">
        <v>19</v>
      </c>
      <c r="J1152" t="s">
        <v>26</v>
      </c>
      <c r="K1152">
        <v>67</v>
      </c>
      <c r="L1152">
        <v>3</v>
      </c>
    </row>
    <row r="1153" spans="1:12" x14ac:dyDescent="0.2">
      <c r="A1153" t="s">
        <v>2873</v>
      </c>
      <c r="B1153" t="s">
        <v>2874</v>
      </c>
      <c r="C1153" t="s">
        <v>60</v>
      </c>
      <c r="D1153" t="s">
        <v>37</v>
      </c>
      <c r="E1153" t="s">
        <v>69</v>
      </c>
      <c r="F1153" t="s">
        <v>580</v>
      </c>
      <c r="G1153" t="s">
        <v>57</v>
      </c>
      <c r="H1153">
        <v>346.84</v>
      </c>
      <c r="I1153" t="s">
        <v>65</v>
      </c>
      <c r="J1153" t="s">
        <v>20</v>
      </c>
      <c r="K1153">
        <v>24</v>
      </c>
      <c r="L1153">
        <v>4</v>
      </c>
    </row>
    <row r="1154" spans="1:12" x14ac:dyDescent="0.2">
      <c r="A1154" t="s">
        <v>2875</v>
      </c>
      <c r="B1154" t="s">
        <v>2876</v>
      </c>
      <c r="C1154" t="s">
        <v>60</v>
      </c>
      <c r="D1154" t="s">
        <v>139</v>
      </c>
      <c r="E1154" t="s">
        <v>317</v>
      </c>
      <c r="F1154" t="s">
        <v>2877</v>
      </c>
      <c r="G1154" t="s">
        <v>40</v>
      </c>
      <c r="H1154">
        <v>408.05</v>
      </c>
      <c r="I1154" t="s">
        <v>122</v>
      </c>
      <c r="J1154" t="s">
        <v>26</v>
      </c>
      <c r="K1154">
        <v>69</v>
      </c>
      <c r="L1154">
        <v>3</v>
      </c>
    </row>
    <row r="1155" spans="1:12" x14ac:dyDescent="0.2">
      <c r="A1155" t="s">
        <v>2878</v>
      </c>
      <c r="B1155" t="s">
        <v>2879</v>
      </c>
      <c r="C1155" t="s">
        <v>23</v>
      </c>
      <c r="D1155" t="s">
        <v>139</v>
      </c>
      <c r="E1155" t="s">
        <v>118</v>
      </c>
      <c r="F1155" t="s">
        <v>1113</v>
      </c>
      <c r="G1155" t="s">
        <v>18</v>
      </c>
      <c r="H1155">
        <v>381.25</v>
      </c>
      <c r="I1155" t="s">
        <v>19</v>
      </c>
      <c r="J1155" t="s">
        <v>26</v>
      </c>
      <c r="K1155">
        <v>62</v>
      </c>
      <c r="L1155">
        <v>1</v>
      </c>
    </row>
    <row r="1156" spans="1:12" x14ac:dyDescent="0.2">
      <c r="A1156" t="s">
        <v>2880</v>
      </c>
      <c r="B1156" t="s">
        <v>1030</v>
      </c>
      <c r="C1156" t="s">
        <v>68</v>
      </c>
      <c r="D1156" t="s">
        <v>45</v>
      </c>
      <c r="E1156" t="s">
        <v>238</v>
      </c>
      <c r="F1156" t="s">
        <v>1587</v>
      </c>
      <c r="G1156" t="s">
        <v>48</v>
      </c>
      <c r="H1156">
        <v>437.22</v>
      </c>
      <c r="I1156" t="s">
        <v>19</v>
      </c>
      <c r="J1156" t="s">
        <v>50</v>
      </c>
      <c r="K1156">
        <v>73</v>
      </c>
    </row>
    <row r="1157" spans="1:12" x14ac:dyDescent="0.2">
      <c r="A1157" t="s">
        <v>2881</v>
      </c>
      <c r="B1157" t="s">
        <v>2882</v>
      </c>
      <c r="C1157" t="s">
        <v>53</v>
      </c>
      <c r="D1157" t="s">
        <v>89</v>
      </c>
      <c r="E1157" t="s">
        <v>302</v>
      </c>
      <c r="F1157" t="s">
        <v>2883</v>
      </c>
      <c r="G1157" t="s">
        <v>40</v>
      </c>
      <c r="H1157">
        <v>492.05</v>
      </c>
      <c r="I1157" t="s">
        <v>65</v>
      </c>
      <c r="J1157" t="s">
        <v>50</v>
      </c>
      <c r="K1157">
        <v>26</v>
      </c>
      <c r="L1157">
        <v>3</v>
      </c>
    </row>
    <row r="1158" spans="1:12" x14ac:dyDescent="0.2">
      <c r="A1158" t="s">
        <v>2884</v>
      </c>
      <c r="B1158" t="s">
        <v>2885</v>
      </c>
      <c r="C1158" t="s">
        <v>117</v>
      </c>
      <c r="D1158" t="s">
        <v>61</v>
      </c>
      <c r="E1158" t="s">
        <v>473</v>
      </c>
      <c r="F1158" t="s">
        <v>1235</v>
      </c>
      <c r="G1158" t="s">
        <v>18</v>
      </c>
      <c r="H1158">
        <v>205.01</v>
      </c>
      <c r="I1158" t="s">
        <v>19</v>
      </c>
      <c r="J1158" t="s">
        <v>20</v>
      </c>
      <c r="K1158">
        <v>68</v>
      </c>
      <c r="L1158">
        <v>3</v>
      </c>
    </row>
    <row r="1159" spans="1:12" x14ac:dyDescent="0.2">
      <c r="A1159" t="s">
        <v>2886</v>
      </c>
      <c r="B1159" t="s">
        <v>2887</v>
      </c>
      <c r="C1159" t="s">
        <v>68</v>
      </c>
      <c r="D1159" t="s">
        <v>54</v>
      </c>
      <c r="E1159" t="s">
        <v>144</v>
      </c>
      <c r="F1159" t="s">
        <v>1855</v>
      </c>
      <c r="G1159" t="s">
        <v>77</v>
      </c>
      <c r="H1159">
        <v>71.31</v>
      </c>
      <c r="I1159" t="s">
        <v>49</v>
      </c>
      <c r="J1159" t="s">
        <v>20</v>
      </c>
      <c r="K1159">
        <v>16</v>
      </c>
      <c r="L1159">
        <v>1</v>
      </c>
    </row>
    <row r="1160" spans="1:12" x14ac:dyDescent="0.2">
      <c r="A1160" t="s">
        <v>2888</v>
      </c>
      <c r="B1160" t="s">
        <v>2889</v>
      </c>
      <c r="C1160" t="s">
        <v>14</v>
      </c>
      <c r="D1160" t="s">
        <v>15</v>
      </c>
      <c r="E1160" t="s">
        <v>97</v>
      </c>
      <c r="F1160" t="s">
        <v>1195</v>
      </c>
      <c r="G1160" t="s">
        <v>91</v>
      </c>
      <c r="H1160">
        <v>128.94999999999999</v>
      </c>
      <c r="I1160" t="s">
        <v>122</v>
      </c>
      <c r="J1160" t="s">
        <v>41</v>
      </c>
      <c r="K1160">
        <v>17</v>
      </c>
      <c r="L1160">
        <v>5</v>
      </c>
    </row>
    <row r="1161" spans="1:12" x14ac:dyDescent="0.2">
      <c r="A1161" t="s">
        <v>2890</v>
      </c>
      <c r="B1161" t="s">
        <v>2891</v>
      </c>
      <c r="C1161" t="s">
        <v>23</v>
      </c>
      <c r="D1161" t="s">
        <v>125</v>
      </c>
      <c r="E1161" t="s">
        <v>62</v>
      </c>
      <c r="F1161" t="s">
        <v>381</v>
      </c>
      <c r="G1161" t="s">
        <v>57</v>
      </c>
      <c r="H1161">
        <v>335.33</v>
      </c>
      <c r="I1161" t="s">
        <v>122</v>
      </c>
      <c r="J1161" t="s">
        <v>26</v>
      </c>
      <c r="K1161">
        <v>71</v>
      </c>
    </row>
    <row r="1162" spans="1:12" x14ac:dyDescent="0.2">
      <c r="A1162" t="s">
        <v>2892</v>
      </c>
      <c r="B1162" t="s">
        <v>2893</v>
      </c>
      <c r="C1162" t="s">
        <v>68</v>
      </c>
      <c r="D1162" t="s">
        <v>54</v>
      </c>
      <c r="E1162" t="s">
        <v>257</v>
      </c>
      <c r="F1162" t="s">
        <v>1425</v>
      </c>
      <c r="G1162" t="s">
        <v>91</v>
      </c>
      <c r="H1162">
        <v>151.38999999999999</v>
      </c>
      <c r="I1162" t="s">
        <v>49</v>
      </c>
      <c r="J1162" t="s">
        <v>50</v>
      </c>
      <c r="K1162">
        <v>61</v>
      </c>
      <c r="L1162">
        <v>1</v>
      </c>
    </row>
    <row r="1163" spans="1:12" x14ac:dyDescent="0.2">
      <c r="A1163" t="s">
        <v>2894</v>
      </c>
      <c r="B1163" t="s">
        <v>201</v>
      </c>
      <c r="C1163" t="s">
        <v>29</v>
      </c>
      <c r="D1163" t="s">
        <v>45</v>
      </c>
      <c r="E1163" t="s">
        <v>81</v>
      </c>
      <c r="F1163" t="s">
        <v>686</v>
      </c>
      <c r="G1163" t="s">
        <v>33</v>
      </c>
      <c r="H1163">
        <v>207.48</v>
      </c>
      <c r="I1163" t="s">
        <v>65</v>
      </c>
      <c r="J1163" t="s">
        <v>26</v>
      </c>
      <c r="K1163">
        <v>36</v>
      </c>
    </row>
    <row r="1164" spans="1:12" x14ac:dyDescent="0.2">
      <c r="A1164" t="s">
        <v>2895</v>
      </c>
      <c r="B1164" t="s">
        <v>2896</v>
      </c>
      <c r="C1164" t="s">
        <v>117</v>
      </c>
      <c r="D1164" t="s">
        <v>125</v>
      </c>
      <c r="E1164" t="s">
        <v>31</v>
      </c>
      <c r="F1164" t="s">
        <v>2897</v>
      </c>
      <c r="G1164" t="s">
        <v>33</v>
      </c>
      <c r="H1164">
        <v>91.48</v>
      </c>
      <c r="I1164" t="s">
        <v>65</v>
      </c>
      <c r="J1164" t="s">
        <v>41</v>
      </c>
      <c r="K1164">
        <v>18</v>
      </c>
      <c r="L1164">
        <v>4</v>
      </c>
    </row>
    <row r="1165" spans="1:12" x14ac:dyDescent="0.2">
      <c r="A1165" t="s">
        <v>2898</v>
      </c>
      <c r="B1165" t="s">
        <v>2899</v>
      </c>
      <c r="C1165" t="s">
        <v>68</v>
      </c>
      <c r="D1165" t="s">
        <v>54</v>
      </c>
      <c r="E1165" t="s">
        <v>69</v>
      </c>
      <c r="F1165" t="s">
        <v>2519</v>
      </c>
      <c r="G1165" t="s">
        <v>77</v>
      </c>
      <c r="H1165">
        <v>323.57</v>
      </c>
      <c r="I1165" t="s">
        <v>19</v>
      </c>
      <c r="J1165" t="s">
        <v>20</v>
      </c>
      <c r="K1165">
        <v>49</v>
      </c>
      <c r="L1165">
        <v>4</v>
      </c>
    </row>
    <row r="1166" spans="1:12" x14ac:dyDescent="0.2">
      <c r="A1166" t="s">
        <v>2900</v>
      </c>
      <c r="B1166" t="s">
        <v>2901</v>
      </c>
      <c r="C1166" t="s">
        <v>73</v>
      </c>
      <c r="D1166" t="s">
        <v>139</v>
      </c>
      <c r="E1166" t="s">
        <v>154</v>
      </c>
      <c r="F1166" t="s">
        <v>1235</v>
      </c>
      <c r="G1166" t="s">
        <v>77</v>
      </c>
      <c r="H1166">
        <v>384.45</v>
      </c>
      <c r="I1166" t="s">
        <v>65</v>
      </c>
      <c r="J1166" t="s">
        <v>50</v>
      </c>
      <c r="K1166">
        <v>34</v>
      </c>
    </row>
    <row r="1167" spans="1:12" x14ac:dyDescent="0.2">
      <c r="A1167" t="s">
        <v>2902</v>
      </c>
      <c r="B1167" t="s">
        <v>2903</v>
      </c>
      <c r="C1167" t="s">
        <v>73</v>
      </c>
      <c r="D1167" t="s">
        <v>80</v>
      </c>
      <c r="E1167" t="s">
        <v>118</v>
      </c>
      <c r="F1167" t="s">
        <v>2904</v>
      </c>
      <c r="G1167" t="s">
        <v>33</v>
      </c>
      <c r="H1167">
        <v>414.69</v>
      </c>
      <c r="I1167" t="s">
        <v>19</v>
      </c>
      <c r="J1167" t="s">
        <v>20</v>
      </c>
      <c r="K1167">
        <v>52</v>
      </c>
      <c r="L1167">
        <v>4</v>
      </c>
    </row>
    <row r="1168" spans="1:12" x14ac:dyDescent="0.2">
      <c r="A1168" t="s">
        <v>2905</v>
      </c>
      <c r="B1168" t="s">
        <v>2906</v>
      </c>
      <c r="C1168" t="s">
        <v>29</v>
      </c>
      <c r="D1168" t="s">
        <v>89</v>
      </c>
      <c r="E1168" t="s">
        <v>46</v>
      </c>
      <c r="F1168" t="s">
        <v>540</v>
      </c>
      <c r="G1168" t="s">
        <v>33</v>
      </c>
      <c r="H1168">
        <v>145.36000000000001</v>
      </c>
      <c r="I1168" t="s">
        <v>49</v>
      </c>
      <c r="J1168" t="s">
        <v>50</v>
      </c>
      <c r="K1168">
        <v>56</v>
      </c>
      <c r="L1168">
        <v>3</v>
      </c>
    </row>
    <row r="1169" spans="1:12" x14ac:dyDescent="0.2">
      <c r="A1169" t="s">
        <v>2907</v>
      </c>
      <c r="B1169" t="s">
        <v>2908</v>
      </c>
      <c r="C1169" t="s">
        <v>14</v>
      </c>
      <c r="D1169" t="s">
        <v>15</v>
      </c>
      <c r="E1169" t="s">
        <v>349</v>
      </c>
      <c r="F1169" t="s">
        <v>2909</v>
      </c>
      <c r="G1169" t="s">
        <v>40</v>
      </c>
      <c r="H1169">
        <v>473.44</v>
      </c>
      <c r="I1169" t="s">
        <v>65</v>
      </c>
      <c r="J1169" t="s">
        <v>26</v>
      </c>
      <c r="K1169">
        <v>41</v>
      </c>
      <c r="L1169">
        <v>1</v>
      </c>
    </row>
    <row r="1170" spans="1:12" x14ac:dyDescent="0.2">
      <c r="A1170" t="s">
        <v>2910</v>
      </c>
      <c r="B1170" t="s">
        <v>2911</v>
      </c>
      <c r="C1170" t="s">
        <v>29</v>
      </c>
      <c r="D1170" t="s">
        <v>80</v>
      </c>
      <c r="E1170" t="s">
        <v>198</v>
      </c>
      <c r="F1170" t="s">
        <v>1428</v>
      </c>
      <c r="G1170" t="s">
        <v>40</v>
      </c>
      <c r="H1170">
        <v>346.4</v>
      </c>
      <c r="I1170" t="s">
        <v>49</v>
      </c>
      <c r="J1170" t="s">
        <v>41</v>
      </c>
      <c r="K1170">
        <v>55</v>
      </c>
    </row>
    <row r="1171" spans="1:12" x14ac:dyDescent="0.2">
      <c r="A1171" t="s">
        <v>2912</v>
      </c>
      <c r="B1171" t="s">
        <v>2913</v>
      </c>
      <c r="C1171" t="s">
        <v>117</v>
      </c>
      <c r="D1171" t="s">
        <v>89</v>
      </c>
      <c r="E1171" t="s">
        <v>132</v>
      </c>
      <c r="F1171" t="s">
        <v>2352</v>
      </c>
      <c r="G1171" t="s">
        <v>57</v>
      </c>
      <c r="H1171">
        <v>368.89</v>
      </c>
      <c r="I1171" t="s">
        <v>49</v>
      </c>
      <c r="J1171" t="s">
        <v>41</v>
      </c>
      <c r="K1171">
        <v>35</v>
      </c>
      <c r="L1171">
        <v>3</v>
      </c>
    </row>
    <row r="1172" spans="1:12" x14ac:dyDescent="0.2">
      <c r="A1172" t="s">
        <v>2914</v>
      </c>
      <c r="B1172" t="s">
        <v>2915</v>
      </c>
      <c r="C1172" t="s">
        <v>44</v>
      </c>
      <c r="D1172" t="s">
        <v>139</v>
      </c>
      <c r="E1172" t="s">
        <v>132</v>
      </c>
      <c r="F1172" t="s">
        <v>437</v>
      </c>
      <c r="G1172" t="s">
        <v>40</v>
      </c>
      <c r="H1172">
        <v>131.38</v>
      </c>
      <c r="I1172" t="s">
        <v>65</v>
      </c>
      <c r="J1172" t="s">
        <v>41</v>
      </c>
      <c r="K1172">
        <v>43</v>
      </c>
    </row>
    <row r="1173" spans="1:12" x14ac:dyDescent="0.2">
      <c r="A1173" t="s">
        <v>2916</v>
      </c>
      <c r="B1173" t="s">
        <v>1255</v>
      </c>
      <c r="C1173" t="s">
        <v>73</v>
      </c>
      <c r="D1173" t="s">
        <v>80</v>
      </c>
      <c r="E1173" t="s">
        <v>55</v>
      </c>
      <c r="F1173" t="s">
        <v>239</v>
      </c>
      <c r="G1173" t="s">
        <v>40</v>
      </c>
      <c r="H1173">
        <v>493.01</v>
      </c>
      <c r="I1173" t="s">
        <v>65</v>
      </c>
      <c r="J1173" t="s">
        <v>20</v>
      </c>
      <c r="K1173">
        <v>23</v>
      </c>
    </row>
    <row r="1174" spans="1:12" x14ac:dyDescent="0.2">
      <c r="A1174" t="s">
        <v>2917</v>
      </c>
      <c r="B1174" t="s">
        <v>2918</v>
      </c>
      <c r="C1174" t="s">
        <v>44</v>
      </c>
      <c r="D1174" t="s">
        <v>89</v>
      </c>
      <c r="E1174" t="s">
        <v>62</v>
      </c>
      <c r="F1174" t="s">
        <v>119</v>
      </c>
      <c r="G1174" t="s">
        <v>33</v>
      </c>
      <c r="H1174">
        <v>426.34</v>
      </c>
      <c r="I1174" t="s">
        <v>49</v>
      </c>
      <c r="J1174" t="s">
        <v>26</v>
      </c>
      <c r="K1174">
        <v>71</v>
      </c>
    </row>
    <row r="1175" spans="1:12" x14ac:dyDescent="0.2">
      <c r="A1175" t="s">
        <v>2919</v>
      </c>
      <c r="B1175" t="s">
        <v>848</v>
      </c>
      <c r="C1175" t="s">
        <v>29</v>
      </c>
      <c r="D1175" t="s">
        <v>37</v>
      </c>
      <c r="E1175" t="s">
        <v>24</v>
      </c>
      <c r="F1175" t="s">
        <v>1719</v>
      </c>
      <c r="G1175" t="s">
        <v>64</v>
      </c>
      <c r="H1175">
        <v>483.53</v>
      </c>
      <c r="I1175" t="s">
        <v>122</v>
      </c>
      <c r="J1175" t="s">
        <v>26</v>
      </c>
      <c r="K1175">
        <v>60</v>
      </c>
      <c r="L1175">
        <v>1</v>
      </c>
    </row>
    <row r="1176" spans="1:12" x14ac:dyDescent="0.2">
      <c r="A1176" t="s">
        <v>2920</v>
      </c>
      <c r="B1176" t="s">
        <v>2921</v>
      </c>
      <c r="C1176" t="s">
        <v>68</v>
      </c>
      <c r="D1176" t="s">
        <v>54</v>
      </c>
      <c r="E1176" t="s">
        <v>16</v>
      </c>
      <c r="F1176" t="s">
        <v>1567</v>
      </c>
      <c r="G1176" t="s">
        <v>18</v>
      </c>
      <c r="H1176">
        <v>150.94</v>
      </c>
      <c r="I1176" t="s">
        <v>49</v>
      </c>
      <c r="J1176" t="s">
        <v>26</v>
      </c>
      <c r="K1176">
        <v>88</v>
      </c>
    </row>
    <row r="1177" spans="1:12" x14ac:dyDescent="0.2">
      <c r="A1177" t="s">
        <v>2922</v>
      </c>
      <c r="B1177" t="s">
        <v>305</v>
      </c>
      <c r="C1177" t="s">
        <v>29</v>
      </c>
      <c r="D1177" t="s">
        <v>125</v>
      </c>
      <c r="E1177" t="s">
        <v>85</v>
      </c>
      <c r="F1177" t="s">
        <v>2923</v>
      </c>
      <c r="G1177" t="s">
        <v>48</v>
      </c>
      <c r="H1177">
        <v>101.8</v>
      </c>
      <c r="I1177" t="s">
        <v>19</v>
      </c>
      <c r="J1177" t="s">
        <v>26</v>
      </c>
      <c r="K1177">
        <v>74</v>
      </c>
      <c r="L1177">
        <v>1</v>
      </c>
    </row>
    <row r="1178" spans="1:12" x14ac:dyDescent="0.2">
      <c r="A1178" t="s">
        <v>2924</v>
      </c>
      <c r="B1178" t="s">
        <v>2925</v>
      </c>
      <c r="C1178" t="s">
        <v>117</v>
      </c>
      <c r="D1178" t="s">
        <v>139</v>
      </c>
      <c r="E1178" t="s">
        <v>302</v>
      </c>
      <c r="F1178" t="s">
        <v>2203</v>
      </c>
      <c r="G1178" t="s">
        <v>57</v>
      </c>
      <c r="H1178">
        <v>166.3</v>
      </c>
      <c r="I1178" t="s">
        <v>65</v>
      </c>
      <c r="J1178" t="s">
        <v>50</v>
      </c>
      <c r="K1178">
        <v>74</v>
      </c>
    </row>
    <row r="1179" spans="1:12" x14ac:dyDescent="0.2">
      <c r="A1179" t="s">
        <v>2926</v>
      </c>
      <c r="B1179" t="s">
        <v>2927</v>
      </c>
      <c r="C1179" t="s">
        <v>44</v>
      </c>
      <c r="D1179" t="s">
        <v>45</v>
      </c>
      <c r="E1179" t="s">
        <v>302</v>
      </c>
      <c r="F1179" t="s">
        <v>2033</v>
      </c>
      <c r="G1179" t="s">
        <v>77</v>
      </c>
      <c r="H1179">
        <v>254.57</v>
      </c>
      <c r="I1179" t="s">
        <v>65</v>
      </c>
      <c r="J1179" t="s">
        <v>26</v>
      </c>
      <c r="K1179">
        <v>71</v>
      </c>
      <c r="L1179">
        <v>3</v>
      </c>
    </row>
    <row r="1180" spans="1:12" x14ac:dyDescent="0.2">
      <c r="A1180" t="s">
        <v>2928</v>
      </c>
      <c r="B1180" t="s">
        <v>2929</v>
      </c>
      <c r="C1180" t="s">
        <v>117</v>
      </c>
      <c r="D1180" t="s">
        <v>74</v>
      </c>
      <c r="E1180" t="s">
        <v>102</v>
      </c>
      <c r="F1180" t="s">
        <v>513</v>
      </c>
      <c r="G1180" t="s">
        <v>57</v>
      </c>
      <c r="H1180">
        <v>56.64</v>
      </c>
      <c r="I1180" t="s">
        <v>19</v>
      </c>
      <c r="J1180" t="s">
        <v>26</v>
      </c>
      <c r="K1180">
        <v>21</v>
      </c>
      <c r="L1180">
        <v>3</v>
      </c>
    </row>
    <row r="1181" spans="1:12" x14ac:dyDescent="0.2">
      <c r="A1181" t="s">
        <v>2930</v>
      </c>
      <c r="B1181" t="s">
        <v>2931</v>
      </c>
      <c r="C1181" t="s">
        <v>60</v>
      </c>
      <c r="D1181" t="s">
        <v>15</v>
      </c>
      <c r="E1181" t="s">
        <v>140</v>
      </c>
      <c r="F1181" t="s">
        <v>1395</v>
      </c>
      <c r="G1181" t="s">
        <v>77</v>
      </c>
      <c r="H1181">
        <v>117.75</v>
      </c>
      <c r="I1181" t="s">
        <v>65</v>
      </c>
      <c r="J1181" t="s">
        <v>41</v>
      </c>
      <c r="K1181">
        <v>73</v>
      </c>
      <c r="L1181">
        <v>5</v>
      </c>
    </row>
    <row r="1182" spans="1:12" x14ac:dyDescent="0.2">
      <c r="A1182" t="s">
        <v>2932</v>
      </c>
      <c r="B1182" t="s">
        <v>2933</v>
      </c>
      <c r="C1182" t="s">
        <v>68</v>
      </c>
      <c r="D1182" t="s">
        <v>15</v>
      </c>
      <c r="E1182" t="s">
        <v>81</v>
      </c>
      <c r="F1182" t="s">
        <v>2934</v>
      </c>
      <c r="G1182" t="s">
        <v>18</v>
      </c>
      <c r="H1182">
        <v>271.47000000000003</v>
      </c>
      <c r="I1182" t="s">
        <v>122</v>
      </c>
      <c r="J1182" t="s">
        <v>26</v>
      </c>
      <c r="K1182">
        <v>55</v>
      </c>
    </row>
    <row r="1183" spans="1:12" x14ac:dyDescent="0.2">
      <c r="A1183" t="s">
        <v>2935</v>
      </c>
      <c r="B1183" t="s">
        <v>2936</v>
      </c>
      <c r="C1183" t="s">
        <v>23</v>
      </c>
      <c r="D1183" t="s">
        <v>61</v>
      </c>
      <c r="E1183" t="s">
        <v>180</v>
      </c>
      <c r="F1183" t="s">
        <v>1360</v>
      </c>
      <c r="G1183" t="s">
        <v>91</v>
      </c>
      <c r="H1183">
        <v>379.01</v>
      </c>
      <c r="I1183" t="s">
        <v>49</v>
      </c>
      <c r="J1183" t="s">
        <v>26</v>
      </c>
      <c r="K1183">
        <v>59</v>
      </c>
      <c r="L1183">
        <v>1</v>
      </c>
    </row>
    <row r="1184" spans="1:12" x14ac:dyDescent="0.2">
      <c r="A1184" t="s">
        <v>2937</v>
      </c>
      <c r="B1184" t="s">
        <v>1680</v>
      </c>
      <c r="C1184" t="s">
        <v>44</v>
      </c>
      <c r="D1184" t="s">
        <v>89</v>
      </c>
      <c r="E1184" t="s">
        <v>97</v>
      </c>
      <c r="F1184" t="s">
        <v>2839</v>
      </c>
      <c r="G1184" t="s">
        <v>48</v>
      </c>
      <c r="H1184">
        <v>332.51</v>
      </c>
      <c r="I1184" t="s">
        <v>19</v>
      </c>
      <c r="J1184" t="s">
        <v>41</v>
      </c>
      <c r="K1184">
        <v>75</v>
      </c>
      <c r="L1184">
        <v>1</v>
      </c>
    </row>
    <row r="1185" spans="1:12" x14ac:dyDescent="0.2">
      <c r="A1185" t="s">
        <v>2938</v>
      </c>
      <c r="B1185" t="s">
        <v>2939</v>
      </c>
      <c r="C1185" t="s">
        <v>117</v>
      </c>
      <c r="D1185" t="s">
        <v>139</v>
      </c>
      <c r="E1185" t="s">
        <v>85</v>
      </c>
      <c r="F1185" t="s">
        <v>470</v>
      </c>
      <c r="G1185" t="s">
        <v>40</v>
      </c>
      <c r="H1185">
        <v>83.3</v>
      </c>
      <c r="I1185" t="s">
        <v>19</v>
      </c>
      <c r="J1185" t="s">
        <v>26</v>
      </c>
      <c r="K1185">
        <v>90</v>
      </c>
      <c r="L1185">
        <v>2</v>
      </c>
    </row>
    <row r="1186" spans="1:12" x14ac:dyDescent="0.2">
      <c r="A1186" t="s">
        <v>2940</v>
      </c>
      <c r="B1186" t="s">
        <v>2941</v>
      </c>
      <c r="C1186" t="s">
        <v>44</v>
      </c>
      <c r="D1186" t="s">
        <v>139</v>
      </c>
      <c r="E1186" t="s">
        <v>46</v>
      </c>
      <c r="F1186" t="s">
        <v>1562</v>
      </c>
      <c r="G1186" t="s">
        <v>91</v>
      </c>
      <c r="H1186">
        <v>322</v>
      </c>
      <c r="I1186" t="s">
        <v>65</v>
      </c>
      <c r="J1186" t="s">
        <v>26</v>
      </c>
      <c r="K1186">
        <v>56</v>
      </c>
      <c r="L1186">
        <v>4</v>
      </c>
    </row>
    <row r="1187" spans="1:12" x14ac:dyDescent="0.2">
      <c r="A1187" t="s">
        <v>2942</v>
      </c>
      <c r="B1187" t="s">
        <v>2943</v>
      </c>
      <c r="C1187" t="s">
        <v>60</v>
      </c>
      <c r="D1187" t="s">
        <v>89</v>
      </c>
      <c r="E1187" t="s">
        <v>16</v>
      </c>
      <c r="F1187" t="s">
        <v>2944</v>
      </c>
      <c r="G1187" t="s">
        <v>91</v>
      </c>
      <c r="H1187">
        <v>154.09</v>
      </c>
      <c r="I1187" t="s">
        <v>65</v>
      </c>
      <c r="J1187" t="s">
        <v>50</v>
      </c>
      <c r="K1187">
        <v>87</v>
      </c>
      <c r="L1187">
        <v>4</v>
      </c>
    </row>
    <row r="1188" spans="1:12" x14ac:dyDescent="0.2">
      <c r="A1188" t="s">
        <v>2945</v>
      </c>
      <c r="B1188" t="s">
        <v>2946</v>
      </c>
      <c r="C1188" t="s">
        <v>44</v>
      </c>
      <c r="D1188" t="s">
        <v>89</v>
      </c>
      <c r="E1188" t="s">
        <v>154</v>
      </c>
      <c r="F1188" t="s">
        <v>387</v>
      </c>
      <c r="G1188" t="s">
        <v>57</v>
      </c>
      <c r="H1188">
        <v>260.79000000000002</v>
      </c>
      <c r="I1188" t="s">
        <v>122</v>
      </c>
      <c r="J1188" t="s">
        <v>26</v>
      </c>
      <c r="K1188">
        <v>86</v>
      </c>
    </row>
    <row r="1189" spans="1:12" x14ac:dyDescent="0.2">
      <c r="A1189" t="s">
        <v>2947</v>
      </c>
      <c r="B1189" t="s">
        <v>2948</v>
      </c>
      <c r="C1189" t="s">
        <v>68</v>
      </c>
      <c r="D1189" t="s">
        <v>15</v>
      </c>
      <c r="E1189" t="s">
        <v>473</v>
      </c>
      <c r="F1189" t="s">
        <v>452</v>
      </c>
      <c r="G1189" t="s">
        <v>91</v>
      </c>
      <c r="H1189">
        <v>174.34</v>
      </c>
      <c r="I1189" t="s">
        <v>19</v>
      </c>
      <c r="J1189" t="s">
        <v>50</v>
      </c>
      <c r="K1189">
        <v>32</v>
      </c>
      <c r="L1189">
        <v>1</v>
      </c>
    </row>
    <row r="1190" spans="1:12" x14ac:dyDescent="0.2">
      <c r="A1190" t="s">
        <v>2949</v>
      </c>
      <c r="B1190" t="s">
        <v>2950</v>
      </c>
      <c r="C1190" t="s">
        <v>60</v>
      </c>
      <c r="D1190" t="s">
        <v>80</v>
      </c>
      <c r="E1190" t="s">
        <v>180</v>
      </c>
      <c r="F1190" t="s">
        <v>2951</v>
      </c>
      <c r="G1190" t="s">
        <v>64</v>
      </c>
      <c r="H1190">
        <v>364.03</v>
      </c>
      <c r="I1190" t="s">
        <v>49</v>
      </c>
      <c r="J1190" t="s">
        <v>20</v>
      </c>
      <c r="K1190">
        <v>25</v>
      </c>
    </row>
    <row r="1191" spans="1:12" x14ac:dyDescent="0.2">
      <c r="A1191" t="s">
        <v>2952</v>
      </c>
      <c r="B1191" t="s">
        <v>2953</v>
      </c>
      <c r="C1191" t="s">
        <v>44</v>
      </c>
      <c r="D1191" t="s">
        <v>80</v>
      </c>
      <c r="E1191" t="s">
        <v>302</v>
      </c>
      <c r="F1191" t="s">
        <v>1128</v>
      </c>
      <c r="G1191" t="s">
        <v>77</v>
      </c>
      <c r="H1191">
        <v>173.96</v>
      </c>
      <c r="I1191" t="s">
        <v>65</v>
      </c>
      <c r="J1191" t="s">
        <v>26</v>
      </c>
      <c r="K1191">
        <v>57</v>
      </c>
    </row>
    <row r="1192" spans="1:12" x14ac:dyDescent="0.2">
      <c r="A1192" t="s">
        <v>2954</v>
      </c>
      <c r="B1192" t="s">
        <v>2955</v>
      </c>
      <c r="C1192" t="s">
        <v>44</v>
      </c>
      <c r="D1192" t="s">
        <v>125</v>
      </c>
      <c r="E1192" t="s">
        <v>140</v>
      </c>
      <c r="F1192" t="s">
        <v>621</v>
      </c>
      <c r="G1192" t="s">
        <v>57</v>
      </c>
      <c r="H1192">
        <v>126.61</v>
      </c>
      <c r="I1192" t="s">
        <v>122</v>
      </c>
      <c r="J1192" t="s">
        <v>50</v>
      </c>
      <c r="K1192">
        <v>70</v>
      </c>
      <c r="L1192">
        <v>4</v>
      </c>
    </row>
    <row r="1193" spans="1:12" x14ac:dyDescent="0.2">
      <c r="A1193" t="s">
        <v>2956</v>
      </c>
      <c r="B1193" t="s">
        <v>2957</v>
      </c>
      <c r="C1193" t="s">
        <v>60</v>
      </c>
      <c r="D1193" t="s">
        <v>54</v>
      </c>
      <c r="E1193" t="s">
        <v>16</v>
      </c>
      <c r="F1193" t="s">
        <v>2800</v>
      </c>
      <c r="G1193" t="s">
        <v>57</v>
      </c>
      <c r="H1193">
        <v>357.8</v>
      </c>
      <c r="I1193" t="s">
        <v>49</v>
      </c>
      <c r="J1193" t="s">
        <v>20</v>
      </c>
      <c r="K1193">
        <v>42</v>
      </c>
      <c r="L1193">
        <v>1</v>
      </c>
    </row>
    <row r="1194" spans="1:12" x14ac:dyDescent="0.2">
      <c r="A1194" t="s">
        <v>2958</v>
      </c>
      <c r="B1194" t="s">
        <v>2927</v>
      </c>
      <c r="C1194" t="s">
        <v>29</v>
      </c>
      <c r="D1194" t="s">
        <v>61</v>
      </c>
      <c r="E1194" t="s">
        <v>238</v>
      </c>
      <c r="F1194" t="s">
        <v>356</v>
      </c>
      <c r="G1194" t="s">
        <v>33</v>
      </c>
      <c r="H1194">
        <v>248.38</v>
      </c>
      <c r="I1194" t="s">
        <v>65</v>
      </c>
      <c r="J1194" t="s">
        <v>50</v>
      </c>
      <c r="K1194">
        <v>75</v>
      </c>
      <c r="L1194">
        <v>1</v>
      </c>
    </row>
    <row r="1195" spans="1:12" x14ac:dyDescent="0.2">
      <c r="A1195" t="s">
        <v>2959</v>
      </c>
      <c r="B1195" t="s">
        <v>2960</v>
      </c>
      <c r="C1195" t="s">
        <v>29</v>
      </c>
      <c r="D1195" t="s">
        <v>61</v>
      </c>
      <c r="E1195" t="s">
        <v>102</v>
      </c>
      <c r="F1195" t="s">
        <v>733</v>
      </c>
      <c r="G1195" t="s">
        <v>48</v>
      </c>
      <c r="H1195">
        <v>389.27</v>
      </c>
      <c r="I1195" t="s">
        <v>49</v>
      </c>
      <c r="J1195" t="s">
        <v>20</v>
      </c>
      <c r="K1195">
        <v>86</v>
      </c>
      <c r="L1195">
        <v>4</v>
      </c>
    </row>
    <row r="1196" spans="1:12" x14ac:dyDescent="0.2">
      <c r="A1196" t="s">
        <v>2961</v>
      </c>
      <c r="B1196" t="s">
        <v>2962</v>
      </c>
      <c r="C1196" t="s">
        <v>53</v>
      </c>
      <c r="D1196" t="s">
        <v>80</v>
      </c>
      <c r="E1196" t="s">
        <v>81</v>
      </c>
      <c r="F1196" t="s">
        <v>866</v>
      </c>
      <c r="G1196" t="s">
        <v>33</v>
      </c>
      <c r="H1196">
        <v>179.34</v>
      </c>
      <c r="I1196" t="s">
        <v>65</v>
      </c>
      <c r="J1196" t="s">
        <v>26</v>
      </c>
      <c r="K1196">
        <v>52</v>
      </c>
      <c r="L1196">
        <v>2</v>
      </c>
    </row>
    <row r="1197" spans="1:12" x14ac:dyDescent="0.2">
      <c r="A1197" t="s">
        <v>2963</v>
      </c>
      <c r="B1197" t="s">
        <v>2964</v>
      </c>
      <c r="C1197" t="s">
        <v>117</v>
      </c>
      <c r="D1197" t="s">
        <v>89</v>
      </c>
      <c r="E1197" t="s">
        <v>272</v>
      </c>
      <c r="F1197" t="s">
        <v>470</v>
      </c>
      <c r="G1197" t="s">
        <v>57</v>
      </c>
      <c r="H1197">
        <v>170.7</v>
      </c>
      <c r="I1197" t="s">
        <v>65</v>
      </c>
      <c r="J1197" t="s">
        <v>41</v>
      </c>
      <c r="K1197">
        <v>71</v>
      </c>
      <c r="L1197">
        <v>5</v>
      </c>
    </row>
    <row r="1198" spans="1:12" x14ac:dyDescent="0.2">
      <c r="A1198" t="s">
        <v>2965</v>
      </c>
      <c r="B1198" t="s">
        <v>2966</v>
      </c>
      <c r="C1198" t="s">
        <v>29</v>
      </c>
      <c r="D1198" t="s">
        <v>61</v>
      </c>
      <c r="E1198" t="s">
        <v>46</v>
      </c>
      <c r="F1198" t="s">
        <v>2868</v>
      </c>
      <c r="G1198" t="s">
        <v>64</v>
      </c>
      <c r="H1198">
        <v>268.23</v>
      </c>
      <c r="I1198" t="s">
        <v>49</v>
      </c>
      <c r="J1198" t="s">
        <v>20</v>
      </c>
      <c r="K1198">
        <v>18</v>
      </c>
      <c r="L1198">
        <v>4</v>
      </c>
    </row>
    <row r="1199" spans="1:12" x14ac:dyDescent="0.2">
      <c r="A1199" t="s">
        <v>2967</v>
      </c>
      <c r="B1199" t="s">
        <v>2968</v>
      </c>
      <c r="C1199" t="s">
        <v>73</v>
      </c>
      <c r="D1199" t="s">
        <v>37</v>
      </c>
      <c r="E1199" t="s">
        <v>132</v>
      </c>
      <c r="F1199" t="s">
        <v>2969</v>
      </c>
      <c r="G1199" t="s">
        <v>64</v>
      </c>
      <c r="H1199">
        <v>371.99</v>
      </c>
      <c r="I1199" t="s">
        <v>19</v>
      </c>
      <c r="J1199" t="s">
        <v>20</v>
      </c>
      <c r="K1199">
        <v>81</v>
      </c>
      <c r="L1199">
        <v>2</v>
      </c>
    </row>
    <row r="1200" spans="1:12" x14ac:dyDescent="0.2">
      <c r="A1200" t="s">
        <v>2970</v>
      </c>
      <c r="B1200" t="s">
        <v>2971</v>
      </c>
      <c r="C1200" t="s">
        <v>117</v>
      </c>
      <c r="D1200" t="s">
        <v>61</v>
      </c>
      <c r="E1200" t="s">
        <v>31</v>
      </c>
      <c r="F1200" t="s">
        <v>692</v>
      </c>
      <c r="G1200" t="s">
        <v>40</v>
      </c>
      <c r="H1200">
        <v>169.32</v>
      </c>
      <c r="I1200" t="s">
        <v>19</v>
      </c>
      <c r="J1200" t="s">
        <v>41</v>
      </c>
      <c r="K1200">
        <v>80</v>
      </c>
      <c r="L1200">
        <v>3</v>
      </c>
    </row>
    <row r="1201" spans="1:11" x14ac:dyDescent="0.2">
      <c r="A1201" t="s">
        <v>2972</v>
      </c>
      <c r="B1201" t="s">
        <v>2973</v>
      </c>
      <c r="C1201" t="s">
        <v>73</v>
      </c>
      <c r="D1201" t="s">
        <v>139</v>
      </c>
      <c r="E1201" t="s">
        <v>132</v>
      </c>
      <c r="F1201" t="s">
        <v>1872</v>
      </c>
      <c r="G1201" t="s">
        <v>57</v>
      </c>
      <c r="H1201">
        <v>95.21</v>
      </c>
      <c r="I1201" t="s">
        <v>65</v>
      </c>
      <c r="J1201" t="s">
        <v>26</v>
      </c>
      <c r="K1201">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A8261-E8F3-406D-985B-4AA3D4B9A571}">
  <dimension ref="A1:B6"/>
  <sheetViews>
    <sheetView workbookViewId="0">
      <selection activeCell="B6" sqref="B6"/>
    </sheetView>
  </sheetViews>
  <sheetFormatPr defaultRowHeight="14.25" x14ac:dyDescent="0.2"/>
  <sheetData>
    <row r="1" spans="1:2" x14ac:dyDescent="0.2">
      <c r="A1" t="s">
        <v>2977</v>
      </c>
    </row>
    <row r="2" spans="1:2" x14ac:dyDescent="0.2">
      <c r="A2">
        <v>1</v>
      </c>
      <c r="B2" t="s">
        <v>2979</v>
      </c>
    </row>
    <row r="3" spans="1:2" x14ac:dyDescent="0.2">
      <c r="A3">
        <v>2</v>
      </c>
      <c r="B3" t="s">
        <v>2978</v>
      </c>
    </row>
    <row r="4" spans="1:2" x14ac:dyDescent="0.2">
      <c r="A4">
        <v>3</v>
      </c>
      <c r="B4" t="s">
        <v>2985</v>
      </c>
    </row>
    <row r="5" spans="1:2" x14ac:dyDescent="0.2">
      <c r="A5">
        <v>4</v>
      </c>
      <c r="B5" t="s">
        <v>2987</v>
      </c>
    </row>
    <row r="6" spans="1:2" x14ac:dyDescent="0.2">
      <c r="A6">
        <v>5</v>
      </c>
      <c r="B6" t="s">
        <v>2990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83040-1259-46A8-9CE0-BC694E59A534}">
  <sheetPr filterMode="1"/>
  <dimension ref="B1:P1202"/>
  <sheetViews>
    <sheetView workbookViewId="0">
      <selection activeCell="F1" sqref="F1"/>
    </sheetView>
  </sheetViews>
  <sheetFormatPr defaultRowHeight="14.25" x14ac:dyDescent="0.2"/>
  <cols>
    <col min="1" max="1" width="2.25" customWidth="1"/>
    <col min="2" max="2" width="10.125" bestFit="1" customWidth="1"/>
    <col min="3" max="3" width="11.875" bestFit="1" customWidth="1"/>
    <col min="4" max="4" width="17.25" bestFit="1" customWidth="1"/>
    <col min="5" max="5" width="14.625" bestFit="1" customWidth="1"/>
    <col min="6" max="6" width="10.75" style="4" bestFit="1" customWidth="1"/>
    <col min="7" max="7" width="10.75" style="4" customWidth="1"/>
    <col min="8" max="9" width="10.75" style="11" customWidth="1"/>
    <col min="10" max="10" width="11" style="7" bestFit="1" customWidth="1"/>
    <col min="11" max="11" width="14" bestFit="1" customWidth="1"/>
    <col min="12" max="12" width="13.375" bestFit="1" customWidth="1"/>
    <col min="13" max="13" width="15.75" bestFit="1" customWidth="1"/>
    <col min="15" max="15" width="18.25" bestFit="1" customWidth="1"/>
    <col min="16" max="16" width="6.625" bestFit="1" customWidth="1"/>
  </cols>
  <sheetData>
    <row r="1" spans="2:16" ht="17.25" customHeight="1" x14ac:dyDescent="0.2"/>
    <row r="2" spans="2:16" ht="15.75" x14ac:dyDescent="0.2">
      <c r="B2" s="3" t="s">
        <v>0</v>
      </c>
      <c r="C2" s="3" t="s">
        <v>1</v>
      </c>
      <c r="D2" s="3" t="s">
        <v>2</v>
      </c>
      <c r="E2" s="3" t="s">
        <v>3</v>
      </c>
      <c r="F2" s="5" t="s">
        <v>4</v>
      </c>
      <c r="G2" s="5" t="s">
        <v>2974</v>
      </c>
      <c r="H2" s="12" t="s">
        <v>2975</v>
      </c>
      <c r="I2" s="12" t="s">
        <v>2976</v>
      </c>
      <c r="J2" s="8" t="s">
        <v>5</v>
      </c>
      <c r="K2" s="3" t="s">
        <v>6</v>
      </c>
      <c r="L2" s="3" t="s">
        <v>7</v>
      </c>
      <c r="M2" s="3" t="s">
        <v>8</v>
      </c>
      <c r="N2" s="3" t="s">
        <v>9</v>
      </c>
      <c r="O2" s="3" t="s">
        <v>10</v>
      </c>
      <c r="P2" s="3" t="s">
        <v>11</v>
      </c>
    </row>
    <row r="3" spans="2:16" ht="21" hidden="1" x14ac:dyDescent="0.55000000000000004">
      <c r="B3" s="2" t="s">
        <v>12</v>
      </c>
      <c r="C3" s="2" t="s">
        <v>13</v>
      </c>
      <c r="D3" s="2" t="s">
        <v>14</v>
      </c>
      <c r="E3" s="2" t="s">
        <v>15</v>
      </c>
      <c r="F3" s="6" t="s">
        <v>16</v>
      </c>
      <c r="G3" s="10">
        <f>YEAR(F3)</f>
        <v>2024</v>
      </c>
      <c r="H3" s="10">
        <f>MONTH(F3)</f>
        <v>1</v>
      </c>
      <c r="I3" s="10">
        <f>DAY(F3)</f>
        <v>9</v>
      </c>
      <c r="J3" s="9" t="s">
        <v>17</v>
      </c>
      <c r="K3" s="2" t="s">
        <v>18</v>
      </c>
      <c r="L3" s="2">
        <v>201.83</v>
      </c>
      <c r="M3" s="2" t="s">
        <v>19</v>
      </c>
      <c r="N3" s="2" t="s">
        <v>20</v>
      </c>
      <c r="O3" s="2">
        <v>59</v>
      </c>
      <c r="P3" s="2">
        <v>5</v>
      </c>
    </row>
    <row r="4" spans="2:16" ht="21" hidden="1" x14ac:dyDescent="0.55000000000000004">
      <c r="B4" s="2" t="s">
        <v>21</v>
      </c>
      <c r="C4" s="2" t="s">
        <v>22</v>
      </c>
      <c r="D4" s="2" t="s">
        <v>23</v>
      </c>
      <c r="E4" s="2" t="s">
        <v>15</v>
      </c>
      <c r="F4" s="6" t="s">
        <v>24</v>
      </c>
      <c r="G4" s="10">
        <f t="shared" ref="G4:G67" si="0">YEAR(F4)</f>
        <v>2024</v>
      </c>
      <c r="H4" s="10">
        <f t="shared" ref="H4:H67" si="1">MONTH(F4)</f>
        <v>1</v>
      </c>
      <c r="I4" s="10">
        <f t="shared" ref="I4:I67" si="2">DAY(F4)</f>
        <v>21</v>
      </c>
      <c r="J4" s="9" t="s">
        <v>25</v>
      </c>
      <c r="K4" s="2" t="s">
        <v>18</v>
      </c>
      <c r="L4" s="2">
        <v>242.96</v>
      </c>
      <c r="M4" s="2" t="s">
        <v>19</v>
      </c>
      <c r="N4" s="2" t="s">
        <v>26</v>
      </c>
      <c r="O4" s="2">
        <v>78</v>
      </c>
      <c r="P4" s="2">
        <v>4</v>
      </c>
    </row>
    <row r="5" spans="2:16" ht="21" x14ac:dyDescent="0.55000000000000004">
      <c r="B5" s="2" t="s">
        <v>27</v>
      </c>
      <c r="C5" s="2" t="s">
        <v>28</v>
      </c>
      <c r="D5" s="2" t="s">
        <v>29</v>
      </c>
      <c r="E5" s="2" t="s">
        <v>54</v>
      </c>
      <c r="F5" s="6" t="s">
        <v>31</v>
      </c>
      <c r="G5" s="10">
        <f t="shared" si="0"/>
        <v>2024</v>
      </c>
      <c r="H5" s="10">
        <f t="shared" si="1"/>
        <v>1</v>
      </c>
      <c r="I5" s="10">
        <f t="shared" si="2"/>
        <v>14</v>
      </c>
      <c r="J5" s="9" t="s">
        <v>32</v>
      </c>
      <c r="K5" s="2" t="s">
        <v>33</v>
      </c>
      <c r="L5" s="2">
        <v>74.3</v>
      </c>
      <c r="M5" s="2" t="s">
        <v>49</v>
      </c>
      <c r="N5" s="2" t="s">
        <v>20</v>
      </c>
      <c r="O5" s="2">
        <v>36</v>
      </c>
      <c r="P5" s="2"/>
    </row>
    <row r="6" spans="2:16" ht="21" hidden="1" x14ac:dyDescent="0.55000000000000004">
      <c r="B6" s="2" t="s">
        <v>35</v>
      </c>
      <c r="C6" s="2" t="s">
        <v>36</v>
      </c>
      <c r="D6" s="2" t="s">
        <v>14</v>
      </c>
      <c r="E6" s="2" t="s">
        <v>37</v>
      </c>
      <c r="F6" s="6" t="s">
        <v>38</v>
      </c>
      <c r="G6" s="10">
        <f t="shared" si="0"/>
        <v>2024</v>
      </c>
      <c r="H6" s="10">
        <f t="shared" si="1"/>
        <v>1</v>
      </c>
      <c r="I6" s="10">
        <f t="shared" si="2"/>
        <v>11</v>
      </c>
      <c r="J6" s="9" t="s">
        <v>39</v>
      </c>
      <c r="K6" s="2" t="s">
        <v>40</v>
      </c>
      <c r="L6" s="2">
        <v>483.22</v>
      </c>
      <c r="M6" s="2" t="s">
        <v>19</v>
      </c>
      <c r="N6" s="2" t="s">
        <v>41</v>
      </c>
      <c r="O6" s="2">
        <v>49</v>
      </c>
      <c r="P6" s="2">
        <v>4</v>
      </c>
    </row>
    <row r="7" spans="2:16" ht="21" hidden="1" x14ac:dyDescent="0.55000000000000004">
      <c r="B7" s="2" t="s">
        <v>42</v>
      </c>
      <c r="C7" s="2" t="s">
        <v>43</v>
      </c>
      <c r="D7" s="2" t="s">
        <v>44</v>
      </c>
      <c r="E7" s="2" t="s">
        <v>45</v>
      </c>
      <c r="F7" s="6" t="s">
        <v>46</v>
      </c>
      <c r="G7" s="10">
        <f t="shared" si="0"/>
        <v>2024</v>
      </c>
      <c r="H7" s="10">
        <f t="shared" si="1"/>
        <v>1</v>
      </c>
      <c r="I7" s="10">
        <f t="shared" si="2"/>
        <v>17</v>
      </c>
      <c r="J7" s="9" t="s">
        <v>47</v>
      </c>
      <c r="K7" s="2" t="s">
        <v>48</v>
      </c>
      <c r="L7" s="2">
        <v>280.35000000000002</v>
      </c>
      <c r="M7" s="2" t="s">
        <v>49</v>
      </c>
      <c r="N7" s="2" t="s">
        <v>50</v>
      </c>
      <c r="O7" s="2">
        <v>33</v>
      </c>
      <c r="P7" s="2">
        <v>2</v>
      </c>
    </row>
    <row r="8" spans="2:16" ht="21" x14ac:dyDescent="0.55000000000000004">
      <c r="B8" s="2" t="s">
        <v>51</v>
      </c>
      <c r="C8" s="2" t="s">
        <v>52</v>
      </c>
      <c r="D8" s="2" t="s">
        <v>53</v>
      </c>
      <c r="E8" s="2" t="s">
        <v>54</v>
      </c>
      <c r="F8" s="6" t="s">
        <v>55</v>
      </c>
      <c r="G8" s="10">
        <f t="shared" si="0"/>
        <v>2024</v>
      </c>
      <c r="H8" s="10">
        <f t="shared" si="1"/>
        <v>1</v>
      </c>
      <c r="I8" s="10">
        <f t="shared" si="2"/>
        <v>8</v>
      </c>
      <c r="J8" s="9" t="s">
        <v>56</v>
      </c>
      <c r="K8" s="2" t="s">
        <v>57</v>
      </c>
      <c r="L8" s="2">
        <v>126.35</v>
      </c>
      <c r="M8" s="2" t="s">
        <v>19</v>
      </c>
      <c r="N8" s="2" t="s">
        <v>20</v>
      </c>
      <c r="O8" s="2">
        <v>25</v>
      </c>
      <c r="P8" s="2">
        <v>5</v>
      </c>
    </row>
    <row r="9" spans="2:16" ht="21" hidden="1" x14ac:dyDescent="0.55000000000000004">
      <c r="B9" s="2" t="s">
        <v>58</v>
      </c>
      <c r="C9" s="2" t="s">
        <v>59</v>
      </c>
      <c r="D9" s="2" t="s">
        <v>60</v>
      </c>
      <c r="E9" s="2" t="s">
        <v>61</v>
      </c>
      <c r="F9" s="6" t="s">
        <v>62</v>
      </c>
      <c r="G9" s="10">
        <f t="shared" si="0"/>
        <v>2024</v>
      </c>
      <c r="H9" s="10">
        <f t="shared" si="1"/>
        <v>1</v>
      </c>
      <c r="I9" s="10">
        <f t="shared" si="2"/>
        <v>31</v>
      </c>
      <c r="J9" s="9" t="s">
        <v>63</v>
      </c>
      <c r="K9" s="2" t="s">
        <v>64</v>
      </c>
      <c r="L9" s="2">
        <v>55.44</v>
      </c>
      <c r="M9" s="2" t="s">
        <v>65</v>
      </c>
      <c r="N9" s="2" t="s">
        <v>20</v>
      </c>
      <c r="O9" s="2">
        <v>20</v>
      </c>
      <c r="P9" s="2">
        <v>3</v>
      </c>
    </row>
    <row r="10" spans="2:16" ht="21" hidden="1" x14ac:dyDescent="0.55000000000000004">
      <c r="B10" s="2" t="s">
        <v>66</v>
      </c>
      <c r="C10" s="2" t="s">
        <v>67</v>
      </c>
      <c r="D10" s="2" t="s">
        <v>68</v>
      </c>
      <c r="E10" s="2" t="s">
        <v>15</v>
      </c>
      <c r="F10" s="6" t="s">
        <v>69</v>
      </c>
      <c r="G10" s="10">
        <f t="shared" si="0"/>
        <v>2024</v>
      </c>
      <c r="H10" s="10">
        <f t="shared" si="1"/>
        <v>1</v>
      </c>
      <c r="I10" s="10">
        <f t="shared" si="2"/>
        <v>27</v>
      </c>
      <c r="J10" s="9" t="s">
        <v>70</v>
      </c>
      <c r="K10" s="2" t="s">
        <v>57</v>
      </c>
      <c r="L10" s="2">
        <v>68.83</v>
      </c>
      <c r="M10" s="2" t="s">
        <v>65</v>
      </c>
      <c r="N10" s="2" t="s">
        <v>41</v>
      </c>
      <c r="O10" s="2">
        <v>48</v>
      </c>
      <c r="P10" s="2">
        <v>3</v>
      </c>
    </row>
    <row r="11" spans="2:16" ht="21" hidden="1" x14ac:dyDescent="0.55000000000000004">
      <c r="B11" s="2" t="s">
        <v>71</v>
      </c>
      <c r="C11" s="2" t="s">
        <v>72</v>
      </c>
      <c r="D11" s="2" t="s">
        <v>73</v>
      </c>
      <c r="E11" s="2" t="s">
        <v>74</v>
      </c>
      <c r="F11" s="6" t="s">
        <v>75</v>
      </c>
      <c r="G11" s="10">
        <f t="shared" si="0"/>
        <v>2024</v>
      </c>
      <c r="H11" s="10">
        <f t="shared" si="1"/>
        <v>1</v>
      </c>
      <c r="I11" s="10">
        <f t="shared" si="2"/>
        <v>25</v>
      </c>
      <c r="J11" s="9" t="s">
        <v>76</v>
      </c>
      <c r="K11" s="2" t="s">
        <v>77</v>
      </c>
      <c r="L11" s="2">
        <v>356.45</v>
      </c>
      <c r="M11" s="2" t="s">
        <v>49</v>
      </c>
      <c r="N11" s="2" t="s">
        <v>50</v>
      </c>
      <c r="O11" s="2">
        <v>35</v>
      </c>
      <c r="P11" s="2">
        <v>1</v>
      </c>
    </row>
    <row r="12" spans="2:16" ht="21" hidden="1" x14ac:dyDescent="0.55000000000000004">
      <c r="B12" s="2" t="s">
        <v>78</v>
      </c>
      <c r="C12" s="2" t="s">
        <v>79</v>
      </c>
      <c r="D12" s="2" t="s">
        <v>23</v>
      </c>
      <c r="E12" s="2" t="s">
        <v>80</v>
      </c>
      <c r="F12" s="6" t="s">
        <v>81</v>
      </c>
      <c r="G12" s="10">
        <f t="shared" si="0"/>
        <v>2024</v>
      </c>
      <c r="H12" s="10">
        <f t="shared" si="1"/>
        <v>1</v>
      </c>
      <c r="I12" s="10">
        <f t="shared" si="2"/>
        <v>18</v>
      </c>
      <c r="J12" s="9" t="s">
        <v>82</v>
      </c>
      <c r="K12" s="2" t="s">
        <v>77</v>
      </c>
      <c r="L12" s="2">
        <v>198.88</v>
      </c>
      <c r="M12" s="2" t="s">
        <v>65</v>
      </c>
      <c r="N12" s="2" t="s">
        <v>41</v>
      </c>
      <c r="O12" s="2">
        <v>30</v>
      </c>
      <c r="P12" s="2">
        <v>2</v>
      </c>
    </row>
    <row r="13" spans="2:16" ht="21" hidden="1" x14ac:dyDescent="0.55000000000000004">
      <c r="B13" s="2" t="s">
        <v>83</v>
      </c>
      <c r="C13" s="2" t="s">
        <v>84</v>
      </c>
      <c r="D13" s="2" t="s">
        <v>23</v>
      </c>
      <c r="E13" s="2" t="s">
        <v>80</v>
      </c>
      <c r="F13" s="6" t="s">
        <v>85</v>
      </c>
      <c r="G13" s="10">
        <f t="shared" si="0"/>
        <v>2024</v>
      </c>
      <c r="H13" s="10">
        <f t="shared" si="1"/>
        <v>1</v>
      </c>
      <c r="I13" s="10">
        <f t="shared" si="2"/>
        <v>16</v>
      </c>
      <c r="J13" s="9" t="s">
        <v>86</v>
      </c>
      <c r="K13" s="2" t="s">
        <v>57</v>
      </c>
      <c r="L13" s="2">
        <v>138.22999999999999</v>
      </c>
      <c r="M13" s="2" t="s">
        <v>49</v>
      </c>
      <c r="N13" s="2" t="s">
        <v>26</v>
      </c>
      <c r="O13" s="2">
        <v>77</v>
      </c>
      <c r="P13" s="2">
        <v>3</v>
      </c>
    </row>
    <row r="14" spans="2:16" ht="21" hidden="1" x14ac:dyDescent="0.55000000000000004">
      <c r="B14" s="2" t="s">
        <v>87</v>
      </c>
      <c r="C14" s="2" t="s">
        <v>88</v>
      </c>
      <c r="D14" s="2" t="s">
        <v>68</v>
      </c>
      <c r="E14" s="2" t="s">
        <v>89</v>
      </c>
      <c r="F14" s="6" t="s">
        <v>38</v>
      </c>
      <c r="G14" s="10">
        <f t="shared" si="0"/>
        <v>2024</v>
      </c>
      <c r="H14" s="10">
        <f t="shared" si="1"/>
        <v>1</v>
      </c>
      <c r="I14" s="10">
        <f t="shared" si="2"/>
        <v>11</v>
      </c>
      <c r="J14" s="9" t="s">
        <v>90</v>
      </c>
      <c r="K14" s="2" t="s">
        <v>91</v>
      </c>
      <c r="L14" s="2">
        <v>183</v>
      </c>
      <c r="M14" s="2" t="s">
        <v>49</v>
      </c>
      <c r="N14" s="2" t="s">
        <v>50</v>
      </c>
      <c r="O14" s="2">
        <v>46</v>
      </c>
      <c r="P14" s="2">
        <v>2</v>
      </c>
    </row>
    <row r="15" spans="2:16" ht="21" hidden="1" x14ac:dyDescent="0.55000000000000004">
      <c r="B15" s="2" t="s">
        <v>92</v>
      </c>
      <c r="C15" s="2" t="s">
        <v>93</v>
      </c>
      <c r="D15" s="2" t="s">
        <v>23</v>
      </c>
      <c r="E15" s="2" t="s">
        <v>74</v>
      </c>
      <c r="F15" s="6" t="s">
        <v>46</v>
      </c>
      <c r="G15" s="10">
        <f t="shared" si="0"/>
        <v>2024</v>
      </c>
      <c r="H15" s="10">
        <f t="shared" si="1"/>
        <v>1</v>
      </c>
      <c r="I15" s="10">
        <f t="shared" si="2"/>
        <v>17</v>
      </c>
      <c r="J15" s="9" t="s">
        <v>94</v>
      </c>
      <c r="K15" s="2" t="s">
        <v>33</v>
      </c>
      <c r="L15" s="2">
        <v>350.51</v>
      </c>
      <c r="M15" s="2" t="s">
        <v>49</v>
      </c>
      <c r="N15" s="2" t="s">
        <v>26</v>
      </c>
      <c r="O15" s="2">
        <v>59</v>
      </c>
      <c r="P15" s="2">
        <v>4</v>
      </c>
    </row>
    <row r="16" spans="2:16" ht="21" hidden="1" x14ac:dyDescent="0.55000000000000004">
      <c r="B16" s="2" t="s">
        <v>95</v>
      </c>
      <c r="C16" s="2" t="s">
        <v>96</v>
      </c>
      <c r="D16" s="2" t="s">
        <v>23</v>
      </c>
      <c r="E16" s="2" t="s">
        <v>80</v>
      </c>
      <c r="F16" s="6" t="s">
        <v>97</v>
      </c>
      <c r="G16" s="10">
        <f t="shared" si="0"/>
        <v>2024</v>
      </c>
      <c r="H16" s="10">
        <f t="shared" si="1"/>
        <v>1</v>
      </c>
      <c r="I16" s="10">
        <f t="shared" si="2"/>
        <v>23</v>
      </c>
      <c r="J16" s="9" t="s">
        <v>98</v>
      </c>
      <c r="K16" s="2" t="s">
        <v>91</v>
      </c>
      <c r="L16" s="2">
        <v>122.67</v>
      </c>
      <c r="M16" s="2" t="s">
        <v>122</v>
      </c>
      <c r="N16" s="2" t="s">
        <v>50</v>
      </c>
      <c r="O16" s="2">
        <v>62</v>
      </c>
      <c r="P16" s="2">
        <v>5</v>
      </c>
    </row>
    <row r="17" spans="2:16" ht="21" hidden="1" x14ac:dyDescent="0.55000000000000004">
      <c r="B17" s="2" t="s">
        <v>100</v>
      </c>
      <c r="C17" s="2" t="s">
        <v>101</v>
      </c>
      <c r="D17" s="2" t="s">
        <v>53</v>
      </c>
      <c r="E17" s="2" t="s">
        <v>61</v>
      </c>
      <c r="F17" s="6" t="s">
        <v>102</v>
      </c>
      <c r="G17" s="10">
        <f t="shared" si="0"/>
        <v>2024</v>
      </c>
      <c r="H17" s="10">
        <f t="shared" si="1"/>
        <v>1</v>
      </c>
      <c r="I17" s="10">
        <f t="shared" si="2"/>
        <v>26</v>
      </c>
      <c r="J17" s="9" t="s">
        <v>103</v>
      </c>
      <c r="K17" s="2" t="s">
        <v>33</v>
      </c>
      <c r="L17" s="2">
        <v>214.35</v>
      </c>
      <c r="M17" s="2" t="s">
        <v>19</v>
      </c>
      <c r="N17" s="2" t="s">
        <v>41</v>
      </c>
      <c r="O17" s="2">
        <v>72</v>
      </c>
      <c r="P17" s="2">
        <v>1</v>
      </c>
    </row>
    <row r="18" spans="2:16" ht="21" hidden="1" x14ac:dyDescent="0.55000000000000004">
      <c r="B18" s="2" t="s">
        <v>104</v>
      </c>
      <c r="C18" s="2" t="s">
        <v>105</v>
      </c>
      <c r="D18" s="2" t="s">
        <v>106</v>
      </c>
      <c r="E18" s="2" t="s">
        <v>74</v>
      </c>
      <c r="F18" s="6" t="s">
        <v>24</v>
      </c>
      <c r="G18" s="10">
        <f t="shared" si="0"/>
        <v>2024</v>
      </c>
      <c r="H18" s="10">
        <f t="shared" si="1"/>
        <v>1</v>
      </c>
      <c r="I18" s="10">
        <f t="shared" si="2"/>
        <v>21</v>
      </c>
      <c r="J18" s="9" t="s">
        <v>107</v>
      </c>
      <c r="K18" s="2" t="s">
        <v>77</v>
      </c>
      <c r="L18" s="2">
        <v>229.92</v>
      </c>
      <c r="M18" s="2" t="s">
        <v>49</v>
      </c>
      <c r="N18" s="2" t="s">
        <v>41</v>
      </c>
      <c r="O18" s="2">
        <v>75</v>
      </c>
      <c r="P18" s="2">
        <v>5</v>
      </c>
    </row>
    <row r="19" spans="2:16" ht="21" hidden="1" x14ac:dyDescent="0.55000000000000004">
      <c r="B19" s="2" t="s">
        <v>108</v>
      </c>
      <c r="C19" s="2" t="s">
        <v>109</v>
      </c>
      <c r="D19" s="2" t="s">
        <v>73</v>
      </c>
      <c r="E19" s="2" t="s">
        <v>37</v>
      </c>
      <c r="F19" s="6" t="s">
        <v>75</v>
      </c>
      <c r="G19" s="10">
        <f t="shared" si="0"/>
        <v>2024</v>
      </c>
      <c r="H19" s="10">
        <f t="shared" si="1"/>
        <v>1</v>
      </c>
      <c r="I19" s="10">
        <f t="shared" si="2"/>
        <v>25</v>
      </c>
      <c r="J19" s="9" t="s">
        <v>110</v>
      </c>
      <c r="K19" s="2" t="s">
        <v>57</v>
      </c>
      <c r="L19" s="2">
        <v>292.75</v>
      </c>
      <c r="M19" s="2" t="s">
        <v>19</v>
      </c>
      <c r="N19" s="2" t="s">
        <v>50</v>
      </c>
      <c r="O19" s="2">
        <v>63</v>
      </c>
      <c r="P19" s="2">
        <v>3</v>
      </c>
    </row>
    <row r="20" spans="2:16" ht="21" hidden="1" x14ac:dyDescent="0.55000000000000004">
      <c r="B20" s="2" t="s">
        <v>111</v>
      </c>
      <c r="C20" s="2" t="s">
        <v>112</v>
      </c>
      <c r="D20" s="2" t="s">
        <v>53</v>
      </c>
      <c r="E20" s="2" t="s">
        <v>61</v>
      </c>
      <c r="F20" s="6" t="s">
        <v>113</v>
      </c>
      <c r="G20" s="10">
        <f t="shared" si="0"/>
        <v>2024</v>
      </c>
      <c r="H20" s="10">
        <f t="shared" si="1"/>
        <v>1</v>
      </c>
      <c r="I20" s="10">
        <f t="shared" si="2"/>
        <v>15</v>
      </c>
      <c r="J20" s="9" t="s">
        <v>114</v>
      </c>
      <c r="K20" s="2" t="s">
        <v>48</v>
      </c>
      <c r="L20" s="2">
        <v>294.77</v>
      </c>
      <c r="M20" s="2" t="s">
        <v>65</v>
      </c>
      <c r="N20" s="2" t="s">
        <v>50</v>
      </c>
      <c r="O20" s="2">
        <v>23</v>
      </c>
      <c r="P20" s="2">
        <v>4</v>
      </c>
    </row>
    <row r="21" spans="2:16" ht="21" hidden="1" x14ac:dyDescent="0.55000000000000004">
      <c r="B21" s="2" t="s">
        <v>115</v>
      </c>
      <c r="C21" s="2" t="s">
        <v>116</v>
      </c>
      <c r="D21" s="2" t="s">
        <v>117</v>
      </c>
      <c r="E21" s="2" t="s">
        <v>89</v>
      </c>
      <c r="F21" s="6" t="s">
        <v>118</v>
      </c>
      <c r="G21" s="10">
        <f t="shared" si="0"/>
        <v>2024</v>
      </c>
      <c r="H21" s="10">
        <f t="shared" si="1"/>
        <v>1</v>
      </c>
      <c r="I21" s="10">
        <f t="shared" si="2"/>
        <v>24</v>
      </c>
      <c r="J21" s="9" t="s">
        <v>119</v>
      </c>
      <c r="K21" s="2" t="s">
        <v>48</v>
      </c>
      <c r="L21" s="2">
        <v>231.59</v>
      </c>
      <c r="M21" s="2" t="s">
        <v>19</v>
      </c>
      <c r="N21" s="2" t="s">
        <v>41</v>
      </c>
      <c r="O21" s="2">
        <v>38</v>
      </c>
      <c r="P21" s="2">
        <v>5</v>
      </c>
    </row>
    <row r="22" spans="2:16" ht="21" hidden="1" x14ac:dyDescent="0.55000000000000004">
      <c r="B22" s="2" t="s">
        <v>120</v>
      </c>
      <c r="C22" s="2" t="s">
        <v>121</v>
      </c>
      <c r="D22" s="2" t="s">
        <v>14</v>
      </c>
      <c r="E22" s="2" t="s">
        <v>89</v>
      </c>
      <c r="F22" s="6" t="s">
        <v>55</v>
      </c>
      <c r="G22" s="10">
        <f t="shared" si="0"/>
        <v>2024</v>
      </c>
      <c r="H22" s="10">
        <f t="shared" si="1"/>
        <v>1</v>
      </c>
      <c r="I22" s="10">
        <f t="shared" si="2"/>
        <v>8</v>
      </c>
      <c r="J22" s="9" t="s">
        <v>76</v>
      </c>
      <c r="K22" s="2" t="s">
        <v>40</v>
      </c>
      <c r="L22" s="2">
        <v>478.69</v>
      </c>
      <c r="M22" s="2" t="s">
        <v>122</v>
      </c>
      <c r="N22" s="2" t="s">
        <v>41</v>
      </c>
      <c r="O22" s="2">
        <v>20</v>
      </c>
      <c r="P22" s="2"/>
    </row>
    <row r="23" spans="2:16" ht="21" hidden="1" x14ac:dyDescent="0.55000000000000004">
      <c r="B23" s="2" t="s">
        <v>123</v>
      </c>
      <c r="C23" s="2" t="s">
        <v>124</v>
      </c>
      <c r="D23" s="2" t="s">
        <v>73</v>
      </c>
      <c r="E23" s="2" t="s">
        <v>125</v>
      </c>
      <c r="F23" s="6" t="s">
        <v>62</v>
      </c>
      <c r="G23" s="10">
        <f t="shared" si="0"/>
        <v>2024</v>
      </c>
      <c r="H23" s="10">
        <f t="shared" si="1"/>
        <v>1</v>
      </c>
      <c r="I23" s="10">
        <f t="shared" si="2"/>
        <v>31</v>
      </c>
      <c r="J23" s="9" t="s">
        <v>126</v>
      </c>
      <c r="K23" s="2" t="s">
        <v>57</v>
      </c>
      <c r="L23" s="2">
        <v>307.2</v>
      </c>
      <c r="M23" s="2" t="s">
        <v>49</v>
      </c>
      <c r="N23" s="2" t="s">
        <v>26</v>
      </c>
      <c r="O23" s="2">
        <v>46</v>
      </c>
      <c r="P23" s="2">
        <v>2</v>
      </c>
    </row>
    <row r="24" spans="2:16" ht="21" hidden="1" x14ac:dyDescent="0.55000000000000004">
      <c r="B24" s="2" t="s">
        <v>127</v>
      </c>
      <c r="C24" s="2" t="s">
        <v>128</v>
      </c>
      <c r="D24" s="2" t="s">
        <v>68</v>
      </c>
      <c r="E24" s="2" t="s">
        <v>45</v>
      </c>
      <c r="F24" s="6" t="s">
        <v>129</v>
      </c>
      <c r="G24" s="10">
        <f t="shared" si="0"/>
        <v>2024</v>
      </c>
      <c r="H24" s="10">
        <f t="shared" si="1"/>
        <v>1</v>
      </c>
      <c r="I24" s="10">
        <f t="shared" si="2"/>
        <v>19</v>
      </c>
      <c r="J24" s="9" t="s">
        <v>17</v>
      </c>
      <c r="K24" s="2" t="s">
        <v>77</v>
      </c>
      <c r="L24" s="2">
        <v>464.87</v>
      </c>
      <c r="M24" s="2" t="s">
        <v>19</v>
      </c>
      <c r="N24" s="2" t="s">
        <v>41</v>
      </c>
      <c r="O24" s="2">
        <v>59</v>
      </c>
      <c r="P24" s="2">
        <v>5</v>
      </c>
    </row>
    <row r="25" spans="2:16" ht="21" hidden="1" x14ac:dyDescent="0.55000000000000004">
      <c r="B25" s="2" t="s">
        <v>130</v>
      </c>
      <c r="C25" s="2" t="s">
        <v>131</v>
      </c>
      <c r="D25" s="2" t="s">
        <v>29</v>
      </c>
      <c r="E25" s="2" t="s">
        <v>45</v>
      </c>
      <c r="F25" s="6" t="s">
        <v>132</v>
      </c>
      <c r="G25" s="10">
        <f t="shared" si="0"/>
        <v>2024</v>
      </c>
      <c r="H25" s="10">
        <f t="shared" si="1"/>
        <v>1</v>
      </c>
      <c r="I25" s="10">
        <f t="shared" si="2"/>
        <v>6</v>
      </c>
      <c r="J25" s="9" t="s">
        <v>133</v>
      </c>
      <c r="K25" s="2" t="s">
        <v>18</v>
      </c>
      <c r="L25" s="2">
        <v>249.69</v>
      </c>
      <c r="M25" s="2" t="s">
        <v>49</v>
      </c>
      <c r="N25" s="2" t="s">
        <v>26</v>
      </c>
      <c r="O25" s="2">
        <v>74</v>
      </c>
      <c r="P25" s="2">
        <v>4</v>
      </c>
    </row>
    <row r="26" spans="2:16" ht="21" hidden="1" x14ac:dyDescent="0.55000000000000004">
      <c r="B26" s="2" t="s">
        <v>134</v>
      </c>
      <c r="C26" s="2" t="s">
        <v>135</v>
      </c>
      <c r="D26" s="2" t="s">
        <v>44</v>
      </c>
      <c r="E26" s="2" t="s">
        <v>89</v>
      </c>
      <c r="F26" s="6" t="s">
        <v>16</v>
      </c>
      <c r="G26" s="10">
        <f t="shared" si="0"/>
        <v>2024</v>
      </c>
      <c r="H26" s="10">
        <f t="shared" si="1"/>
        <v>1</v>
      </c>
      <c r="I26" s="10">
        <f t="shared" si="2"/>
        <v>9</v>
      </c>
      <c r="J26" s="9" t="s">
        <v>136</v>
      </c>
      <c r="K26" s="2" t="s">
        <v>18</v>
      </c>
      <c r="L26" s="2">
        <v>84.96</v>
      </c>
      <c r="M26" s="2" t="s">
        <v>19</v>
      </c>
      <c r="N26" s="2" t="s">
        <v>20</v>
      </c>
      <c r="O26" s="2">
        <v>22</v>
      </c>
      <c r="P26" s="2"/>
    </row>
    <row r="27" spans="2:16" ht="21" hidden="1" x14ac:dyDescent="0.55000000000000004">
      <c r="B27" s="2" t="s">
        <v>137</v>
      </c>
      <c r="C27" s="2" t="s">
        <v>138</v>
      </c>
      <c r="D27" s="2" t="s">
        <v>106</v>
      </c>
      <c r="E27" s="2" t="s">
        <v>139</v>
      </c>
      <c r="F27" s="6" t="s">
        <v>140</v>
      </c>
      <c r="G27" s="10">
        <f t="shared" si="0"/>
        <v>2024</v>
      </c>
      <c r="H27" s="10">
        <f t="shared" si="1"/>
        <v>1</v>
      </c>
      <c r="I27" s="10">
        <f t="shared" si="2"/>
        <v>29</v>
      </c>
      <c r="J27" s="9" t="s">
        <v>141</v>
      </c>
      <c r="K27" s="2" t="s">
        <v>64</v>
      </c>
      <c r="L27" s="2">
        <v>267.86</v>
      </c>
      <c r="M27" s="2" t="s">
        <v>19</v>
      </c>
      <c r="N27" s="2" t="s">
        <v>26</v>
      </c>
      <c r="O27" s="2">
        <v>61</v>
      </c>
      <c r="P27" s="2">
        <v>2</v>
      </c>
    </row>
    <row r="28" spans="2:16" ht="21" hidden="1" x14ac:dyDescent="0.55000000000000004">
      <c r="B28" s="2" t="s">
        <v>142</v>
      </c>
      <c r="C28" s="2" t="s">
        <v>143</v>
      </c>
      <c r="D28" s="2" t="s">
        <v>73</v>
      </c>
      <c r="E28" s="2" t="s">
        <v>89</v>
      </c>
      <c r="F28" s="6" t="s">
        <v>144</v>
      </c>
      <c r="G28" s="10">
        <f t="shared" si="0"/>
        <v>2024</v>
      </c>
      <c r="H28" s="10">
        <f t="shared" si="1"/>
        <v>1</v>
      </c>
      <c r="I28" s="10">
        <f t="shared" si="2"/>
        <v>7</v>
      </c>
      <c r="J28" s="9" t="s">
        <v>145</v>
      </c>
      <c r="K28" s="2" t="s">
        <v>64</v>
      </c>
      <c r="L28" s="2">
        <v>258.16000000000003</v>
      </c>
      <c r="M28" s="2" t="s">
        <v>19</v>
      </c>
      <c r="N28" s="2" t="s">
        <v>26</v>
      </c>
      <c r="O28" s="2">
        <v>72</v>
      </c>
      <c r="P28" s="2"/>
    </row>
    <row r="29" spans="2:16" ht="21" hidden="1" x14ac:dyDescent="0.55000000000000004">
      <c r="B29" s="2" t="s">
        <v>146</v>
      </c>
      <c r="C29" s="2" t="s">
        <v>147</v>
      </c>
      <c r="D29" s="2" t="s">
        <v>23</v>
      </c>
      <c r="E29" s="2" t="s">
        <v>37</v>
      </c>
      <c r="F29" s="6" t="s">
        <v>129</v>
      </c>
      <c r="G29" s="10">
        <f t="shared" si="0"/>
        <v>2024</v>
      </c>
      <c r="H29" s="10">
        <f t="shared" si="1"/>
        <v>1</v>
      </c>
      <c r="I29" s="10">
        <f t="shared" si="2"/>
        <v>19</v>
      </c>
      <c r="J29" s="9" t="s">
        <v>148</v>
      </c>
      <c r="K29" s="2" t="s">
        <v>33</v>
      </c>
      <c r="L29" s="2">
        <v>147.65</v>
      </c>
      <c r="M29" s="2" t="s">
        <v>122</v>
      </c>
      <c r="N29" s="2" t="s">
        <v>50</v>
      </c>
      <c r="O29" s="2">
        <v>24</v>
      </c>
      <c r="P29" s="2">
        <v>1</v>
      </c>
    </row>
    <row r="30" spans="2:16" ht="21" hidden="1" x14ac:dyDescent="0.55000000000000004">
      <c r="B30" s="2" t="s">
        <v>149</v>
      </c>
      <c r="C30" s="2" t="s">
        <v>150</v>
      </c>
      <c r="D30" s="2" t="s">
        <v>14</v>
      </c>
      <c r="E30" s="2" t="s">
        <v>74</v>
      </c>
      <c r="F30" s="6" t="s">
        <v>118</v>
      </c>
      <c r="G30" s="10">
        <f t="shared" si="0"/>
        <v>2024</v>
      </c>
      <c r="H30" s="10">
        <f t="shared" si="1"/>
        <v>1</v>
      </c>
      <c r="I30" s="10">
        <f t="shared" si="2"/>
        <v>24</v>
      </c>
      <c r="J30" s="9" t="s">
        <v>151</v>
      </c>
      <c r="K30" s="2" t="s">
        <v>48</v>
      </c>
      <c r="L30" s="2">
        <v>498</v>
      </c>
      <c r="M30" s="2" t="s">
        <v>122</v>
      </c>
      <c r="N30" s="2" t="s">
        <v>26</v>
      </c>
      <c r="O30" s="2">
        <v>85</v>
      </c>
      <c r="P30" s="2"/>
    </row>
    <row r="31" spans="2:16" ht="21" hidden="1" x14ac:dyDescent="0.55000000000000004">
      <c r="B31" s="2" t="s">
        <v>152</v>
      </c>
      <c r="C31" s="2" t="s">
        <v>153</v>
      </c>
      <c r="D31" s="2" t="s">
        <v>73</v>
      </c>
      <c r="E31" s="2" t="s">
        <v>15</v>
      </c>
      <c r="F31" s="6" t="s">
        <v>154</v>
      </c>
      <c r="G31" s="10">
        <f t="shared" si="0"/>
        <v>2024</v>
      </c>
      <c r="H31" s="10">
        <f t="shared" si="1"/>
        <v>1</v>
      </c>
      <c r="I31" s="10">
        <f t="shared" si="2"/>
        <v>22</v>
      </c>
      <c r="J31" s="9" t="s">
        <v>155</v>
      </c>
      <c r="K31" s="2" t="s">
        <v>91</v>
      </c>
      <c r="L31" s="2">
        <v>398.32</v>
      </c>
      <c r="M31" s="2" t="s">
        <v>65</v>
      </c>
      <c r="N31" s="2" t="s">
        <v>26</v>
      </c>
      <c r="O31" s="2">
        <v>20</v>
      </c>
      <c r="P31" s="2">
        <v>4</v>
      </c>
    </row>
    <row r="32" spans="2:16" ht="21" hidden="1" x14ac:dyDescent="0.55000000000000004">
      <c r="B32" s="2" t="s">
        <v>156</v>
      </c>
      <c r="C32" s="2" t="s">
        <v>157</v>
      </c>
      <c r="D32" s="2" t="s">
        <v>44</v>
      </c>
      <c r="E32" s="2" t="s">
        <v>125</v>
      </c>
      <c r="F32" s="6" t="s">
        <v>118</v>
      </c>
      <c r="G32" s="10">
        <f t="shared" si="0"/>
        <v>2024</v>
      </c>
      <c r="H32" s="10">
        <f t="shared" si="1"/>
        <v>1</v>
      </c>
      <c r="I32" s="10">
        <f t="shared" si="2"/>
        <v>24</v>
      </c>
      <c r="J32" s="9" t="s">
        <v>158</v>
      </c>
      <c r="K32" s="2" t="s">
        <v>64</v>
      </c>
      <c r="L32" s="2">
        <v>109.45</v>
      </c>
      <c r="M32" s="2" t="s">
        <v>65</v>
      </c>
      <c r="N32" s="2" t="s">
        <v>20</v>
      </c>
      <c r="O32" s="2">
        <v>90</v>
      </c>
      <c r="P32" s="2">
        <v>5</v>
      </c>
    </row>
    <row r="33" spans="2:16" ht="21" hidden="1" x14ac:dyDescent="0.55000000000000004">
      <c r="B33" s="2" t="s">
        <v>159</v>
      </c>
      <c r="C33" s="2" t="s">
        <v>160</v>
      </c>
      <c r="D33" s="2" t="s">
        <v>23</v>
      </c>
      <c r="E33" s="2" t="s">
        <v>89</v>
      </c>
      <c r="F33" s="6" t="s">
        <v>161</v>
      </c>
      <c r="G33" s="10">
        <f t="shared" si="0"/>
        <v>2024</v>
      </c>
      <c r="H33" s="10">
        <f t="shared" si="1"/>
        <v>1</v>
      </c>
      <c r="I33" s="10">
        <f t="shared" si="2"/>
        <v>5</v>
      </c>
      <c r="J33" s="9" t="s">
        <v>162</v>
      </c>
      <c r="K33" s="2" t="s">
        <v>91</v>
      </c>
      <c r="L33" s="2">
        <v>449.27</v>
      </c>
      <c r="M33" s="2" t="s">
        <v>19</v>
      </c>
      <c r="N33" s="2" t="s">
        <v>50</v>
      </c>
      <c r="O33" s="2">
        <v>59</v>
      </c>
      <c r="P33" s="2">
        <v>10</v>
      </c>
    </row>
    <row r="34" spans="2:16" ht="21" hidden="1" x14ac:dyDescent="0.55000000000000004">
      <c r="B34" s="2" t="s">
        <v>163</v>
      </c>
      <c r="C34" s="2" t="s">
        <v>164</v>
      </c>
      <c r="D34" s="2" t="s">
        <v>23</v>
      </c>
      <c r="E34" s="2" t="s">
        <v>45</v>
      </c>
      <c r="F34" s="6" t="s">
        <v>102</v>
      </c>
      <c r="G34" s="10">
        <f t="shared" si="0"/>
        <v>2024</v>
      </c>
      <c r="H34" s="10">
        <f t="shared" si="1"/>
        <v>1</v>
      </c>
      <c r="I34" s="10">
        <f t="shared" si="2"/>
        <v>26</v>
      </c>
      <c r="J34" s="9" t="s">
        <v>165</v>
      </c>
      <c r="K34" s="2" t="s">
        <v>57</v>
      </c>
      <c r="L34" s="2">
        <v>339.7</v>
      </c>
      <c r="M34" s="2" t="s">
        <v>65</v>
      </c>
      <c r="N34" s="2" t="s">
        <v>41</v>
      </c>
      <c r="O34" s="2">
        <v>44</v>
      </c>
      <c r="P34" s="2">
        <v>3</v>
      </c>
    </row>
    <row r="35" spans="2:16" ht="21" x14ac:dyDescent="0.55000000000000004">
      <c r="B35" s="2" t="s">
        <v>166</v>
      </c>
      <c r="C35" s="2" t="s">
        <v>167</v>
      </c>
      <c r="D35" s="2" t="s">
        <v>68</v>
      </c>
      <c r="E35" s="2" t="s">
        <v>54</v>
      </c>
      <c r="F35" s="6" t="s">
        <v>46</v>
      </c>
      <c r="G35" s="10">
        <f t="shared" si="0"/>
        <v>2024</v>
      </c>
      <c r="H35" s="10">
        <f t="shared" si="1"/>
        <v>1</v>
      </c>
      <c r="I35" s="10">
        <f t="shared" si="2"/>
        <v>17</v>
      </c>
      <c r="J35" s="9" t="s">
        <v>168</v>
      </c>
      <c r="K35" s="2" t="s">
        <v>91</v>
      </c>
      <c r="L35" s="2">
        <v>141.54</v>
      </c>
      <c r="M35" s="2" t="s">
        <v>49</v>
      </c>
      <c r="N35" s="2" t="s">
        <v>20</v>
      </c>
      <c r="O35" s="2">
        <v>2800</v>
      </c>
      <c r="P35" s="2"/>
    </row>
    <row r="36" spans="2:16" ht="21" hidden="1" x14ac:dyDescent="0.55000000000000004">
      <c r="B36" s="2" t="s">
        <v>169</v>
      </c>
      <c r="C36" s="2" t="s">
        <v>170</v>
      </c>
      <c r="D36" s="2" t="s">
        <v>14</v>
      </c>
      <c r="E36" s="2" t="s">
        <v>139</v>
      </c>
      <c r="F36" s="6" t="s">
        <v>102</v>
      </c>
      <c r="G36" s="10">
        <f t="shared" si="0"/>
        <v>2024</v>
      </c>
      <c r="H36" s="10">
        <f t="shared" si="1"/>
        <v>1</v>
      </c>
      <c r="I36" s="10">
        <f t="shared" si="2"/>
        <v>26</v>
      </c>
      <c r="J36" s="9" t="s">
        <v>171</v>
      </c>
      <c r="K36" s="2" t="s">
        <v>40</v>
      </c>
      <c r="L36" s="2">
        <v>387</v>
      </c>
      <c r="M36" s="2" t="s">
        <v>122</v>
      </c>
      <c r="N36" s="2" t="s">
        <v>50</v>
      </c>
      <c r="O36" s="2">
        <v>90</v>
      </c>
      <c r="P36" s="2">
        <v>3</v>
      </c>
    </row>
    <row r="37" spans="2:16" ht="21" hidden="1" x14ac:dyDescent="0.55000000000000004">
      <c r="B37" s="2" t="s">
        <v>172</v>
      </c>
      <c r="C37" s="2" t="s">
        <v>173</v>
      </c>
      <c r="D37" s="2" t="s">
        <v>29</v>
      </c>
      <c r="E37" s="2" t="s">
        <v>45</v>
      </c>
      <c r="F37" s="6" t="s">
        <v>69</v>
      </c>
      <c r="G37" s="10">
        <f t="shared" si="0"/>
        <v>2024</v>
      </c>
      <c r="H37" s="10">
        <f t="shared" si="1"/>
        <v>1</v>
      </c>
      <c r="I37" s="10">
        <f t="shared" si="2"/>
        <v>27</v>
      </c>
      <c r="J37" s="9" t="s">
        <v>174</v>
      </c>
      <c r="K37" s="2" t="s">
        <v>64</v>
      </c>
      <c r="L37" s="2">
        <v>184</v>
      </c>
      <c r="M37" s="2" t="s">
        <v>19</v>
      </c>
      <c r="N37" s="2" t="s">
        <v>41</v>
      </c>
      <c r="O37" s="2">
        <v>87</v>
      </c>
      <c r="P37" s="2">
        <v>2</v>
      </c>
    </row>
    <row r="38" spans="2:16" ht="21" hidden="1" x14ac:dyDescent="0.55000000000000004">
      <c r="B38" s="2" t="s">
        <v>175</v>
      </c>
      <c r="C38" s="2" t="s">
        <v>176</v>
      </c>
      <c r="D38" s="2" t="s">
        <v>117</v>
      </c>
      <c r="E38" s="2" t="s">
        <v>74</v>
      </c>
      <c r="F38" s="6" t="s">
        <v>55</v>
      </c>
      <c r="G38" s="10">
        <f t="shared" si="0"/>
        <v>2024</v>
      </c>
      <c r="H38" s="10">
        <f t="shared" si="1"/>
        <v>1</v>
      </c>
      <c r="I38" s="10">
        <f t="shared" si="2"/>
        <v>8</v>
      </c>
      <c r="J38" s="9" t="s">
        <v>177</v>
      </c>
      <c r="K38" s="2" t="s">
        <v>77</v>
      </c>
      <c r="L38" s="2">
        <v>200.97</v>
      </c>
      <c r="M38" s="2" t="s">
        <v>65</v>
      </c>
      <c r="N38" s="2" t="s">
        <v>26</v>
      </c>
      <c r="O38" s="2">
        <v>34</v>
      </c>
      <c r="P38" s="2"/>
    </row>
    <row r="39" spans="2:16" ht="21" hidden="1" x14ac:dyDescent="0.55000000000000004">
      <c r="B39" s="2" t="s">
        <v>178</v>
      </c>
      <c r="C39" s="2" t="s">
        <v>179</v>
      </c>
      <c r="D39" s="2" t="s">
        <v>60</v>
      </c>
      <c r="E39" s="2" t="s">
        <v>89</v>
      </c>
      <c r="F39" s="6" t="s">
        <v>180</v>
      </c>
      <c r="G39" s="10">
        <f t="shared" si="0"/>
        <v>2024</v>
      </c>
      <c r="H39" s="10">
        <f t="shared" si="1"/>
        <v>1</v>
      </c>
      <c r="I39" s="10">
        <f t="shared" si="2"/>
        <v>28</v>
      </c>
      <c r="J39" s="9" t="s">
        <v>181</v>
      </c>
      <c r="K39" s="2" t="s">
        <v>18</v>
      </c>
      <c r="L39" s="2">
        <v>196.88</v>
      </c>
      <c r="M39" s="2" t="s">
        <v>122</v>
      </c>
      <c r="N39" s="2" t="s">
        <v>50</v>
      </c>
      <c r="O39" s="2">
        <v>86</v>
      </c>
      <c r="P39" s="2">
        <v>2</v>
      </c>
    </row>
    <row r="40" spans="2:16" ht="21" hidden="1" x14ac:dyDescent="0.55000000000000004">
      <c r="B40" s="2" t="s">
        <v>182</v>
      </c>
      <c r="C40" s="2" t="s">
        <v>183</v>
      </c>
      <c r="D40" s="2" t="s">
        <v>68</v>
      </c>
      <c r="E40" s="2" t="s">
        <v>37</v>
      </c>
      <c r="F40" s="6" t="s">
        <v>97</v>
      </c>
      <c r="G40" s="10">
        <f t="shared" si="0"/>
        <v>2024</v>
      </c>
      <c r="H40" s="10">
        <f t="shared" si="1"/>
        <v>1</v>
      </c>
      <c r="I40" s="10">
        <f t="shared" si="2"/>
        <v>23</v>
      </c>
      <c r="J40" s="9" t="s">
        <v>184</v>
      </c>
      <c r="K40" s="2" t="s">
        <v>18</v>
      </c>
      <c r="L40" s="2">
        <v>258.04000000000002</v>
      </c>
      <c r="M40" s="2" t="s">
        <v>122</v>
      </c>
      <c r="N40" s="2" t="s">
        <v>26</v>
      </c>
      <c r="O40" s="2">
        <v>34</v>
      </c>
      <c r="P40" s="2">
        <v>3</v>
      </c>
    </row>
    <row r="41" spans="2:16" ht="21" hidden="1" x14ac:dyDescent="0.55000000000000004">
      <c r="B41" s="2" t="s">
        <v>185</v>
      </c>
      <c r="C41" s="2" t="s">
        <v>186</v>
      </c>
      <c r="D41" s="2" t="s">
        <v>60</v>
      </c>
      <c r="E41" s="2" t="s">
        <v>80</v>
      </c>
      <c r="F41" s="6" t="s">
        <v>180</v>
      </c>
      <c r="G41" s="10">
        <f t="shared" si="0"/>
        <v>2024</v>
      </c>
      <c r="H41" s="10">
        <f t="shared" si="1"/>
        <v>1</v>
      </c>
      <c r="I41" s="10">
        <f t="shared" si="2"/>
        <v>28</v>
      </c>
      <c r="J41" s="9" t="s">
        <v>187</v>
      </c>
      <c r="K41" s="2" t="s">
        <v>57</v>
      </c>
      <c r="L41" s="2">
        <v>399.67</v>
      </c>
      <c r="M41" s="2" t="s">
        <v>49</v>
      </c>
      <c r="N41" s="2" t="s">
        <v>26</v>
      </c>
      <c r="O41" s="2">
        <v>23</v>
      </c>
      <c r="P41" s="2">
        <v>1</v>
      </c>
    </row>
    <row r="42" spans="2:16" ht="21" hidden="1" x14ac:dyDescent="0.55000000000000004">
      <c r="B42" s="2" t="s">
        <v>188</v>
      </c>
      <c r="C42" s="2" t="s">
        <v>189</v>
      </c>
      <c r="D42" s="2" t="s">
        <v>68</v>
      </c>
      <c r="E42" s="2" t="s">
        <v>80</v>
      </c>
      <c r="F42" s="6" t="s">
        <v>180</v>
      </c>
      <c r="G42" s="10">
        <f t="shared" si="0"/>
        <v>2024</v>
      </c>
      <c r="H42" s="10">
        <f t="shared" si="1"/>
        <v>1</v>
      </c>
      <c r="I42" s="10">
        <f t="shared" si="2"/>
        <v>28</v>
      </c>
      <c r="J42" s="9" t="s">
        <v>190</v>
      </c>
      <c r="K42" s="2" t="s">
        <v>33</v>
      </c>
      <c r="L42" s="2">
        <v>338.47</v>
      </c>
      <c r="M42" s="2" t="s">
        <v>19</v>
      </c>
      <c r="N42" s="2" t="s">
        <v>26</v>
      </c>
      <c r="O42" s="2">
        <v>66</v>
      </c>
      <c r="P42" s="2">
        <v>3</v>
      </c>
    </row>
    <row r="43" spans="2:16" ht="21" hidden="1" x14ac:dyDescent="0.55000000000000004">
      <c r="B43" s="2" t="s">
        <v>191</v>
      </c>
      <c r="C43" s="2" t="s">
        <v>192</v>
      </c>
      <c r="D43" s="2" t="s">
        <v>53</v>
      </c>
      <c r="E43" s="2" t="s">
        <v>125</v>
      </c>
      <c r="F43" s="6" t="s">
        <v>144</v>
      </c>
      <c r="G43" s="10">
        <f t="shared" si="0"/>
        <v>2024</v>
      </c>
      <c r="H43" s="10">
        <f t="shared" si="1"/>
        <v>1</v>
      </c>
      <c r="I43" s="10">
        <f t="shared" si="2"/>
        <v>7</v>
      </c>
      <c r="J43" s="9" t="s">
        <v>25</v>
      </c>
      <c r="K43" s="2" t="s">
        <v>77</v>
      </c>
      <c r="L43" s="2">
        <v>175.49</v>
      </c>
      <c r="M43" s="2" t="s">
        <v>19</v>
      </c>
      <c r="N43" s="2" t="s">
        <v>26</v>
      </c>
      <c r="O43" s="2">
        <v>52</v>
      </c>
      <c r="P43" s="2">
        <v>3</v>
      </c>
    </row>
    <row r="44" spans="2:16" ht="21" hidden="1" x14ac:dyDescent="0.55000000000000004">
      <c r="B44" s="2" t="s">
        <v>193</v>
      </c>
      <c r="C44" s="2" t="s">
        <v>194</v>
      </c>
      <c r="D44" s="2" t="s">
        <v>29</v>
      </c>
      <c r="E44" s="2" t="s">
        <v>37</v>
      </c>
      <c r="F44" s="6" t="s">
        <v>31</v>
      </c>
      <c r="G44" s="10">
        <f t="shared" si="0"/>
        <v>2024</v>
      </c>
      <c r="H44" s="10">
        <f t="shared" si="1"/>
        <v>1</v>
      </c>
      <c r="I44" s="10">
        <f t="shared" si="2"/>
        <v>14</v>
      </c>
      <c r="J44" s="9" t="s">
        <v>195</v>
      </c>
      <c r="K44" s="2" t="s">
        <v>91</v>
      </c>
      <c r="L44" s="2">
        <v>211.52</v>
      </c>
      <c r="M44" s="2" t="s">
        <v>19</v>
      </c>
      <c r="N44" s="2" t="s">
        <v>20</v>
      </c>
      <c r="O44" s="2">
        <v>32</v>
      </c>
      <c r="P44" s="2">
        <v>5</v>
      </c>
    </row>
    <row r="45" spans="2:16" ht="21" hidden="1" x14ac:dyDescent="0.55000000000000004">
      <c r="B45" s="2" t="s">
        <v>196</v>
      </c>
      <c r="C45" s="2" t="s">
        <v>197</v>
      </c>
      <c r="D45" s="2" t="s">
        <v>73</v>
      </c>
      <c r="E45" s="2" t="s">
        <v>61</v>
      </c>
      <c r="F45" s="6" t="s">
        <v>198</v>
      </c>
      <c r="G45" s="10">
        <f t="shared" si="0"/>
        <v>2024</v>
      </c>
      <c r="H45" s="10">
        <f t="shared" si="1"/>
        <v>1</v>
      </c>
      <c r="I45" s="10">
        <f t="shared" si="2"/>
        <v>4</v>
      </c>
      <c r="J45" s="9" t="s">
        <v>199</v>
      </c>
      <c r="K45" s="2" t="s">
        <v>33</v>
      </c>
      <c r="L45" s="2">
        <v>290.18</v>
      </c>
      <c r="M45" s="2" t="s">
        <v>65</v>
      </c>
      <c r="N45" s="2" t="s">
        <v>41</v>
      </c>
      <c r="O45" s="2">
        <v>31</v>
      </c>
      <c r="P45" s="2">
        <v>2</v>
      </c>
    </row>
    <row r="46" spans="2:16" ht="21" x14ac:dyDescent="0.55000000000000004">
      <c r="B46" s="2" t="s">
        <v>200</v>
      </c>
      <c r="C46" s="2" t="s">
        <v>201</v>
      </c>
      <c r="D46" s="2" t="s">
        <v>29</v>
      </c>
      <c r="E46" s="2" t="s">
        <v>54</v>
      </c>
      <c r="F46" s="6" t="s">
        <v>198</v>
      </c>
      <c r="G46" s="10">
        <f t="shared" si="0"/>
        <v>2024</v>
      </c>
      <c r="H46" s="10">
        <f t="shared" si="1"/>
        <v>1</v>
      </c>
      <c r="I46" s="10">
        <f t="shared" si="2"/>
        <v>4</v>
      </c>
      <c r="J46" s="9" t="s">
        <v>202</v>
      </c>
      <c r="K46" s="2" t="s">
        <v>91</v>
      </c>
      <c r="L46" s="2">
        <v>395.29</v>
      </c>
      <c r="M46" s="2" t="s">
        <v>65</v>
      </c>
      <c r="N46" s="2" t="s">
        <v>41</v>
      </c>
      <c r="O46" s="2">
        <v>43</v>
      </c>
      <c r="P46" s="2">
        <v>1</v>
      </c>
    </row>
    <row r="47" spans="2:16" ht="21" hidden="1" x14ac:dyDescent="0.55000000000000004">
      <c r="B47" s="2" t="s">
        <v>203</v>
      </c>
      <c r="C47" s="2" t="s">
        <v>204</v>
      </c>
      <c r="D47" s="2" t="s">
        <v>117</v>
      </c>
      <c r="E47" s="2" t="s">
        <v>74</v>
      </c>
      <c r="F47" s="6" t="s">
        <v>55</v>
      </c>
      <c r="G47" s="10">
        <f t="shared" si="0"/>
        <v>2024</v>
      </c>
      <c r="H47" s="10">
        <f t="shared" si="1"/>
        <v>1</v>
      </c>
      <c r="I47" s="10">
        <f t="shared" si="2"/>
        <v>8</v>
      </c>
      <c r="J47" s="9" t="s">
        <v>205</v>
      </c>
      <c r="K47" s="2" t="s">
        <v>64</v>
      </c>
      <c r="L47" s="2">
        <v>332.59</v>
      </c>
      <c r="M47" s="2" t="s">
        <v>122</v>
      </c>
      <c r="N47" s="2" t="s">
        <v>50</v>
      </c>
      <c r="O47" s="2">
        <v>45</v>
      </c>
      <c r="P47" s="2">
        <v>3</v>
      </c>
    </row>
    <row r="48" spans="2:16" ht="21" hidden="1" x14ac:dyDescent="0.55000000000000004">
      <c r="B48" s="2" t="s">
        <v>206</v>
      </c>
      <c r="C48" s="2" t="s">
        <v>207</v>
      </c>
      <c r="D48" s="2" t="s">
        <v>117</v>
      </c>
      <c r="E48" s="2" t="s">
        <v>89</v>
      </c>
      <c r="F48" s="6" t="s">
        <v>113</v>
      </c>
      <c r="G48" s="10">
        <f t="shared" si="0"/>
        <v>2024</v>
      </c>
      <c r="H48" s="10">
        <f t="shared" si="1"/>
        <v>1</v>
      </c>
      <c r="I48" s="10">
        <f t="shared" si="2"/>
        <v>15</v>
      </c>
      <c r="J48" s="9" t="s">
        <v>208</v>
      </c>
      <c r="K48" s="2" t="s">
        <v>91</v>
      </c>
      <c r="L48" s="2">
        <v>133.55000000000001</v>
      </c>
      <c r="M48" s="2" t="s">
        <v>122</v>
      </c>
      <c r="N48" s="2" t="s">
        <v>41</v>
      </c>
      <c r="O48" s="2">
        <v>54</v>
      </c>
      <c r="P48" s="2">
        <v>5</v>
      </c>
    </row>
    <row r="49" spans="2:16" ht="21" hidden="1" x14ac:dyDescent="0.55000000000000004">
      <c r="B49" s="2" t="s">
        <v>209</v>
      </c>
      <c r="C49" s="2" t="s">
        <v>210</v>
      </c>
      <c r="D49" s="2" t="s">
        <v>53</v>
      </c>
      <c r="E49" s="2" t="s">
        <v>45</v>
      </c>
      <c r="F49" s="6" t="s">
        <v>97</v>
      </c>
      <c r="G49" s="10">
        <f t="shared" si="0"/>
        <v>2024</v>
      </c>
      <c r="H49" s="10">
        <f t="shared" si="1"/>
        <v>1</v>
      </c>
      <c r="I49" s="10">
        <f t="shared" si="2"/>
        <v>23</v>
      </c>
      <c r="J49" s="9" t="s">
        <v>211</v>
      </c>
      <c r="K49" s="2" t="s">
        <v>77</v>
      </c>
      <c r="L49" s="2">
        <v>423.21</v>
      </c>
      <c r="M49" s="2" t="s">
        <v>19</v>
      </c>
      <c r="N49" s="2" t="s">
        <v>41</v>
      </c>
      <c r="O49" s="2">
        <v>54</v>
      </c>
      <c r="P49" s="2"/>
    </row>
    <row r="50" spans="2:16" ht="21" hidden="1" x14ac:dyDescent="0.55000000000000004">
      <c r="B50" s="2" t="s">
        <v>212</v>
      </c>
      <c r="C50" s="2" t="s">
        <v>213</v>
      </c>
      <c r="D50" s="2" t="s">
        <v>23</v>
      </c>
      <c r="E50" s="2" t="s">
        <v>74</v>
      </c>
      <c r="F50" s="6" t="s">
        <v>129</v>
      </c>
      <c r="G50" s="10">
        <f t="shared" si="0"/>
        <v>2024</v>
      </c>
      <c r="H50" s="10">
        <f t="shared" si="1"/>
        <v>1</v>
      </c>
      <c r="I50" s="10">
        <f t="shared" si="2"/>
        <v>19</v>
      </c>
      <c r="J50" s="9" t="s">
        <v>214</v>
      </c>
      <c r="K50" s="2" t="s">
        <v>40</v>
      </c>
      <c r="L50" s="2">
        <v>277.29000000000002</v>
      </c>
      <c r="M50" s="2" t="s">
        <v>122</v>
      </c>
      <c r="N50" s="2" t="s">
        <v>20</v>
      </c>
      <c r="O50" s="2">
        <v>33</v>
      </c>
      <c r="P50" s="2">
        <v>5</v>
      </c>
    </row>
    <row r="51" spans="2:16" ht="21" hidden="1" x14ac:dyDescent="0.55000000000000004">
      <c r="B51" s="2" t="s">
        <v>215</v>
      </c>
      <c r="C51" s="2" t="s">
        <v>216</v>
      </c>
      <c r="D51" s="2" t="s">
        <v>23</v>
      </c>
      <c r="E51" s="2" t="s">
        <v>80</v>
      </c>
      <c r="F51" s="6" t="s">
        <v>75</v>
      </c>
      <c r="G51" s="10">
        <f t="shared" si="0"/>
        <v>2024</v>
      </c>
      <c r="H51" s="10">
        <f t="shared" si="1"/>
        <v>1</v>
      </c>
      <c r="I51" s="10">
        <f t="shared" si="2"/>
        <v>25</v>
      </c>
      <c r="J51" s="9" t="s">
        <v>217</v>
      </c>
      <c r="K51" s="2" t="s">
        <v>40</v>
      </c>
      <c r="L51" s="2">
        <v>476.45</v>
      </c>
      <c r="M51" s="2" t="s">
        <v>65</v>
      </c>
      <c r="N51" s="2" t="s">
        <v>50</v>
      </c>
      <c r="O51" s="2">
        <v>65</v>
      </c>
      <c r="P51" s="2">
        <v>2</v>
      </c>
    </row>
    <row r="52" spans="2:16" ht="21" hidden="1" x14ac:dyDescent="0.55000000000000004">
      <c r="B52" s="2" t="s">
        <v>218</v>
      </c>
      <c r="C52" s="2" t="s">
        <v>219</v>
      </c>
      <c r="D52" s="2" t="s">
        <v>106</v>
      </c>
      <c r="E52" s="2" t="s">
        <v>45</v>
      </c>
      <c r="F52" s="6" t="s">
        <v>69</v>
      </c>
      <c r="G52" s="10">
        <f t="shared" si="0"/>
        <v>2024</v>
      </c>
      <c r="H52" s="10">
        <f t="shared" si="1"/>
        <v>1</v>
      </c>
      <c r="I52" s="10">
        <f t="shared" si="2"/>
        <v>27</v>
      </c>
      <c r="J52" s="9" t="s">
        <v>220</v>
      </c>
      <c r="K52" s="2" t="s">
        <v>64</v>
      </c>
      <c r="L52" s="2">
        <v>60.49</v>
      </c>
      <c r="M52" s="2" t="s">
        <v>122</v>
      </c>
      <c r="N52" s="2" t="s">
        <v>20</v>
      </c>
      <c r="O52" s="2">
        <v>62</v>
      </c>
      <c r="P52" s="2">
        <v>4</v>
      </c>
    </row>
    <row r="53" spans="2:16" ht="21" hidden="1" x14ac:dyDescent="0.55000000000000004">
      <c r="B53" s="2" t="s">
        <v>221</v>
      </c>
      <c r="C53" s="2" t="s">
        <v>222</v>
      </c>
      <c r="D53" s="2" t="s">
        <v>60</v>
      </c>
      <c r="E53" s="2" t="s">
        <v>37</v>
      </c>
      <c r="F53" s="6" t="s">
        <v>81</v>
      </c>
      <c r="G53" s="10">
        <f t="shared" si="0"/>
        <v>2024</v>
      </c>
      <c r="H53" s="10">
        <f t="shared" si="1"/>
        <v>1</v>
      </c>
      <c r="I53" s="10">
        <f t="shared" si="2"/>
        <v>18</v>
      </c>
      <c r="J53" s="9" t="s">
        <v>223</v>
      </c>
      <c r="K53" s="2" t="s">
        <v>33</v>
      </c>
      <c r="L53" s="2">
        <v>397.36</v>
      </c>
      <c r="M53" s="2" t="s">
        <v>49</v>
      </c>
      <c r="N53" s="2" t="s">
        <v>50</v>
      </c>
      <c r="O53" s="2">
        <v>53</v>
      </c>
      <c r="P53" s="2"/>
    </row>
    <row r="54" spans="2:16" ht="21" x14ac:dyDescent="0.55000000000000004">
      <c r="B54" s="2" t="s">
        <v>224</v>
      </c>
      <c r="C54" s="2" t="s">
        <v>225</v>
      </c>
      <c r="D54" s="2" t="s">
        <v>73</v>
      </c>
      <c r="E54" s="2" t="s">
        <v>54</v>
      </c>
      <c r="F54" s="6" t="s">
        <v>129</v>
      </c>
      <c r="G54" s="10">
        <f t="shared" si="0"/>
        <v>2024</v>
      </c>
      <c r="H54" s="10">
        <f t="shared" si="1"/>
        <v>1</v>
      </c>
      <c r="I54" s="10">
        <f t="shared" si="2"/>
        <v>19</v>
      </c>
      <c r="J54" s="9" t="s">
        <v>226</v>
      </c>
      <c r="K54" s="2" t="s">
        <v>33</v>
      </c>
      <c r="L54" s="2">
        <v>448.63</v>
      </c>
      <c r="M54" s="2" t="s">
        <v>65</v>
      </c>
      <c r="N54" s="2" t="s">
        <v>41</v>
      </c>
      <c r="O54" s="2">
        <v>70</v>
      </c>
      <c r="P54" s="2">
        <v>5</v>
      </c>
    </row>
    <row r="55" spans="2:16" ht="21" hidden="1" x14ac:dyDescent="0.55000000000000004">
      <c r="B55" s="2" t="s">
        <v>227</v>
      </c>
      <c r="C55" s="2" t="s">
        <v>228</v>
      </c>
      <c r="D55" s="2" t="s">
        <v>68</v>
      </c>
      <c r="E55" s="2" t="s">
        <v>89</v>
      </c>
      <c r="F55" s="6" t="s">
        <v>81</v>
      </c>
      <c r="G55" s="10">
        <f t="shared" si="0"/>
        <v>2024</v>
      </c>
      <c r="H55" s="10">
        <f t="shared" si="1"/>
        <v>1</v>
      </c>
      <c r="I55" s="10">
        <f t="shared" si="2"/>
        <v>18</v>
      </c>
      <c r="J55" s="9" t="s">
        <v>229</v>
      </c>
      <c r="K55" s="2" t="s">
        <v>77</v>
      </c>
      <c r="L55" s="2">
        <v>478.69</v>
      </c>
      <c r="M55" s="2" t="s">
        <v>65</v>
      </c>
      <c r="N55" s="2" t="s">
        <v>20</v>
      </c>
      <c r="O55" s="2">
        <v>48</v>
      </c>
      <c r="P55" s="2">
        <v>5</v>
      </c>
    </row>
    <row r="56" spans="2:16" ht="21" x14ac:dyDescent="0.55000000000000004">
      <c r="B56" s="2" t="s">
        <v>230</v>
      </c>
      <c r="C56" s="2" t="s">
        <v>231</v>
      </c>
      <c r="D56" s="2" t="s">
        <v>106</v>
      </c>
      <c r="E56" s="2" t="s">
        <v>54</v>
      </c>
      <c r="F56" s="6" t="s">
        <v>38</v>
      </c>
      <c r="G56" s="10">
        <f t="shared" si="0"/>
        <v>2024</v>
      </c>
      <c r="H56" s="10">
        <f t="shared" si="1"/>
        <v>1</v>
      </c>
      <c r="I56" s="10">
        <f t="shared" si="2"/>
        <v>11</v>
      </c>
      <c r="J56" s="9" t="s">
        <v>232</v>
      </c>
      <c r="K56" s="2" t="s">
        <v>33</v>
      </c>
      <c r="L56" s="2">
        <v>184.16</v>
      </c>
      <c r="M56" s="2" t="s">
        <v>65</v>
      </c>
      <c r="N56" s="2" t="s">
        <v>41</v>
      </c>
      <c r="O56" s="2">
        <v>37</v>
      </c>
      <c r="P56" s="2">
        <v>1</v>
      </c>
    </row>
    <row r="57" spans="2:16" ht="21" hidden="1" x14ac:dyDescent="0.55000000000000004">
      <c r="B57" s="2" t="s">
        <v>233</v>
      </c>
      <c r="C57" s="2" t="s">
        <v>234</v>
      </c>
      <c r="D57" s="2" t="s">
        <v>14</v>
      </c>
      <c r="E57" s="2" t="s">
        <v>80</v>
      </c>
      <c r="F57" s="6" t="s">
        <v>62</v>
      </c>
      <c r="G57" s="10">
        <f t="shared" si="0"/>
        <v>2024</v>
      </c>
      <c r="H57" s="10">
        <f t="shared" si="1"/>
        <v>1</v>
      </c>
      <c r="I57" s="10">
        <f t="shared" si="2"/>
        <v>31</v>
      </c>
      <c r="J57" s="9" t="s">
        <v>235</v>
      </c>
      <c r="K57" s="2" t="s">
        <v>57</v>
      </c>
      <c r="L57" s="2">
        <v>322.26</v>
      </c>
      <c r="M57" s="2" t="s">
        <v>65</v>
      </c>
      <c r="N57" s="2" t="s">
        <v>41</v>
      </c>
      <c r="O57" s="2">
        <v>40</v>
      </c>
      <c r="P57" s="2">
        <v>2</v>
      </c>
    </row>
    <row r="58" spans="2:16" ht="21" hidden="1" x14ac:dyDescent="0.55000000000000004">
      <c r="B58" s="2" t="s">
        <v>236</v>
      </c>
      <c r="C58" s="2" t="s">
        <v>237</v>
      </c>
      <c r="D58" s="2" t="s">
        <v>73</v>
      </c>
      <c r="E58" s="2" t="s">
        <v>139</v>
      </c>
      <c r="F58" s="6" t="s">
        <v>238</v>
      </c>
      <c r="G58" s="10">
        <f t="shared" si="0"/>
        <v>2024</v>
      </c>
      <c r="H58" s="10">
        <f t="shared" si="1"/>
        <v>1</v>
      </c>
      <c r="I58" s="10">
        <f t="shared" si="2"/>
        <v>20</v>
      </c>
      <c r="J58" s="9" t="s">
        <v>239</v>
      </c>
      <c r="K58" s="2" t="s">
        <v>48</v>
      </c>
      <c r="L58" s="2">
        <v>374.48</v>
      </c>
      <c r="M58" s="2" t="s">
        <v>122</v>
      </c>
      <c r="N58" s="2" t="s">
        <v>41</v>
      </c>
      <c r="O58" s="2">
        <v>85</v>
      </c>
      <c r="P58" s="2">
        <v>5</v>
      </c>
    </row>
    <row r="59" spans="2:16" ht="21" hidden="1" x14ac:dyDescent="0.55000000000000004">
      <c r="B59" s="2" t="s">
        <v>240</v>
      </c>
      <c r="C59" s="2" t="s">
        <v>241</v>
      </c>
      <c r="D59" s="2" t="s">
        <v>60</v>
      </c>
      <c r="E59" s="2" t="s">
        <v>61</v>
      </c>
      <c r="F59" s="6" t="s">
        <v>238</v>
      </c>
      <c r="G59" s="10">
        <f t="shared" si="0"/>
        <v>2024</v>
      </c>
      <c r="H59" s="10">
        <f t="shared" si="1"/>
        <v>1</v>
      </c>
      <c r="I59" s="10">
        <f t="shared" si="2"/>
        <v>20</v>
      </c>
      <c r="J59" s="9" t="s">
        <v>242</v>
      </c>
      <c r="K59" s="2" t="s">
        <v>33</v>
      </c>
      <c r="L59" s="2">
        <v>346.2</v>
      </c>
      <c r="M59" s="2" t="s">
        <v>122</v>
      </c>
      <c r="N59" s="2" t="s">
        <v>26</v>
      </c>
      <c r="O59" s="2">
        <v>41</v>
      </c>
      <c r="P59" s="2">
        <v>2</v>
      </c>
    </row>
    <row r="60" spans="2:16" ht="21" hidden="1" x14ac:dyDescent="0.55000000000000004">
      <c r="B60" s="2" t="s">
        <v>243</v>
      </c>
      <c r="C60" s="2" t="s">
        <v>244</v>
      </c>
      <c r="D60" s="2" t="s">
        <v>106</v>
      </c>
      <c r="E60" s="2" t="s">
        <v>37</v>
      </c>
      <c r="F60" s="6" t="s">
        <v>24</v>
      </c>
      <c r="G60" s="10">
        <f t="shared" si="0"/>
        <v>2024</v>
      </c>
      <c r="H60" s="10">
        <f t="shared" si="1"/>
        <v>1</v>
      </c>
      <c r="I60" s="10">
        <f t="shared" si="2"/>
        <v>21</v>
      </c>
      <c r="J60" s="9" t="s">
        <v>245</v>
      </c>
      <c r="K60" s="2" t="s">
        <v>18</v>
      </c>
      <c r="L60" s="2">
        <v>244.07</v>
      </c>
      <c r="M60" s="2" t="s">
        <v>122</v>
      </c>
      <c r="N60" s="2" t="s">
        <v>41</v>
      </c>
      <c r="O60" s="2">
        <v>77</v>
      </c>
      <c r="P60" s="2">
        <v>3</v>
      </c>
    </row>
    <row r="61" spans="2:16" ht="21" hidden="1" x14ac:dyDescent="0.55000000000000004">
      <c r="B61" s="2" t="s">
        <v>246</v>
      </c>
      <c r="C61" s="2" t="s">
        <v>247</v>
      </c>
      <c r="D61" s="2" t="s">
        <v>73</v>
      </c>
      <c r="E61" s="2" t="s">
        <v>74</v>
      </c>
      <c r="F61" s="6" t="s">
        <v>118</v>
      </c>
      <c r="G61" s="10">
        <f t="shared" si="0"/>
        <v>2024</v>
      </c>
      <c r="H61" s="10">
        <f t="shared" si="1"/>
        <v>1</v>
      </c>
      <c r="I61" s="10">
        <f t="shared" si="2"/>
        <v>24</v>
      </c>
      <c r="J61" s="9" t="s">
        <v>248</v>
      </c>
      <c r="K61" s="2" t="s">
        <v>40</v>
      </c>
      <c r="L61" s="2">
        <v>239.25</v>
      </c>
      <c r="M61" s="2" t="s">
        <v>49</v>
      </c>
      <c r="N61" s="2" t="s">
        <v>26</v>
      </c>
      <c r="O61" s="2">
        <v>60</v>
      </c>
      <c r="P61" s="2">
        <v>1</v>
      </c>
    </row>
    <row r="62" spans="2:16" ht="21" x14ac:dyDescent="0.55000000000000004">
      <c r="B62" s="2" t="s">
        <v>249</v>
      </c>
      <c r="C62" s="2" t="s">
        <v>250</v>
      </c>
      <c r="D62" s="2" t="s">
        <v>23</v>
      </c>
      <c r="E62" s="2" t="s">
        <v>54</v>
      </c>
      <c r="F62" s="6" t="s">
        <v>140</v>
      </c>
      <c r="G62" s="10">
        <f t="shared" si="0"/>
        <v>2024</v>
      </c>
      <c r="H62" s="10">
        <f t="shared" si="1"/>
        <v>1</v>
      </c>
      <c r="I62" s="10">
        <f t="shared" si="2"/>
        <v>29</v>
      </c>
      <c r="J62" s="9" t="s">
        <v>251</v>
      </c>
      <c r="K62" s="2" t="s">
        <v>77</v>
      </c>
      <c r="L62" s="2">
        <v>276.91000000000003</v>
      </c>
      <c r="M62" s="2" t="s">
        <v>49</v>
      </c>
      <c r="N62" s="2" t="s">
        <v>26</v>
      </c>
      <c r="O62" s="2">
        <v>18</v>
      </c>
      <c r="P62" s="2"/>
    </row>
    <row r="63" spans="2:16" ht="21" x14ac:dyDescent="0.55000000000000004">
      <c r="B63" s="2" t="s">
        <v>252</v>
      </c>
      <c r="C63" s="2" t="s">
        <v>253</v>
      </c>
      <c r="D63" s="2" t="s">
        <v>29</v>
      </c>
      <c r="E63" s="2" t="s">
        <v>54</v>
      </c>
      <c r="F63" s="6" t="s">
        <v>46</v>
      </c>
      <c r="G63" s="10">
        <f t="shared" si="0"/>
        <v>2024</v>
      </c>
      <c r="H63" s="10">
        <f t="shared" si="1"/>
        <v>1</v>
      </c>
      <c r="I63" s="10">
        <f t="shared" si="2"/>
        <v>17</v>
      </c>
      <c r="J63" s="9" t="s">
        <v>254</v>
      </c>
      <c r="K63" s="2" t="s">
        <v>91</v>
      </c>
      <c r="L63" s="2">
        <v>209.26</v>
      </c>
      <c r="M63" s="2" t="s">
        <v>65</v>
      </c>
      <c r="N63" s="2" t="s">
        <v>26</v>
      </c>
      <c r="O63" s="2">
        <v>59</v>
      </c>
      <c r="P63" s="2">
        <v>2</v>
      </c>
    </row>
    <row r="64" spans="2:16" ht="21" hidden="1" x14ac:dyDescent="0.55000000000000004">
      <c r="B64" s="2" t="s">
        <v>255</v>
      </c>
      <c r="C64" s="2" t="s">
        <v>256</v>
      </c>
      <c r="D64" s="2" t="s">
        <v>53</v>
      </c>
      <c r="E64" s="2" t="s">
        <v>45</v>
      </c>
      <c r="F64" s="6" t="s">
        <v>257</v>
      </c>
      <c r="G64" s="10">
        <f t="shared" si="0"/>
        <v>2024</v>
      </c>
      <c r="H64" s="10">
        <f t="shared" si="1"/>
        <v>1</v>
      </c>
      <c r="I64" s="10">
        <f t="shared" si="2"/>
        <v>10</v>
      </c>
      <c r="J64" s="9" t="s">
        <v>258</v>
      </c>
      <c r="K64" s="2" t="s">
        <v>40</v>
      </c>
      <c r="L64" s="2">
        <v>379.69</v>
      </c>
      <c r="M64" s="2" t="s">
        <v>122</v>
      </c>
      <c r="N64" s="2" t="s">
        <v>26</v>
      </c>
      <c r="O64" s="2">
        <v>31</v>
      </c>
      <c r="P64" s="2">
        <v>3</v>
      </c>
    </row>
    <row r="65" spans="2:16" ht="21" hidden="1" x14ac:dyDescent="0.55000000000000004">
      <c r="B65" s="2" t="s">
        <v>259</v>
      </c>
      <c r="C65" s="2" t="s">
        <v>260</v>
      </c>
      <c r="D65" s="2" t="s">
        <v>117</v>
      </c>
      <c r="E65" s="2" t="s">
        <v>45</v>
      </c>
      <c r="F65" s="6" t="s">
        <v>154</v>
      </c>
      <c r="G65" s="10">
        <f t="shared" si="0"/>
        <v>2024</v>
      </c>
      <c r="H65" s="10">
        <f t="shared" si="1"/>
        <v>1</v>
      </c>
      <c r="I65" s="10">
        <f t="shared" si="2"/>
        <v>22</v>
      </c>
      <c r="J65" s="9" t="s">
        <v>261</v>
      </c>
      <c r="K65" s="2" t="s">
        <v>91</v>
      </c>
      <c r="L65" s="2">
        <v>327.61</v>
      </c>
      <c r="M65" s="2" t="s">
        <v>122</v>
      </c>
      <c r="N65" s="2" t="s">
        <v>41</v>
      </c>
      <c r="O65" s="2">
        <v>39</v>
      </c>
      <c r="P65" s="2">
        <v>4</v>
      </c>
    </row>
    <row r="66" spans="2:16" ht="21" hidden="1" x14ac:dyDescent="0.55000000000000004">
      <c r="B66" s="2" t="s">
        <v>262</v>
      </c>
      <c r="C66" s="2" t="s">
        <v>263</v>
      </c>
      <c r="D66" s="2" t="s">
        <v>106</v>
      </c>
      <c r="E66" s="2" t="s">
        <v>80</v>
      </c>
      <c r="F66" s="6" t="s">
        <v>140</v>
      </c>
      <c r="G66" s="10">
        <f t="shared" si="0"/>
        <v>2024</v>
      </c>
      <c r="H66" s="10">
        <f t="shared" si="1"/>
        <v>1</v>
      </c>
      <c r="I66" s="10">
        <f t="shared" si="2"/>
        <v>29</v>
      </c>
      <c r="J66" s="9" t="s">
        <v>264</v>
      </c>
      <c r="K66" s="2" t="s">
        <v>18</v>
      </c>
      <c r="L66" s="2">
        <v>249.96</v>
      </c>
      <c r="M66" s="2" t="s">
        <v>122</v>
      </c>
      <c r="N66" s="2" t="s">
        <v>41</v>
      </c>
      <c r="O66" s="2">
        <v>72</v>
      </c>
      <c r="P66" s="2">
        <v>5</v>
      </c>
    </row>
    <row r="67" spans="2:16" ht="21" hidden="1" x14ac:dyDescent="0.55000000000000004">
      <c r="B67" s="2" t="s">
        <v>265</v>
      </c>
      <c r="C67" s="2" t="s">
        <v>266</v>
      </c>
      <c r="D67" s="2" t="s">
        <v>44</v>
      </c>
      <c r="E67" s="2" t="s">
        <v>80</v>
      </c>
      <c r="F67" s="6" t="s">
        <v>55</v>
      </c>
      <c r="G67" s="10">
        <f t="shared" si="0"/>
        <v>2024</v>
      </c>
      <c r="H67" s="10">
        <f t="shared" si="1"/>
        <v>1</v>
      </c>
      <c r="I67" s="10">
        <f t="shared" si="2"/>
        <v>8</v>
      </c>
      <c r="J67" s="9" t="s">
        <v>202</v>
      </c>
      <c r="K67" s="2" t="s">
        <v>40</v>
      </c>
      <c r="L67" s="2">
        <v>272.47000000000003</v>
      </c>
      <c r="M67" s="2" t="s">
        <v>122</v>
      </c>
      <c r="N67" s="2" t="s">
        <v>20</v>
      </c>
      <c r="O67" s="2">
        <v>33</v>
      </c>
      <c r="P67" s="2"/>
    </row>
    <row r="68" spans="2:16" ht="21" hidden="1" x14ac:dyDescent="0.55000000000000004">
      <c r="B68" s="2" t="s">
        <v>267</v>
      </c>
      <c r="C68" s="2" t="s">
        <v>268</v>
      </c>
      <c r="D68" s="2" t="s">
        <v>53</v>
      </c>
      <c r="E68" s="2" t="s">
        <v>61</v>
      </c>
      <c r="F68" s="6" t="s">
        <v>132</v>
      </c>
      <c r="G68" s="10">
        <f t="shared" ref="G68:G131" si="3">YEAR(F68)</f>
        <v>2024</v>
      </c>
      <c r="H68" s="10">
        <f t="shared" ref="H68:H131" si="4">MONTH(F68)</f>
        <v>1</v>
      </c>
      <c r="I68" s="10">
        <f t="shared" ref="I68:I131" si="5">DAY(F68)</f>
        <v>6</v>
      </c>
      <c r="J68" s="9" t="s">
        <v>269</v>
      </c>
      <c r="K68" s="2" t="s">
        <v>77</v>
      </c>
      <c r="L68" s="2">
        <v>387.76</v>
      </c>
      <c r="M68" s="2" t="s">
        <v>19</v>
      </c>
      <c r="N68" s="2" t="s">
        <v>50</v>
      </c>
      <c r="O68" s="2">
        <v>85</v>
      </c>
      <c r="P68" s="2">
        <v>4</v>
      </c>
    </row>
    <row r="69" spans="2:16" ht="21" hidden="1" x14ac:dyDescent="0.55000000000000004">
      <c r="B69" s="2" t="s">
        <v>270</v>
      </c>
      <c r="C69" s="2" t="s">
        <v>271</v>
      </c>
      <c r="D69" s="2" t="s">
        <v>53</v>
      </c>
      <c r="E69" s="2" t="s">
        <v>45</v>
      </c>
      <c r="F69" s="6" t="s">
        <v>272</v>
      </c>
      <c r="G69" s="10">
        <f t="shared" si="3"/>
        <v>2024</v>
      </c>
      <c r="H69" s="10">
        <f t="shared" si="4"/>
        <v>1</v>
      </c>
      <c r="I69" s="10">
        <f t="shared" si="5"/>
        <v>1</v>
      </c>
      <c r="J69" s="9" t="s">
        <v>273</v>
      </c>
      <c r="K69" s="2" t="s">
        <v>18</v>
      </c>
      <c r="L69" s="2">
        <v>271.87</v>
      </c>
      <c r="M69" s="2" t="s">
        <v>65</v>
      </c>
      <c r="N69" s="2" t="s">
        <v>20</v>
      </c>
      <c r="O69" s="2">
        <v>65</v>
      </c>
      <c r="P69" s="2"/>
    </row>
    <row r="70" spans="2:16" ht="21" hidden="1" x14ac:dyDescent="0.55000000000000004">
      <c r="B70" s="2" t="s">
        <v>274</v>
      </c>
      <c r="C70" s="2" t="s">
        <v>275</v>
      </c>
      <c r="D70" s="2" t="s">
        <v>106</v>
      </c>
      <c r="E70" s="2" t="s">
        <v>89</v>
      </c>
      <c r="F70" s="6" t="s">
        <v>118</v>
      </c>
      <c r="G70" s="10">
        <f t="shared" si="3"/>
        <v>2024</v>
      </c>
      <c r="H70" s="10">
        <f t="shared" si="4"/>
        <v>1</v>
      </c>
      <c r="I70" s="10">
        <f t="shared" si="5"/>
        <v>24</v>
      </c>
      <c r="J70" s="9" t="s">
        <v>276</v>
      </c>
      <c r="K70" s="2" t="s">
        <v>48</v>
      </c>
      <c r="L70" s="2">
        <v>464.54</v>
      </c>
      <c r="M70" s="2" t="s">
        <v>49</v>
      </c>
      <c r="N70" s="2" t="s">
        <v>26</v>
      </c>
      <c r="O70" s="2">
        <v>27</v>
      </c>
      <c r="P70" s="2">
        <v>2</v>
      </c>
    </row>
    <row r="71" spans="2:16" ht="21" hidden="1" x14ac:dyDescent="0.55000000000000004">
      <c r="B71" s="2" t="s">
        <v>277</v>
      </c>
      <c r="C71" s="2" t="s">
        <v>278</v>
      </c>
      <c r="D71" s="2" t="s">
        <v>117</v>
      </c>
      <c r="E71" s="2" t="s">
        <v>61</v>
      </c>
      <c r="F71" s="6" t="s">
        <v>97</v>
      </c>
      <c r="G71" s="10">
        <f t="shared" si="3"/>
        <v>2024</v>
      </c>
      <c r="H71" s="10">
        <f t="shared" si="4"/>
        <v>1</v>
      </c>
      <c r="I71" s="10">
        <f t="shared" si="5"/>
        <v>23</v>
      </c>
      <c r="J71" s="9" t="s">
        <v>279</v>
      </c>
      <c r="K71" s="2" t="s">
        <v>48</v>
      </c>
      <c r="L71" s="2">
        <v>486.64</v>
      </c>
      <c r="M71" s="2" t="s">
        <v>122</v>
      </c>
      <c r="N71" s="2" t="s">
        <v>50</v>
      </c>
      <c r="O71" s="2">
        <v>83</v>
      </c>
      <c r="P71" s="2">
        <v>2</v>
      </c>
    </row>
    <row r="72" spans="2:16" ht="21" hidden="1" x14ac:dyDescent="0.55000000000000004">
      <c r="B72" s="2" t="s">
        <v>280</v>
      </c>
      <c r="C72" s="2" t="s">
        <v>281</v>
      </c>
      <c r="D72" s="2" t="s">
        <v>29</v>
      </c>
      <c r="E72" s="2" t="s">
        <v>15</v>
      </c>
      <c r="F72" s="6" t="s">
        <v>46</v>
      </c>
      <c r="G72" s="10">
        <f t="shared" si="3"/>
        <v>2024</v>
      </c>
      <c r="H72" s="10">
        <f t="shared" si="4"/>
        <v>1</v>
      </c>
      <c r="I72" s="10">
        <f t="shared" si="5"/>
        <v>17</v>
      </c>
      <c r="J72" s="9" t="s">
        <v>282</v>
      </c>
      <c r="K72" s="2" t="s">
        <v>18</v>
      </c>
      <c r="L72" s="2">
        <v>463.87</v>
      </c>
      <c r="M72" s="2" t="s">
        <v>19</v>
      </c>
      <c r="N72" s="2" t="s">
        <v>26</v>
      </c>
      <c r="O72" s="2">
        <v>88</v>
      </c>
      <c r="P72" s="2">
        <v>5</v>
      </c>
    </row>
    <row r="73" spans="2:16" ht="21" hidden="1" x14ac:dyDescent="0.55000000000000004">
      <c r="B73" s="2" t="s">
        <v>283</v>
      </c>
      <c r="C73" s="2" t="s">
        <v>284</v>
      </c>
      <c r="D73" s="2" t="s">
        <v>44</v>
      </c>
      <c r="E73" s="2" t="s">
        <v>89</v>
      </c>
      <c r="F73" s="6" t="s">
        <v>161</v>
      </c>
      <c r="G73" s="10">
        <f t="shared" si="3"/>
        <v>2024</v>
      </c>
      <c r="H73" s="10">
        <f t="shared" si="4"/>
        <v>1</v>
      </c>
      <c r="I73" s="10">
        <f t="shared" si="5"/>
        <v>5</v>
      </c>
      <c r="J73" s="9" t="s">
        <v>285</v>
      </c>
      <c r="K73" s="2" t="s">
        <v>64</v>
      </c>
      <c r="L73" s="2">
        <v>258.64</v>
      </c>
      <c r="M73" s="2" t="s">
        <v>49</v>
      </c>
      <c r="N73" s="2" t="s">
        <v>26</v>
      </c>
      <c r="O73" s="2">
        <v>58</v>
      </c>
      <c r="P73" s="2">
        <v>2</v>
      </c>
    </row>
    <row r="74" spans="2:16" ht="21" hidden="1" x14ac:dyDescent="0.55000000000000004">
      <c r="B74" s="2" t="s">
        <v>286</v>
      </c>
      <c r="C74" s="2" t="s">
        <v>287</v>
      </c>
      <c r="D74" s="2" t="s">
        <v>60</v>
      </c>
      <c r="E74" s="2" t="s">
        <v>139</v>
      </c>
      <c r="F74" s="6" t="s">
        <v>16</v>
      </c>
      <c r="G74" s="10">
        <f t="shared" si="3"/>
        <v>2024</v>
      </c>
      <c r="H74" s="10">
        <f t="shared" si="4"/>
        <v>1</v>
      </c>
      <c r="I74" s="10">
        <f t="shared" si="5"/>
        <v>9</v>
      </c>
      <c r="J74" s="9" t="s">
        <v>288</v>
      </c>
      <c r="K74" s="2" t="s">
        <v>64</v>
      </c>
      <c r="L74" s="2">
        <v>365.2</v>
      </c>
      <c r="M74" s="2" t="s">
        <v>122</v>
      </c>
      <c r="N74" s="2" t="s">
        <v>50</v>
      </c>
      <c r="O74" s="2">
        <v>28</v>
      </c>
      <c r="P74" s="2">
        <v>5</v>
      </c>
    </row>
    <row r="75" spans="2:16" ht="21" hidden="1" x14ac:dyDescent="0.55000000000000004">
      <c r="B75" s="2" t="s">
        <v>289</v>
      </c>
      <c r="C75" s="2" t="s">
        <v>290</v>
      </c>
      <c r="D75" s="2" t="s">
        <v>44</v>
      </c>
      <c r="E75" s="2" t="s">
        <v>139</v>
      </c>
      <c r="F75" s="6" t="s">
        <v>31</v>
      </c>
      <c r="G75" s="10">
        <f t="shared" si="3"/>
        <v>2024</v>
      </c>
      <c r="H75" s="10">
        <f t="shared" si="4"/>
        <v>1</v>
      </c>
      <c r="I75" s="10">
        <f t="shared" si="5"/>
        <v>14</v>
      </c>
      <c r="J75" s="9" t="s">
        <v>291</v>
      </c>
      <c r="K75" s="2" t="s">
        <v>64</v>
      </c>
      <c r="L75" s="2">
        <v>270.56</v>
      </c>
      <c r="M75" s="2" t="s">
        <v>49</v>
      </c>
      <c r="N75" s="2" t="s">
        <v>41</v>
      </c>
      <c r="O75" s="2">
        <v>23</v>
      </c>
      <c r="P75" s="2">
        <v>2</v>
      </c>
    </row>
    <row r="76" spans="2:16" ht="21" hidden="1" x14ac:dyDescent="0.55000000000000004">
      <c r="B76" s="2" t="s">
        <v>292</v>
      </c>
      <c r="C76" s="2" t="s">
        <v>293</v>
      </c>
      <c r="D76" s="2" t="s">
        <v>106</v>
      </c>
      <c r="E76" s="2" t="s">
        <v>139</v>
      </c>
      <c r="F76" s="6" t="s">
        <v>46</v>
      </c>
      <c r="G76" s="10">
        <f t="shared" si="3"/>
        <v>2024</v>
      </c>
      <c r="H76" s="10">
        <f t="shared" si="4"/>
        <v>1</v>
      </c>
      <c r="I76" s="10">
        <f t="shared" si="5"/>
        <v>17</v>
      </c>
      <c r="J76" s="9" t="s">
        <v>190</v>
      </c>
      <c r="K76" s="2" t="s">
        <v>48</v>
      </c>
      <c r="L76" s="2">
        <v>164.58</v>
      </c>
      <c r="M76" s="2" t="s">
        <v>122</v>
      </c>
      <c r="N76" s="2" t="s">
        <v>41</v>
      </c>
      <c r="O76" s="2">
        <v>28</v>
      </c>
      <c r="P76" s="2">
        <v>5</v>
      </c>
    </row>
    <row r="77" spans="2:16" ht="21" hidden="1" x14ac:dyDescent="0.55000000000000004">
      <c r="B77" s="2" t="s">
        <v>294</v>
      </c>
      <c r="C77" s="2" t="s">
        <v>295</v>
      </c>
      <c r="D77" s="2" t="s">
        <v>53</v>
      </c>
      <c r="E77" s="2" t="s">
        <v>139</v>
      </c>
      <c r="F77" s="6" t="s">
        <v>238</v>
      </c>
      <c r="G77" s="10">
        <f t="shared" si="3"/>
        <v>2024</v>
      </c>
      <c r="H77" s="10">
        <f t="shared" si="4"/>
        <v>1</v>
      </c>
      <c r="I77" s="10">
        <f t="shared" si="5"/>
        <v>20</v>
      </c>
      <c r="J77" s="9" t="s">
        <v>296</v>
      </c>
      <c r="K77" s="2" t="s">
        <v>57</v>
      </c>
      <c r="L77" s="2">
        <v>106.97</v>
      </c>
      <c r="M77" s="2" t="s">
        <v>49</v>
      </c>
      <c r="N77" s="2" t="s">
        <v>26</v>
      </c>
      <c r="O77" s="2">
        <v>88</v>
      </c>
      <c r="P77" s="2">
        <v>2</v>
      </c>
    </row>
    <row r="78" spans="2:16" ht="21" hidden="1" x14ac:dyDescent="0.55000000000000004">
      <c r="B78" s="2" t="s">
        <v>297</v>
      </c>
      <c r="C78" s="2" t="s">
        <v>298</v>
      </c>
      <c r="D78" s="2" t="s">
        <v>44</v>
      </c>
      <c r="E78" s="2" t="s">
        <v>45</v>
      </c>
      <c r="F78" s="6" t="s">
        <v>31</v>
      </c>
      <c r="G78" s="10">
        <f t="shared" si="3"/>
        <v>2024</v>
      </c>
      <c r="H78" s="10">
        <f t="shared" si="4"/>
        <v>1</v>
      </c>
      <c r="I78" s="10">
        <f t="shared" si="5"/>
        <v>14</v>
      </c>
      <c r="J78" s="9" t="s">
        <v>299</v>
      </c>
      <c r="K78" s="2" t="s">
        <v>48</v>
      </c>
      <c r="L78" s="2">
        <v>461.99</v>
      </c>
      <c r="M78" s="2" t="s">
        <v>19</v>
      </c>
      <c r="N78" s="2" t="s">
        <v>41</v>
      </c>
      <c r="O78" s="2">
        <v>20</v>
      </c>
      <c r="P78" s="2">
        <v>5</v>
      </c>
    </row>
    <row r="79" spans="2:16" ht="21" hidden="1" x14ac:dyDescent="0.55000000000000004">
      <c r="B79" s="2" t="s">
        <v>300</v>
      </c>
      <c r="C79" s="2" t="s">
        <v>301</v>
      </c>
      <c r="D79" s="2" t="s">
        <v>14</v>
      </c>
      <c r="E79" s="2" t="s">
        <v>37</v>
      </c>
      <c r="F79" s="6" t="s">
        <v>302</v>
      </c>
      <c r="G79" s="10">
        <f t="shared" si="3"/>
        <v>2024</v>
      </c>
      <c r="H79" s="10">
        <f t="shared" si="4"/>
        <v>1</v>
      </c>
      <c r="I79" s="10">
        <f t="shared" si="5"/>
        <v>2</v>
      </c>
      <c r="J79" s="9" t="s">
        <v>303</v>
      </c>
      <c r="K79" s="2" t="s">
        <v>64</v>
      </c>
      <c r="L79" s="2">
        <v>301.60000000000002</v>
      </c>
      <c r="M79" s="2" t="s">
        <v>65</v>
      </c>
      <c r="N79" s="2" t="s">
        <v>20</v>
      </c>
      <c r="O79" s="2">
        <v>60</v>
      </c>
      <c r="P79" s="2">
        <v>5</v>
      </c>
    </row>
    <row r="80" spans="2:16" ht="21" hidden="1" x14ac:dyDescent="0.55000000000000004">
      <c r="B80" s="2" t="s">
        <v>304</v>
      </c>
      <c r="C80" s="2" t="s">
        <v>305</v>
      </c>
      <c r="D80" s="2" t="s">
        <v>23</v>
      </c>
      <c r="E80" s="2" t="s">
        <v>74</v>
      </c>
      <c r="F80" s="6" t="s">
        <v>46</v>
      </c>
      <c r="G80" s="10">
        <f t="shared" si="3"/>
        <v>2024</v>
      </c>
      <c r="H80" s="10">
        <f t="shared" si="4"/>
        <v>1</v>
      </c>
      <c r="I80" s="10">
        <f t="shared" si="5"/>
        <v>17</v>
      </c>
      <c r="J80" s="9" t="s">
        <v>306</v>
      </c>
      <c r="K80" s="2" t="s">
        <v>64</v>
      </c>
      <c r="L80" s="2">
        <v>332.92</v>
      </c>
      <c r="M80" s="2" t="s">
        <v>19</v>
      </c>
      <c r="N80" s="2" t="s">
        <v>50</v>
      </c>
      <c r="O80" s="2">
        <v>64</v>
      </c>
      <c r="P80" s="2">
        <v>2</v>
      </c>
    </row>
    <row r="81" spans="2:16" ht="21" hidden="1" x14ac:dyDescent="0.55000000000000004">
      <c r="B81" s="2" t="s">
        <v>307</v>
      </c>
      <c r="C81" s="2" t="s">
        <v>308</v>
      </c>
      <c r="D81" s="2" t="s">
        <v>73</v>
      </c>
      <c r="E81" s="2" t="s">
        <v>74</v>
      </c>
      <c r="F81" s="6" t="s">
        <v>24</v>
      </c>
      <c r="G81" s="10">
        <f t="shared" si="3"/>
        <v>2024</v>
      </c>
      <c r="H81" s="10">
        <f t="shared" si="4"/>
        <v>1</v>
      </c>
      <c r="I81" s="10">
        <f t="shared" si="5"/>
        <v>21</v>
      </c>
      <c r="J81" s="9" t="s">
        <v>309</v>
      </c>
      <c r="K81" s="2" t="s">
        <v>91</v>
      </c>
      <c r="L81" s="2">
        <v>244.29</v>
      </c>
      <c r="M81" s="2" t="s">
        <v>122</v>
      </c>
      <c r="N81" s="2" t="s">
        <v>26</v>
      </c>
      <c r="O81" s="2">
        <v>84</v>
      </c>
      <c r="P81" s="2">
        <v>3</v>
      </c>
    </row>
    <row r="82" spans="2:16" ht="21" hidden="1" x14ac:dyDescent="0.55000000000000004">
      <c r="B82" s="2" t="s">
        <v>310</v>
      </c>
      <c r="C82" s="2" t="s">
        <v>311</v>
      </c>
      <c r="D82" s="2" t="s">
        <v>14</v>
      </c>
      <c r="E82" s="2" t="s">
        <v>139</v>
      </c>
      <c r="F82" s="6" t="s">
        <v>62</v>
      </c>
      <c r="G82" s="10">
        <f t="shared" si="3"/>
        <v>2024</v>
      </c>
      <c r="H82" s="10">
        <f t="shared" si="4"/>
        <v>1</v>
      </c>
      <c r="I82" s="10">
        <f t="shared" si="5"/>
        <v>31</v>
      </c>
      <c r="J82" s="9" t="s">
        <v>312</v>
      </c>
      <c r="K82" s="2" t="s">
        <v>91</v>
      </c>
      <c r="L82" s="2">
        <v>337.33</v>
      </c>
      <c r="M82" s="2" t="s">
        <v>122</v>
      </c>
      <c r="N82" s="2" t="s">
        <v>41</v>
      </c>
      <c r="O82" s="2">
        <v>75</v>
      </c>
      <c r="P82" s="2">
        <v>4</v>
      </c>
    </row>
    <row r="83" spans="2:16" ht="21" hidden="1" x14ac:dyDescent="0.55000000000000004">
      <c r="B83" s="2" t="s">
        <v>313</v>
      </c>
      <c r="C83" s="2" t="s">
        <v>314</v>
      </c>
      <c r="D83" s="2" t="s">
        <v>73</v>
      </c>
      <c r="E83" s="2" t="s">
        <v>89</v>
      </c>
      <c r="F83" s="6" t="s">
        <v>272</v>
      </c>
      <c r="G83" s="10">
        <f t="shared" si="3"/>
        <v>2024</v>
      </c>
      <c r="H83" s="10">
        <f t="shared" si="4"/>
        <v>1</v>
      </c>
      <c r="I83" s="10">
        <f t="shared" si="5"/>
        <v>1</v>
      </c>
      <c r="J83" s="9" t="s">
        <v>315</v>
      </c>
      <c r="K83" s="2" t="s">
        <v>18</v>
      </c>
      <c r="L83" s="2">
        <v>165.31</v>
      </c>
      <c r="M83" s="2" t="s">
        <v>65</v>
      </c>
      <c r="N83" s="2" t="s">
        <v>20</v>
      </c>
      <c r="O83" s="2">
        <v>57</v>
      </c>
      <c r="P83" s="2"/>
    </row>
    <row r="84" spans="2:16" ht="21" hidden="1" x14ac:dyDescent="0.55000000000000004">
      <c r="B84" s="2" t="s">
        <v>316</v>
      </c>
      <c r="C84" s="2" t="s">
        <v>59</v>
      </c>
      <c r="D84" s="2" t="s">
        <v>73</v>
      </c>
      <c r="E84" s="2" t="s">
        <v>139</v>
      </c>
      <c r="F84" s="6" t="s">
        <v>317</v>
      </c>
      <c r="G84" s="10">
        <f t="shared" si="3"/>
        <v>2024</v>
      </c>
      <c r="H84" s="10">
        <f t="shared" si="4"/>
        <v>1</v>
      </c>
      <c r="I84" s="10">
        <f t="shared" si="5"/>
        <v>3</v>
      </c>
      <c r="J84" s="9" t="s">
        <v>318</v>
      </c>
      <c r="K84" s="2" t="s">
        <v>91</v>
      </c>
      <c r="L84" s="2">
        <v>233.94</v>
      </c>
      <c r="M84" s="2" t="s">
        <v>122</v>
      </c>
      <c r="N84" s="2" t="s">
        <v>26</v>
      </c>
      <c r="O84" s="2">
        <v>18</v>
      </c>
      <c r="P84" s="2"/>
    </row>
    <row r="85" spans="2:16" ht="21" hidden="1" x14ac:dyDescent="0.55000000000000004">
      <c r="B85" s="2" t="s">
        <v>319</v>
      </c>
      <c r="C85" s="2" t="s">
        <v>320</v>
      </c>
      <c r="D85" s="2" t="s">
        <v>44</v>
      </c>
      <c r="E85" s="2" t="s">
        <v>45</v>
      </c>
      <c r="F85" s="6" t="s">
        <v>132</v>
      </c>
      <c r="G85" s="10">
        <f t="shared" si="3"/>
        <v>2024</v>
      </c>
      <c r="H85" s="10">
        <f t="shared" si="4"/>
        <v>1</v>
      </c>
      <c r="I85" s="10">
        <f t="shared" si="5"/>
        <v>6</v>
      </c>
      <c r="J85" s="9" t="s">
        <v>110</v>
      </c>
      <c r="K85" s="2" t="s">
        <v>64</v>
      </c>
      <c r="L85" s="2">
        <v>365.53</v>
      </c>
      <c r="M85" s="2" t="s">
        <v>65</v>
      </c>
      <c r="N85" s="2" t="s">
        <v>20</v>
      </c>
      <c r="O85" s="2">
        <v>31</v>
      </c>
      <c r="P85" s="2">
        <v>3</v>
      </c>
    </row>
    <row r="86" spans="2:16" ht="21" hidden="1" x14ac:dyDescent="0.55000000000000004">
      <c r="B86" s="2" t="s">
        <v>321</v>
      </c>
      <c r="C86" s="2" t="s">
        <v>322</v>
      </c>
      <c r="D86" s="2" t="s">
        <v>23</v>
      </c>
      <c r="E86" s="2" t="s">
        <v>61</v>
      </c>
      <c r="F86" s="6" t="s">
        <v>85</v>
      </c>
      <c r="G86" s="10">
        <f t="shared" si="3"/>
        <v>2024</v>
      </c>
      <c r="H86" s="10">
        <f t="shared" si="4"/>
        <v>1</v>
      </c>
      <c r="I86" s="10">
        <f t="shared" si="5"/>
        <v>16</v>
      </c>
      <c r="J86" s="9" t="s">
        <v>323</v>
      </c>
      <c r="K86" s="2" t="s">
        <v>91</v>
      </c>
      <c r="L86" s="2">
        <v>383.22</v>
      </c>
      <c r="M86" s="2" t="s">
        <v>65</v>
      </c>
      <c r="N86" s="2" t="s">
        <v>20</v>
      </c>
      <c r="O86" s="2">
        <v>46</v>
      </c>
      <c r="P86" s="2">
        <v>2</v>
      </c>
    </row>
    <row r="87" spans="2:16" ht="21" hidden="1" x14ac:dyDescent="0.55000000000000004">
      <c r="B87" s="2" t="s">
        <v>324</v>
      </c>
      <c r="C87" s="2" t="s">
        <v>325</v>
      </c>
      <c r="D87" s="2" t="s">
        <v>14</v>
      </c>
      <c r="E87" s="2" t="s">
        <v>125</v>
      </c>
      <c r="F87" s="6" t="s">
        <v>180</v>
      </c>
      <c r="G87" s="10">
        <f t="shared" si="3"/>
        <v>2024</v>
      </c>
      <c r="H87" s="10">
        <f t="shared" si="4"/>
        <v>1</v>
      </c>
      <c r="I87" s="10">
        <f t="shared" si="5"/>
        <v>28</v>
      </c>
      <c r="J87" s="9" t="s">
        <v>326</v>
      </c>
      <c r="K87" s="2" t="s">
        <v>77</v>
      </c>
      <c r="L87" s="2">
        <v>90.93</v>
      </c>
      <c r="M87" s="2" t="s">
        <v>122</v>
      </c>
      <c r="N87" s="2" t="s">
        <v>50</v>
      </c>
      <c r="O87" s="2">
        <v>30</v>
      </c>
      <c r="P87" s="2">
        <v>2</v>
      </c>
    </row>
    <row r="88" spans="2:16" ht="21" hidden="1" x14ac:dyDescent="0.55000000000000004">
      <c r="B88" s="2" t="s">
        <v>327</v>
      </c>
      <c r="C88" s="2" t="s">
        <v>328</v>
      </c>
      <c r="D88" s="2" t="s">
        <v>68</v>
      </c>
      <c r="E88" s="2" t="s">
        <v>125</v>
      </c>
      <c r="F88" s="6" t="s">
        <v>154</v>
      </c>
      <c r="G88" s="10">
        <f t="shared" si="3"/>
        <v>2024</v>
      </c>
      <c r="H88" s="10">
        <f t="shared" si="4"/>
        <v>1</v>
      </c>
      <c r="I88" s="10">
        <f t="shared" si="5"/>
        <v>22</v>
      </c>
      <c r="J88" s="9" t="s">
        <v>329</v>
      </c>
      <c r="K88" s="2" t="s">
        <v>18</v>
      </c>
      <c r="L88" s="2">
        <v>252.51</v>
      </c>
      <c r="M88" s="2" t="s">
        <v>49</v>
      </c>
      <c r="N88" s="2" t="s">
        <v>41</v>
      </c>
      <c r="O88" s="2">
        <v>78</v>
      </c>
      <c r="P88" s="2">
        <v>3</v>
      </c>
    </row>
    <row r="89" spans="2:16" ht="21" hidden="1" x14ac:dyDescent="0.55000000000000004">
      <c r="B89" s="2" t="s">
        <v>330</v>
      </c>
      <c r="C89" s="2" t="s">
        <v>331</v>
      </c>
      <c r="D89" s="2" t="s">
        <v>14</v>
      </c>
      <c r="E89" s="2" t="s">
        <v>89</v>
      </c>
      <c r="F89" s="6" t="s">
        <v>140</v>
      </c>
      <c r="G89" s="10">
        <f t="shared" si="3"/>
        <v>2024</v>
      </c>
      <c r="H89" s="10">
        <f t="shared" si="4"/>
        <v>1</v>
      </c>
      <c r="I89" s="10">
        <f t="shared" si="5"/>
        <v>29</v>
      </c>
      <c r="J89" s="9" t="s">
        <v>208</v>
      </c>
      <c r="K89" s="2" t="s">
        <v>64</v>
      </c>
      <c r="L89" s="2">
        <v>245.66</v>
      </c>
      <c r="M89" s="2" t="s">
        <v>122</v>
      </c>
      <c r="N89" s="2" t="s">
        <v>50</v>
      </c>
      <c r="O89" s="2">
        <v>15</v>
      </c>
      <c r="P89" s="2">
        <v>3</v>
      </c>
    </row>
    <row r="90" spans="2:16" ht="21" x14ac:dyDescent="0.55000000000000004">
      <c r="B90" s="2" t="s">
        <v>332</v>
      </c>
      <c r="C90" s="2" t="s">
        <v>333</v>
      </c>
      <c r="D90" s="2" t="s">
        <v>14</v>
      </c>
      <c r="E90" s="2" t="s">
        <v>54</v>
      </c>
      <c r="F90" s="6" t="s">
        <v>81</v>
      </c>
      <c r="G90" s="10">
        <f t="shared" si="3"/>
        <v>2024</v>
      </c>
      <c r="H90" s="10">
        <f t="shared" si="4"/>
        <v>1</v>
      </c>
      <c r="I90" s="10">
        <f t="shared" si="5"/>
        <v>18</v>
      </c>
      <c r="J90" s="9" t="s">
        <v>334</v>
      </c>
      <c r="K90" s="2" t="s">
        <v>48</v>
      </c>
      <c r="L90" s="2">
        <v>164.73</v>
      </c>
      <c r="M90" s="2" t="s">
        <v>19</v>
      </c>
      <c r="N90" s="2" t="s">
        <v>26</v>
      </c>
      <c r="O90" s="2">
        <v>69</v>
      </c>
      <c r="P90" s="2">
        <v>4</v>
      </c>
    </row>
    <row r="91" spans="2:16" ht="21" hidden="1" x14ac:dyDescent="0.55000000000000004">
      <c r="B91" s="2" t="s">
        <v>335</v>
      </c>
      <c r="C91" s="2" t="s">
        <v>336</v>
      </c>
      <c r="D91" s="2" t="s">
        <v>44</v>
      </c>
      <c r="E91" s="2" t="s">
        <v>45</v>
      </c>
      <c r="F91" s="6" t="s">
        <v>31</v>
      </c>
      <c r="G91" s="10">
        <f t="shared" si="3"/>
        <v>2024</v>
      </c>
      <c r="H91" s="10">
        <f t="shared" si="4"/>
        <v>1</v>
      </c>
      <c r="I91" s="10">
        <f t="shared" si="5"/>
        <v>14</v>
      </c>
      <c r="J91" s="9" t="s">
        <v>337</v>
      </c>
      <c r="K91" s="2" t="s">
        <v>48</v>
      </c>
      <c r="L91" s="2">
        <v>182.13</v>
      </c>
      <c r="M91" s="2" t="s">
        <v>19</v>
      </c>
      <c r="N91" s="2" t="s">
        <v>20</v>
      </c>
      <c r="O91" s="2">
        <v>61</v>
      </c>
      <c r="P91" s="2">
        <v>5</v>
      </c>
    </row>
    <row r="92" spans="2:16" ht="21" hidden="1" x14ac:dyDescent="0.55000000000000004">
      <c r="B92" s="2" t="s">
        <v>338</v>
      </c>
      <c r="C92" s="2" t="s">
        <v>339</v>
      </c>
      <c r="D92" s="2" t="s">
        <v>23</v>
      </c>
      <c r="E92" s="2" t="s">
        <v>15</v>
      </c>
      <c r="F92" s="6" t="s">
        <v>97</v>
      </c>
      <c r="G92" s="10">
        <f t="shared" si="3"/>
        <v>2024</v>
      </c>
      <c r="H92" s="10">
        <f t="shared" si="4"/>
        <v>1</v>
      </c>
      <c r="I92" s="10">
        <f t="shared" si="5"/>
        <v>23</v>
      </c>
      <c r="J92" s="9" t="s">
        <v>340</v>
      </c>
      <c r="K92" s="2" t="s">
        <v>48</v>
      </c>
      <c r="L92" s="2">
        <v>115.53</v>
      </c>
      <c r="M92" s="2" t="s">
        <v>49</v>
      </c>
      <c r="N92" s="2" t="s">
        <v>26</v>
      </c>
      <c r="O92" s="2">
        <v>66</v>
      </c>
      <c r="P92" s="2">
        <v>1</v>
      </c>
    </row>
    <row r="93" spans="2:16" ht="21" hidden="1" x14ac:dyDescent="0.55000000000000004">
      <c r="B93" s="2" t="s">
        <v>341</v>
      </c>
      <c r="C93" s="2" t="s">
        <v>342</v>
      </c>
      <c r="D93" s="2" t="s">
        <v>60</v>
      </c>
      <c r="E93" s="2" t="s">
        <v>139</v>
      </c>
      <c r="F93" s="6" t="s">
        <v>343</v>
      </c>
      <c r="G93" s="10">
        <f t="shared" si="3"/>
        <v>2024</v>
      </c>
      <c r="H93" s="10">
        <f t="shared" si="4"/>
        <v>1</v>
      </c>
      <c r="I93" s="10">
        <f t="shared" si="5"/>
        <v>13</v>
      </c>
      <c r="J93" s="9" t="s">
        <v>344</v>
      </c>
      <c r="K93" s="2" t="s">
        <v>18</v>
      </c>
      <c r="L93" s="2">
        <v>483.28</v>
      </c>
      <c r="M93" s="2" t="s">
        <v>65</v>
      </c>
      <c r="N93" s="2" t="s">
        <v>20</v>
      </c>
      <c r="O93" s="2">
        <v>81</v>
      </c>
      <c r="P93" s="2"/>
    </row>
    <row r="94" spans="2:16" ht="21" x14ac:dyDescent="0.55000000000000004">
      <c r="B94" s="2" t="s">
        <v>345</v>
      </c>
      <c r="C94" s="2" t="s">
        <v>346</v>
      </c>
      <c r="D94" s="2" t="s">
        <v>23</v>
      </c>
      <c r="E94" s="2" t="s">
        <v>54</v>
      </c>
      <c r="F94" s="6" t="s">
        <v>272</v>
      </c>
      <c r="G94" s="10">
        <f t="shared" si="3"/>
        <v>2024</v>
      </c>
      <c r="H94" s="10">
        <f t="shared" si="4"/>
        <v>1</v>
      </c>
      <c r="I94" s="10">
        <f t="shared" si="5"/>
        <v>1</v>
      </c>
      <c r="J94" s="9" t="s">
        <v>25</v>
      </c>
      <c r="K94" s="2" t="s">
        <v>91</v>
      </c>
      <c r="L94" s="2">
        <v>115.6</v>
      </c>
      <c r="M94" s="2" t="s">
        <v>49</v>
      </c>
      <c r="N94" s="2" t="s">
        <v>26</v>
      </c>
      <c r="O94" s="2">
        <v>67</v>
      </c>
      <c r="P94" s="2">
        <v>4</v>
      </c>
    </row>
    <row r="95" spans="2:16" ht="21" hidden="1" x14ac:dyDescent="0.55000000000000004">
      <c r="B95" s="2" t="s">
        <v>347</v>
      </c>
      <c r="C95" s="2" t="s">
        <v>348</v>
      </c>
      <c r="D95" s="2" t="s">
        <v>29</v>
      </c>
      <c r="E95" s="2" t="s">
        <v>125</v>
      </c>
      <c r="F95" s="6" t="s">
        <v>349</v>
      </c>
      <c r="G95" s="10">
        <f t="shared" si="3"/>
        <v>2024</v>
      </c>
      <c r="H95" s="10">
        <f t="shared" si="4"/>
        <v>1</v>
      </c>
      <c r="I95" s="10">
        <f t="shared" si="5"/>
        <v>12</v>
      </c>
      <c r="J95" s="9" t="s">
        <v>350</v>
      </c>
      <c r="K95" s="2" t="s">
        <v>33</v>
      </c>
      <c r="L95" s="2">
        <v>318.14999999999998</v>
      </c>
      <c r="M95" s="2" t="s">
        <v>65</v>
      </c>
      <c r="N95" s="2" t="s">
        <v>50</v>
      </c>
      <c r="O95" s="2">
        <v>81</v>
      </c>
      <c r="P95" s="2">
        <v>5</v>
      </c>
    </row>
    <row r="96" spans="2:16" ht="21" hidden="1" x14ac:dyDescent="0.55000000000000004">
      <c r="B96" s="2" t="s">
        <v>351</v>
      </c>
      <c r="C96" s="2" t="s">
        <v>352</v>
      </c>
      <c r="D96" s="2" t="s">
        <v>73</v>
      </c>
      <c r="E96" s="2" t="s">
        <v>80</v>
      </c>
      <c r="F96" s="6" t="s">
        <v>31</v>
      </c>
      <c r="G96" s="10">
        <f t="shared" si="3"/>
        <v>2024</v>
      </c>
      <c r="H96" s="10">
        <f t="shared" si="4"/>
        <v>1</v>
      </c>
      <c r="I96" s="10">
        <f t="shared" si="5"/>
        <v>14</v>
      </c>
      <c r="J96" s="9" t="s">
        <v>353</v>
      </c>
      <c r="K96" s="2" t="s">
        <v>40</v>
      </c>
      <c r="L96" s="2">
        <v>94.7</v>
      </c>
      <c r="M96" s="2" t="s">
        <v>19</v>
      </c>
      <c r="N96" s="2" t="s">
        <v>20</v>
      </c>
      <c r="O96" s="2">
        <v>18</v>
      </c>
      <c r="P96" s="2"/>
    </row>
    <row r="97" spans="2:16" ht="21" hidden="1" x14ac:dyDescent="0.55000000000000004">
      <c r="B97" s="2" t="s">
        <v>354</v>
      </c>
      <c r="C97" s="2" t="s">
        <v>355</v>
      </c>
      <c r="D97" s="2" t="s">
        <v>14</v>
      </c>
      <c r="E97" s="2" t="s">
        <v>15</v>
      </c>
      <c r="F97" s="6" t="s">
        <v>62</v>
      </c>
      <c r="G97" s="10">
        <f t="shared" si="3"/>
        <v>2024</v>
      </c>
      <c r="H97" s="10">
        <f t="shared" si="4"/>
        <v>1</v>
      </c>
      <c r="I97" s="10">
        <f t="shared" si="5"/>
        <v>31</v>
      </c>
      <c r="J97" s="9" t="s">
        <v>356</v>
      </c>
      <c r="K97" s="2" t="s">
        <v>18</v>
      </c>
      <c r="L97" s="2">
        <v>291.23</v>
      </c>
      <c r="M97" s="2" t="s">
        <v>122</v>
      </c>
      <c r="N97" s="2" t="s">
        <v>20</v>
      </c>
      <c r="O97" s="2">
        <v>47</v>
      </c>
      <c r="P97" s="2">
        <v>5</v>
      </c>
    </row>
    <row r="98" spans="2:16" ht="21" hidden="1" x14ac:dyDescent="0.55000000000000004">
      <c r="B98" s="2" t="s">
        <v>357</v>
      </c>
      <c r="C98" s="2" t="s">
        <v>358</v>
      </c>
      <c r="D98" s="2" t="s">
        <v>106</v>
      </c>
      <c r="E98" s="2" t="s">
        <v>61</v>
      </c>
      <c r="F98" s="6" t="s">
        <v>118</v>
      </c>
      <c r="G98" s="10">
        <f t="shared" si="3"/>
        <v>2024</v>
      </c>
      <c r="H98" s="10">
        <f t="shared" si="4"/>
        <v>1</v>
      </c>
      <c r="I98" s="10">
        <f t="shared" si="5"/>
        <v>24</v>
      </c>
      <c r="J98" s="9" t="s">
        <v>359</v>
      </c>
      <c r="K98" s="2" t="s">
        <v>77</v>
      </c>
      <c r="L98" s="2">
        <v>237.13</v>
      </c>
      <c r="M98" s="2" t="s">
        <v>49</v>
      </c>
      <c r="N98" s="2" t="s">
        <v>41</v>
      </c>
      <c r="O98" s="2">
        <v>27</v>
      </c>
      <c r="P98" s="2">
        <v>3</v>
      </c>
    </row>
    <row r="99" spans="2:16" ht="21" hidden="1" x14ac:dyDescent="0.55000000000000004">
      <c r="B99" s="2" t="s">
        <v>360</v>
      </c>
      <c r="C99" s="2" t="s">
        <v>361</v>
      </c>
      <c r="D99" s="2" t="s">
        <v>44</v>
      </c>
      <c r="E99" s="2" t="s">
        <v>15</v>
      </c>
      <c r="F99" s="6" t="s">
        <v>144</v>
      </c>
      <c r="G99" s="10">
        <f t="shared" si="3"/>
        <v>2024</v>
      </c>
      <c r="H99" s="10">
        <f t="shared" si="4"/>
        <v>1</v>
      </c>
      <c r="I99" s="10">
        <f t="shared" si="5"/>
        <v>7</v>
      </c>
      <c r="J99" s="9" t="s">
        <v>362</v>
      </c>
      <c r="K99" s="2" t="s">
        <v>77</v>
      </c>
      <c r="L99" s="2">
        <v>306.05</v>
      </c>
      <c r="M99" s="2" t="s">
        <v>49</v>
      </c>
      <c r="N99" s="2" t="s">
        <v>50</v>
      </c>
      <c r="O99" s="2">
        <v>64</v>
      </c>
      <c r="P99" s="2">
        <v>4</v>
      </c>
    </row>
    <row r="100" spans="2:16" ht="21" hidden="1" x14ac:dyDescent="0.55000000000000004">
      <c r="B100" s="2" t="s">
        <v>363</v>
      </c>
      <c r="C100" s="2" t="s">
        <v>364</v>
      </c>
      <c r="D100" s="2" t="s">
        <v>44</v>
      </c>
      <c r="E100" s="2" t="s">
        <v>80</v>
      </c>
      <c r="F100" s="6" t="s">
        <v>113</v>
      </c>
      <c r="G100" s="10">
        <f t="shared" si="3"/>
        <v>2024</v>
      </c>
      <c r="H100" s="10">
        <f t="shared" si="4"/>
        <v>1</v>
      </c>
      <c r="I100" s="10">
        <f t="shared" si="5"/>
        <v>15</v>
      </c>
      <c r="J100" s="9" t="s">
        <v>365</v>
      </c>
      <c r="K100" s="2" t="s">
        <v>40</v>
      </c>
      <c r="L100" s="2">
        <v>264.58</v>
      </c>
      <c r="M100" s="2" t="s">
        <v>19</v>
      </c>
      <c r="N100" s="2" t="s">
        <v>41</v>
      </c>
      <c r="O100" s="2">
        <v>40</v>
      </c>
      <c r="P100" s="2">
        <v>5</v>
      </c>
    </row>
    <row r="101" spans="2:16" ht="21" hidden="1" x14ac:dyDescent="0.55000000000000004">
      <c r="B101" s="2" t="s">
        <v>366</v>
      </c>
      <c r="C101" s="2" t="s">
        <v>367</v>
      </c>
      <c r="D101" s="2" t="s">
        <v>117</v>
      </c>
      <c r="E101" s="2" t="s">
        <v>15</v>
      </c>
      <c r="F101" s="6" t="s">
        <v>349</v>
      </c>
      <c r="G101" s="10">
        <f t="shared" si="3"/>
        <v>2024</v>
      </c>
      <c r="H101" s="10">
        <f t="shared" si="4"/>
        <v>1</v>
      </c>
      <c r="I101" s="10">
        <f t="shared" si="5"/>
        <v>12</v>
      </c>
      <c r="J101" s="9" t="s">
        <v>98</v>
      </c>
      <c r="K101" s="2" t="s">
        <v>57</v>
      </c>
      <c r="L101" s="2">
        <v>136.11000000000001</v>
      </c>
      <c r="M101" s="2" t="s">
        <v>122</v>
      </c>
      <c r="N101" s="2" t="s">
        <v>41</v>
      </c>
      <c r="O101" s="2">
        <v>51</v>
      </c>
      <c r="P101" s="2">
        <v>2</v>
      </c>
    </row>
    <row r="102" spans="2:16" ht="21" hidden="1" x14ac:dyDescent="0.55000000000000004">
      <c r="B102" s="2" t="s">
        <v>368</v>
      </c>
      <c r="C102" s="2" t="s">
        <v>369</v>
      </c>
      <c r="D102" s="2" t="s">
        <v>53</v>
      </c>
      <c r="E102" s="2" t="s">
        <v>89</v>
      </c>
      <c r="F102" s="6" t="s">
        <v>238</v>
      </c>
      <c r="G102" s="10">
        <f t="shared" si="3"/>
        <v>2024</v>
      </c>
      <c r="H102" s="10">
        <f t="shared" si="4"/>
        <v>1</v>
      </c>
      <c r="I102" s="10">
        <f t="shared" si="5"/>
        <v>20</v>
      </c>
      <c r="J102" s="9" t="s">
        <v>370</v>
      </c>
      <c r="K102" s="2" t="s">
        <v>91</v>
      </c>
      <c r="L102" s="2">
        <v>342.57</v>
      </c>
      <c r="M102" s="2" t="s">
        <v>19</v>
      </c>
      <c r="N102" s="2" t="s">
        <v>26</v>
      </c>
      <c r="O102" s="2">
        <v>32</v>
      </c>
      <c r="P102" s="2">
        <v>2</v>
      </c>
    </row>
    <row r="103" spans="2:16" ht="21" hidden="1" x14ac:dyDescent="0.55000000000000004">
      <c r="B103" s="2" t="s">
        <v>371</v>
      </c>
      <c r="C103" s="2" t="s">
        <v>372</v>
      </c>
      <c r="D103" s="2" t="s">
        <v>53</v>
      </c>
      <c r="E103" s="2" t="s">
        <v>89</v>
      </c>
      <c r="F103" s="6" t="s">
        <v>46</v>
      </c>
      <c r="G103" s="10">
        <f t="shared" si="3"/>
        <v>2024</v>
      </c>
      <c r="H103" s="10">
        <f t="shared" si="4"/>
        <v>1</v>
      </c>
      <c r="I103" s="10">
        <f t="shared" si="5"/>
        <v>17</v>
      </c>
      <c r="J103" s="9" t="s">
        <v>63</v>
      </c>
      <c r="K103" s="2" t="s">
        <v>40</v>
      </c>
      <c r="L103" s="2">
        <v>455.4</v>
      </c>
      <c r="M103" s="2" t="s">
        <v>65</v>
      </c>
      <c r="N103" s="2" t="s">
        <v>20</v>
      </c>
      <c r="O103" s="2">
        <v>75</v>
      </c>
      <c r="P103" s="2"/>
    </row>
    <row r="104" spans="2:16" ht="21" hidden="1" x14ac:dyDescent="0.55000000000000004">
      <c r="B104" s="2" t="s">
        <v>373</v>
      </c>
      <c r="C104" s="2" t="s">
        <v>374</v>
      </c>
      <c r="D104" s="2" t="s">
        <v>23</v>
      </c>
      <c r="E104" s="2" t="s">
        <v>74</v>
      </c>
      <c r="F104" s="6" t="s">
        <v>24</v>
      </c>
      <c r="G104" s="10">
        <f t="shared" si="3"/>
        <v>2024</v>
      </c>
      <c r="H104" s="10">
        <f t="shared" si="4"/>
        <v>1</v>
      </c>
      <c r="I104" s="10">
        <f t="shared" si="5"/>
        <v>21</v>
      </c>
      <c r="J104" s="9" t="s">
        <v>334</v>
      </c>
      <c r="K104" s="2" t="s">
        <v>40</v>
      </c>
      <c r="L104" s="2">
        <v>245.81</v>
      </c>
      <c r="M104" s="2" t="s">
        <v>19</v>
      </c>
      <c r="N104" s="2" t="s">
        <v>41</v>
      </c>
      <c r="O104" s="2">
        <v>81</v>
      </c>
      <c r="P104" s="2"/>
    </row>
    <row r="105" spans="2:16" ht="21" hidden="1" x14ac:dyDescent="0.55000000000000004">
      <c r="B105" s="2" t="s">
        <v>375</v>
      </c>
      <c r="C105" s="2" t="s">
        <v>228</v>
      </c>
      <c r="D105" s="2" t="s">
        <v>73</v>
      </c>
      <c r="E105" s="2" t="s">
        <v>80</v>
      </c>
      <c r="F105" s="6" t="s">
        <v>97</v>
      </c>
      <c r="G105" s="10">
        <f t="shared" si="3"/>
        <v>2024</v>
      </c>
      <c r="H105" s="10">
        <f t="shared" si="4"/>
        <v>1</v>
      </c>
      <c r="I105" s="10">
        <f t="shared" si="5"/>
        <v>23</v>
      </c>
      <c r="J105" s="9" t="s">
        <v>190</v>
      </c>
      <c r="K105" s="2" t="s">
        <v>64</v>
      </c>
      <c r="L105" s="2">
        <v>357.48</v>
      </c>
      <c r="M105" s="2" t="s">
        <v>49</v>
      </c>
      <c r="N105" s="2" t="s">
        <v>20</v>
      </c>
      <c r="O105" s="2">
        <v>64</v>
      </c>
      <c r="P105" s="2">
        <v>1</v>
      </c>
    </row>
    <row r="106" spans="2:16" ht="21" hidden="1" x14ac:dyDescent="0.55000000000000004">
      <c r="B106" s="2" t="s">
        <v>376</v>
      </c>
      <c r="C106" s="2" t="s">
        <v>377</v>
      </c>
      <c r="D106" s="2" t="s">
        <v>73</v>
      </c>
      <c r="E106" s="2" t="s">
        <v>80</v>
      </c>
      <c r="F106" s="6" t="s">
        <v>129</v>
      </c>
      <c r="G106" s="10">
        <f t="shared" si="3"/>
        <v>2024</v>
      </c>
      <c r="H106" s="10">
        <f t="shared" si="4"/>
        <v>1</v>
      </c>
      <c r="I106" s="10">
        <f t="shared" si="5"/>
        <v>19</v>
      </c>
      <c r="J106" s="9" t="s">
        <v>378</v>
      </c>
      <c r="K106" s="2" t="s">
        <v>64</v>
      </c>
      <c r="L106" s="2">
        <v>336.31</v>
      </c>
      <c r="M106" s="2" t="s">
        <v>19</v>
      </c>
      <c r="N106" s="2" t="s">
        <v>50</v>
      </c>
      <c r="O106" s="2">
        <v>90</v>
      </c>
      <c r="P106" s="2">
        <v>2</v>
      </c>
    </row>
    <row r="107" spans="2:16" ht="21" hidden="1" x14ac:dyDescent="0.55000000000000004">
      <c r="B107" s="2" t="s">
        <v>379</v>
      </c>
      <c r="C107" s="2" t="s">
        <v>380</v>
      </c>
      <c r="D107" s="2" t="s">
        <v>117</v>
      </c>
      <c r="E107" s="2" t="s">
        <v>80</v>
      </c>
      <c r="F107" s="6" t="s">
        <v>144</v>
      </c>
      <c r="G107" s="10">
        <f t="shared" si="3"/>
        <v>2024</v>
      </c>
      <c r="H107" s="10">
        <f t="shared" si="4"/>
        <v>1</v>
      </c>
      <c r="I107" s="10">
        <f t="shared" si="5"/>
        <v>7</v>
      </c>
      <c r="J107" s="9" t="s">
        <v>381</v>
      </c>
      <c r="K107" s="2" t="s">
        <v>18</v>
      </c>
      <c r="L107" s="2">
        <v>207.71</v>
      </c>
      <c r="M107" s="2" t="s">
        <v>49</v>
      </c>
      <c r="N107" s="2" t="s">
        <v>50</v>
      </c>
      <c r="O107" s="2">
        <v>78</v>
      </c>
      <c r="P107" s="2">
        <v>1</v>
      </c>
    </row>
    <row r="108" spans="2:16" ht="21" hidden="1" x14ac:dyDescent="0.55000000000000004">
      <c r="B108" s="2" t="s">
        <v>382</v>
      </c>
      <c r="C108" s="2" t="s">
        <v>383</v>
      </c>
      <c r="D108" s="2" t="s">
        <v>44</v>
      </c>
      <c r="E108" s="2" t="s">
        <v>37</v>
      </c>
      <c r="F108" s="6" t="s">
        <v>38</v>
      </c>
      <c r="G108" s="10">
        <f t="shared" si="3"/>
        <v>2024</v>
      </c>
      <c r="H108" s="10">
        <f t="shared" si="4"/>
        <v>1</v>
      </c>
      <c r="I108" s="10">
        <f t="shared" si="5"/>
        <v>11</v>
      </c>
      <c r="J108" s="9" t="s">
        <v>384</v>
      </c>
      <c r="K108" s="2" t="s">
        <v>33</v>
      </c>
      <c r="L108" s="2">
        <v>428.84</v>
      </c>
      <c r="M108" s="2" t="s">
        <v>65</v>
      </c>
      <c r="N108" s="2" t="s">
        <v>50</v>
      </c>
      <c r="O108" s="2">
        <v>46</v>
      </c>
      <c r="P108" s="2">
        <v>3</v>
      </c>
    </row>
    <row r="109" spans="2:16" ht="21" hidden="1" x14ac:dyDescent="0.55000000000000004">
      <c r="B109" s="2" t="s">
        <v>385</v>
      </c>
      <c r="C109" s="2" t="s">
        <v>386</v>
      </c>
      <c r="D109" s="2" t="s">
        <v>60</v>
      </c>
      <c r="E109" s="2" t="s">
        <v>74</v>
      </c>
      <c r="F109" s="6" t="s">
        <v>144</v>
      </c>
      <c r="G109" s="10">
        <f t="shared" si="3"/>
        <v>2024</v>
      </c>
      <c r="H109" s="10">
        <f t="shared" si="4"/>
        <v>1</v>
      </c>
      <c r="I109" s="10">
        <f t="shared" si="5"/>
        <v>7</v>
      </c>
      <c r="J109" s="9" t="s">
        <v>387</v>
      </c>
      <c r="K109" s="2" t="s">
        <v>48</v>
      </c>
      <c r="L109" s="2">
        <v>442.66</v>
      </c>
      <c r="M109" s="2" t="s">
        <v>65</v>
      </c>
      <c r="N109" s="2" t="s">
        <v>26</v>
      </c>
      <c r="O109" s="2">
        <v>64</v>
      </c>
      <c r="P109" s="2">
        <v>2</v>
      </c>
    </row>
    <row r="110" spans="2:16" ht="21" hidden="1" x14ac:dyDescent="0.55000000000000004">
      <c r="B110" s="2" t="s">
        <v>388</v>
      </c>
      <c r="C110" s="2" t="s">
        <v>389</v>
      </c>
      <c r="D110" s="2" t="s">
        <v>73</v>
      </c>
      <c r="E110" s="2" t="s">
        <v>45</v>
      </c>
      <c r="F110" s="6" t="s">
        <v>81</v>
      </c>
      <c r="G110" s="10">
        <f t="shared" si="3"/>
        <v>2024</v>
      </c>
      <c r="H110" s="10">
        <f t="shared" si="4"/>
        <v>1</v>
      </c>
      <c r="I110" s="10">
        <f t="shared" si="5"/>
        <v>18</v>
      </c>
      <c r="J110" s="9" t="s">
        <v>390</v>
      </c>
      <c r="K110" s="2" t="s">
        <v>91</v>
      </c>
      <c r="L110" s="2">
        <v>216.87</v>
      </c>
      <c r="M110" s="2" t="s">
        <v>19</v>
      </c>
      <c r="N110" s="2" t="s">
        <v>41</v>
      </c>
      <c r="O110" s="2">
        <v>80</v>
      </c>
      <c r="P110" s="2">
        <v>1</v>
      </c>
    </row>
    <row r="111" spans="2:16" ht="21" hidden="1" x14ac:dyDescent="0.55000000000000004">
      <c r="B111" s="2" t="s">
        <v>391</v>
      </c>
      <c r="C111" s="2" t="s">
        <v>392</v>
      </c>
      <c r="D111" s="2" t="s">
        <v>29</v>
      </c>
      <c r="E111" s="2" t="s">
        <v>74</v>
      </c>
      <c r="F111" s="6" t="s">
        <v>272</v>
      </c>
      <c r="G111" s="10">
        <f t="shared" si="3"/>
        <v>2024</v>
      </c>
      <c r="H111" s="10">
        <f t="shared" si="4"/>
        <v>1</v>
      </c>
      <c r="I111" s="10">
        <f t="shared" si="5"/>
        <v>1</v>
      </c>
      <c r="J111" s="9" t="s">
        <v>393</v>
      </c>
      <c r="K111" s="2" t="s">
        <v>48</v>
      </c>
      <c r="L111" s="2">
        <v>268.2</v>
      </c>
      <c r="M111" s="2" t="s">
        <v>122</v>
      </c>
      <c r="N111" s="2" t="s">
        <v>50</v>
      </c>
      <c r="O111" s="2">
        <v>47</v>
      </c>
      <c r="P111" s="2">
        <v>4</v>
      </c>
    </row>
    <row r="112" spans="2:16" ht="21" hidden="1" x14ac:dyDescent="0.55000000000000004">
      <c r="B112" s="2" t="s">
        <v>394</v>
      </c>
      <c r="C112" s="2" t="s">
        <v>395</v>
      </c>
      <c r="D112" s="2" t="s">
        <v>44</v>
      </c>
      <c r="E112" s="2" t="s">
        <v>139</v>
      </c>
      <c r="F112" s="6" t="s">
        <v>140</v>
      </c>
      <c r="G112" s="10">
        <f t="shared" si="3"/>
        <v>2024</v>
      </c>
      <c r="H112" s="10">
        <f t="shared" si="4"/>
        <v>1</v>
      </c>
      <c r="I112" s="10">
        <f t="shared" si="5"/>
        <v>29</v>
      </c>
      <c r="J112" s="9" t="s">
        <v>396</v>
      </c>
      <c r="K112" s="2" t="s">
        <v>33</v>
      </c>
      <c r="L112" s="2">
        <v>262.43</v>
      </c>
      <c r="M112" s="2" t="s">
        <v>19</v>
      </c>
      <c r="N112" s="2" t="s">
        <v>26</v>
      </c>
      <c r="O112" s="2">
        <v>39</v>
      </c>
      <c r="P112" s="2">
        <v>3</v>
      </c>
    </row>
    <row r="113" spans="2:16" ht="21" hidden="1" x14ac:dyDescent="0.55000000000000004">
      <c r="B113" s="2" t="s">
        <v>397</v>
      </c>
      <c r="C113" s="2" t="s">
        <v>398</v>
      </c>
      <c r="D113" s="2" t="s">
        <v>29</v>
      </c>
      <c r="E113" s="2" t="s">
        <v>89</v>
      </c>
      <c r="F113" s="6" t="s">
        <v>31</v>
      </c>
      <c r="G113" s="10">
        <f t="shared" si="3"/>
        <v>2024</v>
      </c>
      <c r="H113" s="10">
        <f t="shared" si="4"/>
        <v>1</v>
      </c>
      <c r="I113" s="10">
        <f t="shared" si="5"/>
        <v>14</v>
      </c>
      <c r="J113" s="9" t="s">
        <v>399</v>
      </c>
      <c r="K113" s="2" t="s">
        <v>64</v>
      </c>
      <c r="L113" s="2">
        <v>331.37</v>
      </c>
      <c r="M113" s="2" t="s">
        <v>65</v>
      </c>
      <c r="N113" s="2" t="s">
        <v>50</v>
      </c>
      <c r="O113" s="2">
        <v>65</v>
      </c>
      <c r="P113" s="2">
        <v>5</v>
      </c>
    </row>
    <row r="114" spans="2:16" ht="21" hidden="1" x14ac:dyDescent="0.55000000000000004">
      <c r="B114" s="2" t="s">
        <v>400</v>
      </c>
      <c r="C114" s="2" t="s">
        <v>401</v>
      </c>
      <c r="D114" s="2" t="s">
        <v>23</v>
      </c>
      <c r="E114" s="2" t="s">
        <v>139</v>
      </c>
      <c r="F114" s="6" t="s">
        <v>113</v>
      </c>
      <c r="G114" s="10">
        <f t="shared" si="3"/>
        <v>2024</v>
      </c>
      <c r="H114" s="10">
        <f t="shared" si="4"/>
        <v>1</v>
      </c>
      <c r="I114" s="10">
        <f t="shared" si="5"/>
        <v>15</v>
      </c>
      <c r="J114" s="9" t="s">
        <v>110</v>
      </c>
      <c r="K114" s="2" t="s">
        <v>48</v>
      </c>
      <c r="L114" s="2">
        <v>328.86</v>
      </c>
      <c r="M114" s="2" t="s">
        <v>65</v>
      </c>
      <c r="N114" s="2" t="s">
        <v>41</v>
      </c>
      <c r="O114" s="2">
        <v>86</v>
      </c>
      <c r="P114" s="2"/>
    </row>
    <row r="115" spans="2:16" ht="21" hidden="1" x14ac:dyDescent="0.55000000000000004">
      <c r="B115" s="2" t="s">
        <v>402</v>
      </c>
      <c r="C115" s="2" t="s">
        <v>138</v>
      </c>
      <c r="D115" s="2" t="s">
        <v>60</v>
      </c>
      <c r="E115" s="2" t="s">
        <v>74</v>
      </c>
      <c r="F115" s="6" t="s">
        <v>75</v>
      </c>
      <c r="G115" s="10">
        <f t="shared" si="3"/>
        <v>2024</v>
      </c>
      <c r="H115" s="10">
        <f t="shared" si="4"/>
        <v>1</v>
      </c>
      <c r="I115" s="10">
        <f t="shared" si="5"/>
        <v>25</v>
      </c>
      <c r="J115" s="9" t="s">
        <v>403</v>
      </c>
      <c r="K115" s="2" t="s">
        <v>77</v>
      </c>
      <c r="L115" s="2">
        <v>118.58</v>
      </c>
      <c r="M115" s="2" t="s">
        <v>49</v>
      </c>
      <c r="N115" s="2" t="s">
        <v>50</v>
      </c>
      <c r="O115" s="2">
        <v>88</v>
      </c>
      <c r="P115" s="2">
        <v>3</v>
      </c>
    </row>
    <row r="116" spans="2:16" ht="21" hidden="1" x14ac:dyDescent="0.55000000000000004">
      <c r="B116" s="2" t="s">
        <v>404</v>
      </c>
      <c r="C116" s="2" t="s">
        <v>405</v>
      </c>
      <c r="D116" s="2" t="s">
        <v>14</v>
      </c>
      <c r="E116" s="2" t="s">
        <v>45</v>
      </c>
      <c r="F116" s="6" t="s">
        <v>62</v>
      </c>
      <c r="G116" s="10">
        <f t="shared" si="3"/>
        <v>2024</v>
      </c>
      <c r="H116" s="10">
        <f t="shared" si="4"/>
        <v>1</v>
      </c>
      <c r="I116" s="10">
        <f t="shared" si="5"/>
        <v>31</v>
      </c>
      <c r="J116" s="9" t="s">
        <v>406</v>
      </c>
      <c r="K116" s="2" t="s">
        <v>57</v>
      </c>
      <c r="L116" s="2">
        <v>468.27</v>
      </c>
      <c r="M116" s="2" t="s">
        <v>122</v>
      </c>
      <c r="N116" s="2" t="s">
        <v>41</v>
      </c>
      <c r="O116" s="2">
        <v>38</v>
      </c>
      <c r="P116" s="2"/>
    </row>
    <row r="117" spans="2:16" ht="21" hidden="1" x14ac:dyDescent="0.55000000000000004">
      <c r="B117" s="2" t="s">
        <v>407</v>
      </c>
      <c r="C117" s="2" t="s">
        <v>408</v>
      </c>
      <c r="D117" s="2" t="s">
        <v>117</v>
      </c>
      <c r="E117" s="2" t="s">
        <v>74</v>
      </c>
      <c r="F117" s="6" t="s">
        <v>46</v>
      </c>
      <c r="G117" s="10">
        <f t="shared" si="3"/>
        <v>2024</v>
      </c>
      <c r="H117" s="10">
        <f t="shared" si="4"/>
        <v>1</v>
      </c>
      <c r="I117" s="10">
        <f t="shared" si="5"/>
        <v>17</v>
      </c>
      <c r="J117" s="9" t="s">
        <v>409</v>
      </c>
      <c r="K117" s="2" t="s">
        <v>40</v>
      </c>
      <c r="L117" s="2">
        <v>190.22</v>
      </c>
      <c r="M117" s="2" t="s">
        <v>65</v>
      </c>
      <c r="N117" s="2" t="s">
        <v>26</v>
      </c>
      <c r="O117" s="2">
        <v>48</v>
      </c>
      <c r="P117" s="2">
        <v>1</v>
      </c>
    </row>
    <row r="118" spans="2:16" ht="21" hidden="1" x14ac:dyDescent="0.55000000000000004">
      <c r="B118" s="2" t="s">
        <v>410</v>
      </c>
      <c r="C118" s="2" t="s">
        <v>411</v>
      </c>
      <c r="D118" s="2" t="s">
        <v>60</v>
      </c>
      <c r="E118" s="2" t="s">
        <v>15</v>
      </c>
      <c r="F118" s="6" t="s">
        <v>129</v>
      </c>
      <c r="G118" s="10">
        <f t="shared" si="3"/>
        <v>2024</v>
      </c>
      <c r="H118" s="10">
        <f t="shared" si="4"/>
        <v>1</v>
      </c>
      <c r="I118" s="10">
        <f t="shared" si="5"/>
        <v>19</v>
      </c>
      <c r="J118" s="9" t="s">
        <v>412</v>
      </c>
      <c r="K118" s="2" t="s">
        <v>91</v>
      </c>
      <c r="L118" s="2">
        <v>466.95</v>
      </c>
      <c r="M118" s="2" t="s">
        <v>19</v>
      </c>
      <c r="N118" s="2" t="s">
        <v>50</v>
      </c>
      <c r="O118" s="2">
        <v>64</v>
      </c>
      <c r="P118" s="2">
        <v>2</v>
      </c>
    </row>
    <row r="119" spans="2:16" ht="21" hidden="1" x14ac:dyDescent="0.55000000000000004">
      <c r="B119" s="2" t="s">
        <v>413</v>
      </c>
      <c r="C119" s="2" t="s">
        <v>414</v>
      </c>
      <c r="D119" s="2" t="s">
        <v>73</v>
      </c>
      <c r="E119" s="2" t="s">
        <v>45</v>
      </c>
      <c r="F119" s="6" t="s">
        <v>317</v>
      </c>
      <c r="G119" s="10">
        <f t="shared" si="3"/>
        <v>2024</v>
      </c>
      <c r="H119" s="10">
        <f t="shared" si="4"/>
        <v>1</v>
      </c>
      <c r="I119" s="10">
        <f t="shared" si="5"/>
        <v>3</v>
      </c>
      <c r="J119" s="9" t="s">
        <v>415</v>
      </c>
      <c r="K119" s="2" t="s">
        <v>18</v>
      </c>
      <c r="L119" s="2">
        <v>260.33999999999997</v>
      </c>
      <c r="M119" s="2" t="s">
        <v>65</v>
      </c>
      <c r="N119" s="2" t="s">
        <v>26</v>
      </c>
      <c r="O119" s="2">
        <v>63</v>
      </c>
      <c r="P119" s="2">
        <v>2</v>
      </c>
    </row>
    <row r="120" spans="2:16" ht="21" hidden="1" x14ac:dyDescent="0.55000000000000004">
      <c r="B120" s="2" t="s">
        <v>416</v>
      </c>
      <c r="C120" s="2" t="s">
        <v>417</v>
      </c>
      <c r="D120" s="2" t="s">
        <v>106</v>
      </c>
      <c r="E120" s="2" t="s">
        <v>45</v>
      </c>
      <c r="F120" s="6" t="s">
        <v>140</v>
      </c>
      <c r="G120" s="10">
        <f t="shared" si="3"/>
        <v>2024</v>
      </c>
      <c r="H120" s="10">
        <f t="shared" si="4"/>
        <v>1</v>
      </c>
      <c r="I120" s="10">
        <f t="shared" si="5"/>
        <v>29</v>
      </c>
      <c r="J120" s="9" t="s">
        <v>418</v>
      </c>
      <c r="K120" s="2" t="s">
        <v>33</v>
      </c>
      <c r="L120" s="2">
        <v>195.64</v>
      </c>
      <c r="M120" s="2" t="s">
        <v>65</v>
      </c>
      <c r="N120" s="2" t="s">
        <v>20</v>
      </c>
      <c r="O120" s="2">
        <v>58</v>
      </c>
      <c r="P120" s="2">
        <v>4</v>
      </c>
    </row>
    <row r="121" spans="2:16" ht="21" hidden="1" x14ac:dyDescent="0.55000000000000004">
      <c r="B121" s="2" t="s">
        <v>419</v>
      </c>
      <c r="C121" s="2" t="s">
        <v>420</v>
      </c>
      <c r="D121" s="2" t="s">
        <v>53</v>
      </c>
      <c r="E121" s="2" t="s">
        <v>45</v>
      </c>
      <c r="F121" s="6" t="s">
        <v>38</v>
      </c>
      <c r="G121" s="10">
        <f t="shared" si="3"/>
        <v>2024</v>
      </c>
      <c r="H121" s="10">
        <f t="shared" si="4"/>
        <v>1</v>
      </c>
      <c r="I121" s="10">
        <f t="shared" si="5"/>
        <v>11</v>
      </c>
      <c r="J121" s="9" t="s">
        <v>421</v>
      </c>
      <c r="K121" s="2" t="s">
        <v>33</v>
      </c>
      <c r="L121" s="2">
        <v>151.66</v>
      </c>
      <c r="M121" s="2" t="s">
        <v>122</v>
      </c>
      <c r="N121" s="2" t="s">
        <v>50</v>
      </c>
      <c r="O121" s="2">
        <v>35</v>
      </c>
      <c r="P121" s="2"/>
    </row>
    <row r="122" spans="2:16" ht="21" hidden="1" x14ac:dyDescent="0.55000000000000004">
      <c r="B122" s="2" t="s">
        <v>422</v>
      </c>
      <c r="C122" s="2" t="s">
        <v>423</v>
      </c>
      <c r="D122" s="2" t="s">
        <v>29</v>
      </c>
      <c r="E122" s="2" t="s">
        <v>139</v>
      </c>
      <c r="F122" s="6" t="s">
        <v>31</v>
      </c>
      <c r="G122" s="10">
        <f t="shared" si="3"/>
        <v>2024</v>
      </c>
      <c r="H122" s="10">
        <f t="shared" si="4"/>
        <v>1</v>
      </c>
      <c r="I122" s="10">
        <f t="shared" si="5"/>
        <v>14</v>
      </c>
      <c r="J122" s="9" t="s">
        <v>424</v>
      </c>
      <c r="K122" s="2" t="s">
        <v>57</v>
      </c>
      <c r="L122" s="2">
        <v>208.83</v>
      </c>
      <c r="M122" s="2" t="s">
        <v>122</v>
      </c>
      <c r="N122" s="2" t="s">
        <v>20</v>
      </c>
      <c r="O122" s="2">
        <v>17</v>
      </c>
      <c r="P122" s="2">
        <v>3</v>
      </c>
    </row>
    <row r="123" spans="2:16" ht="21" hidden="1" x14ac:dyDescent="0.55000000000000004">
      <c r="B123" s="2" t="s">
        <v>425</v>
      </c>
      <c r="C123" s="2" t="s">
        <v>426</v>
      </c>
      <c r="D123" s="2" t="s">
        <v>68</v>
      </c>
      <c r="E123" s="2" t="s">
        <v>15</v>
      </c>
      <c r="F123" s="6" t="s">
        <v>118</v>
      </c>
      <c r="G123" s="10">
        <f t="shared" si="3"/>
        <v>2024</v>
      </c>
      <c r="H123" s="10">
        <f t="shared" si="4"/>
        <v>1</v>
      </c>
      <c r="I123" s="10">
        <f t="shared" si="5"/>
        <v>24</v>
      </c>
      <c r="J123" s="9" t="s">
        <v>162</v>
      </c>
      <c r="K123" s="2" t="s">
        <v>64</v>
      </c>
      <c r="L123" s="2">
        <v>200.43</v>
      </c>
      <c r="M123" s="2" t="s">
        <v>122</v>
      </c>
      <c r="N123" s="2" t="s">
        <v>20</v>
      </c>
      <c r="O123" s="2">
        <v>46</v>
      </c>
      <c r="P123" s="2">
        <v>1</v>
      </c>
    </row>
    <row r="124" spans="2:16" ht="21" x14ac:dyDescent="0.55000000000000004">
      <c r="B124" s="2" t="s">
        <v>427</v>
      </c>
      <c r="C124" s="2" t="s">
        <v>428</v>
      </c>
      <c r="D124" s="2" t="s">
        <v>117</v>
      </c>
      <c r="E124" s="2" t="s">
        <v>54</v>
      </c>
      <c r="F124" s="6" t="s">
        <v>16</v>
      </c>
      <c r="G124" s="10">
        <f t="shared" si="3"/>
        <v>2024</v>
      </c>
      <c r="H124" s="10">
        <f t="shared" si="4"/>
        <v>1</v>
      </c>
      <c r="I124" s="10">
        <f t="shared" si="5"/>
        <v>9</v>
      </c>
      <c r="J124" s="9" t="s">
        <v>403</v>
      </c>
      <c r="K124" s="2" t="s">
        <v>48</v>
      </c>
      <c r="L124" s="2">
        <v>180.28</v>
      </c>
      <c r="M124" s="2" t="s">
        <v>122</v>
      </c>
      <c r="N124" s="2" t="s">
        <v>50</v>
      </c>
      <c r="O124" s="2">
        <v>42</v>
      </c>
      <c r="P124" s="2">
        <v>5</v>
      </c>
    </row>
    <row r="125" spans="2:16" ht="21" hidden="1" x14ac:dyDescent="0.55000000000000004">
      <c r="B125" s="2" t="s">
        <v>429</v>
      </c>
      <c r="C125" s="2" t="s">
        <v>430</v>
      </c>
      <c r="D125" s="2" t="s">
        <v>68</v>
      </c>
      <c r="E125" s="2" t="s">
        <v>89</v>
      </c>
      <c r="F125" s="6" t="s">
        <v>97</v>
      </c>
      <c r="G125" s="10">
        <f t="shared" si="3"/>
        <v>2024</v>
      </c>
      <c r="H125" s="10">
        <f t="shared" si="4"/>
        <v>1</v>
      </c>
      <c r="I125" s="10">
        <f t="shared" si="5"/>
        <v>23</v>
      </c>
      <c r="J125" s="9" t="s">
        <v>431</v>
      </c>
      <c r="K125" s="2" t="s">
        <v>48</v>
      </c>
      <c r="L125" s="2">
        <v>414</v>
      </c>
      <c r="M125" s="2" t="s">
        <v>122</v>
      </c>
      <c r="N125" s="2" t="s">
        <v>26</v>
      </c>
      <c r="O125" s="2">
        <v>46</v>
      </c>
      <c r="P125" s="2">
        <v>3</v>
      </c>
    </row>
    <row r="126" spans="2:16" ht="21" hidden="1" x14ac:dyDescent="0.55000000000000004">
      <c r="B126" s="2" t="s">
        <v>432</v>
      </c>
      <c r="C126" s="2" t="s">
        <v>433</v>
      </c>
      <c r="D126" s="2" t="s">
        <v>60</v>
      </c>
      <c r="E126" s="2" t="s">
        <v>80</v>
      </c>
      <c r="F126" s="6" t="s">
        <v>302</v>
      </c>
      <c r="G126" s="10">
        <f t="shared" si="3"/>
        <v>2024</v>
      </c>
      <c r="H126" s="10">
        <f t="shared" si="4"/>
        <v>1</v>
      </c>
      <c r="I126" s="10">
        <f t="shared" si="5"/>
        <v>2</v>
      </c>
      <c r="J126" s="9" t="s">
        <v>434</v>
      </c>
      <c r="K126" s="2" t="s">
        <v>18</v>
      </c>
      <c r="L126" s="2">
        <v>347.68</v>
      </c>
      <c r="M126" s="2" t="s">
        <v>19</v>
      </c>
      <c r="N126" s="2" t="s">
        <v>50</v>
      </c>
      <c r="O126" s="2">
        <v>20</v>
      </c>
      <c r="P126" s="2"/>
    </row>
    <row r="127" spans="2:16" ht="21" hidden="1" x14ac:dyDescent="0.55000000000000004">
      <c r="B127" s="2" t="s">
        <v>435</v>
      </c>
      <c r="C127" s="2" t="s">
        <v>436</v>
      </c>
      <c r="D127" s="2" t="s">
        <v>117</v>
      </c>
      <c r="E127" s="2" t="s">
        <v>37</v>
      </c>
      <c r="F127" s="6" t="s">
        <v>118</v>
      </c>
      <c r="G127" s="10">
        <f t="shared" si="3"/>
        <v>2024</v>
      </c>
      <c r="H127" s="10">
        <f t="shared" si="4"/>
        <v>1</v>
      </c>
      <c r="I127" s="10">
        <f t="shared" si="5"/>
        <v>24</v>
      </c>
      <c r="J127" s="9" t="s">
        <v>437</v>
      </c>
      <c r="K127" s="2" t="s">
        <v>18</v>
      </c>
      <c r="L127" s="2">
        <v>327.78</v>
      </c>
      <c r="M127" s="2" t="s">
        <v>49</v>
      </c>
      <c r="N127" s="2" t="s">
        <v>20</v>
      </c>
      <c r="O127" s="2">
        <v>16</v>
      </c>
      <c r="P127" s="2">
        <v>2</v>
      </c>
    </row>
    <row r="128" spans="2:16" ht="21" hidden="1" x14ac:dyDescent="0.55000000000000004">
      <c r="B128" s="2" t="s">
        <v>438</v>
      </c>
      <c r="C128" s="2" t="s">
        <v>439</v>
      </c>
      <c r="D128" s="2" t="s">
        <v>44</v>
      </c>
      <c r="E128" s="2" t="s">
        <v>125</v>
      </c>
      <c r="F128" s="6" t="s">
        <v>85</v>
      </c>
      <c r="G128" s="10">
        <f t="shared" si="3"/>
        <v>2024</v>
      </c>
      <c r="H128" s="10">
        <f t="shared" si="4"/>
        <v>1</v>
      </c>
      <c r="I128" s="10">
        <f t="shared" si="5"/>
        <v>16</v>
      </c>
      <c r="J128" s="9" t="s">
        <v>440</v>
      </c>
      <c r="K128" s="2" t="s">
        <v>77</v>
      </c>
      <c r="L128" s="2">
        <v>381.05</v>
      </c>
      <c r="M128" s="2" t="s">
        <v>122</v>
      </c>
      <c r="N128" s="2" t="s">
        <v>50</v>
      </c>
      <c r="O128" s="2">
        <v>16</v>
      </c>
      <c r="P128" s="2">
        <v>3</v>
      </c>
    </row>
    <row r="129" spans="2:16" ht="21" hidden="1" x14ac:dyDescent="0.55000000000000004">
      <c r="B129" s="2" t="s">
        <v>441</v>
      </c>
      <c r="C129" s="2" t="s">
        <v>442</v>
      </c>
      <c r="D129" s="2" t="s">
        <v>14</v>
      </c>
      <c r="E129" s="2" t="s">
        <v>89</v>
      </c>
      <c r="F129" s="6" t="s">
        <v>31</v>
      </c>
      <c r="G129" s="10">
        <f t="shared" si="3"/>
        <v>2024</v>
      </c>
      <c r="H129" s="10">
        <f t="shared" si="4"/>
        <v>1</v>
      </c>
      <c r="I129" s="10">
        <f t="shared" si="5"/>
        <v>14</v>
      </c>
      <c r="J129" s="9" t="s">
        <v>443</v>
      </c>
      <c r="K129" s="2" t="s">
        <v>57</v>
      </c>
      <c r="L129" s="2">
        <v>340.09</v>
      </c>
      <c r="M129" s="2" t="s">
        <v>19</v>
      </c>
      <c r="N129" s="2" t="s">
        <v>41</v>
      </c>
      <c r="O129" s="2">
        <v>48</v>
      </c>
      <c r="P129" s="2">
        <v>4</v>
      </c>
    </row>
    <row r="130" spans="2:16" ht="21" hidden="1" x14ac:dyDescent="0.55000000000000004">
      <c r="B130" s="2" t="s">
        <v>444</v>
      </c>
      <c r="C130" s="2" t="s">
        <v>445</v>
      </c>
      <c r="D130" s="2" t="s">
        <v>117</v>
      </c>
      <c r="E130" s="2" t="s">
        <v>15</v>
      </c>
      <c r="F130" s="6" t="s">
        <v>238</v>
      </c>
      <c r="G130" s="10">
        <f t="shared" si="3"/>
        <v>2024</v>
      </c>
      <c r="H130" s="10">
        <f t="shared" si="4"/>
        <v>1</v>
      </c>
      <c r="I130" s="10">
        <f t="shared" si="5"/>
        <v>20</v>
      </c>
      <c r="J130" s="9" t="s">
        <v>446</v>
      </c>
      <c r="K130" s="2" t="s">
        <v>91</v>
      </c>
      <c r="L130" s="2">
        <v>286.14</v>
      </c>
      <c r="M130" s="2" t="s">
        <v>19</v>
      </c>
      <c r="N130" s="2" t="s">
        <v>41</v>
      </c>
      <c r="O130" s="2">
        <v>72</v>
      </c>
      <c r="P130" s="2">
        <v>4</v>
      </c>
    </row>
    <row r="131" spans="2:16" ht="21" hidden="1" x14ac:dyDescent="0.55000000000000004">
      <c r="B131" s="2" t="s">
        <v>447</v>
      </c>
      <c r="C131" s="2" t="s">
        <v>448</v>
      </c>
      <c r="D131" s="2" t="s">
        <v>60</v>
      </c>
      <c r="E131" s="2" t="s">
        <v>89</v>
      </c>
      <c r="F131" s="6" t="s">
        <v>75</v>
      </c>
      <c r="G131" s="10">
        <f t="shared" si="3"/>
        <v>2024</v>
      </c>
      <c r="H131" s="10">
        <f t="shared" si="4"/>
        <v>1</v>
      </c>
      <c r="I131" s="10">
        <f t="shared" si="5"/>
        <v>25</v>
      </c>
      <c r="J131" s="9" t="s">
        <v>449</v>
      </c>
      <c r="K131" s="2" t="s">
        <v>77</v>
      </c>
      <c r="L131" s="2">
        <v>465.68</v>
      </c>
      <c r="M131" s="2" t="s">
        <v>65</v>
      </c>
      <c r="N131" s="2" t="s">
        <v>50</v>
      </c>
      <c r="O131" s="2">
        <v>84</v>
      </c>
      <c r="P131" s="2"/>
    </row>
    <row r="132" spans="2:16" ht="21" hidden="1" x14ac:dyDescent="0.55000000000000004">
      <c r="B132" s="2" t="s">
        <v>450</v>
      </c>
      <c r="C132" s="2" t="s">
        <v>451</v>
      </c>
      <c r="D132" s="2" t="s">
        <v>68</v>
      </c>
      <c r="E132" s="2" t="s">
        <v>61</v>
      </c>
      <c r="F132" s="6" t="s">
        <v>317</v>
      </c>
      <c r="G132" s="10">
        <f t="shared" ref="G132:G195" si="6">YEAR(F132)</f>
        <v>2024</v>
      </c>
      <c r="H132" s="10">
        <f t="shared" ref="H132:H195" si="7">MONTH(F132)</f>
        <v>1</v>
      </c>
      <c r="I132" s="10">
        <f t="shared" ref="I132:I195" si="8">DAY(F132)</f>
        <v>3</v>
      </c>
      <c r="J132" s="9" t="s">
        <v>452</v>
      </c>
      <c r="K132" s="2" t="s">
        <v>57</v>
      </c>
      <c r="L132" s="2">
        <v>61.16</v>
      </c>
      <c r="M132" s="2" t="s">
        <v>65</v>
      </c>
      <c r="N132" s="2" t="s">
        <v>50</v>
      </c>
      <c r="O132" s="2">
        <v>16</v>
      </c>
      <c r="P132" s="2"/>
    </row>
    <row r="133" spans="2:16" ht="21" hidden="1" x14ac:dyDescent="0.55000000000000004">
      <c r="B133" s="2" t="s">
        <v>453</v>
      </c>
      <c r="C133" s="2" t="s">
        <v>454</v>
      </c>
      <c r="D133" s="2" t="s">
        <v>23</v>
      </c>
      <c r="E133" s="2" t="s">
        <v>15</v>
      </c>
      <c r="F133" s="6" t="s">
        <v>75</v>
      </c>
      <c r="G133" s="10">
        <f t="shared" si="6"/>
        <v>2024</v>
      </c>
      <c r="H133" s="10">
        <f t="shared" si="7"/>
        <v>1</v>
      </c>
      <c r="I133" s="10">
        <f t="shared" si="8"/>
        <v>25</v>
      </c>
      <c r="J133" s="9" t="s">
        <v>126</v>
      </c>
      <c r="K133" s="2" t="s">
        <v>77</v>
      </c>
      <c r="L133" s="2">
        <v>213.14</v>
      </c>
      <c r="M133" s="2" t="s">
        <v>49</v>
      </c>
      <c r="N133" s="2" t="s">
        <v>26</v>
      </c>
      <c r="O133" s="2">
        <v>16</v>
      </c>
      <c r="P133" s="2">
        <v>2</v>
      </c>
    </row>
    <row r="134" spans="2:16" ht="21" hidden="1" x14ac:dyDescent="0.55000000000000004">
      <c r="B134" s="2" t="s">
        <v>455</v>
      </c>
      <c r="C134" s="2" t="s">
        <v>456</v>
      </c>
      <c r="D134" s="2" t="s">
        <v>29</v>
      </c>
      <c r="E134" s="2" t="s">
        <v>139</v>
      </c>
      <c r="F134" s="6" t="s">
        <v>132</v>
      </c>
      <c r="G134" s="10">
        <f t="shared" si="6"/>
        <v>2024</v>
      </c>
      <c r="H134" s="10">
        <f t="shared" si="7"/>
        <v>1</v>
      </c>
      <c r="I134" s="10">
        <f t="shared" si="8"/>
        <v>6</v>
      </c>
      <c r="J134" s="9" t="s">
        <v>457</v>
      </c>
      <c r="K134" s="2" t="s">
        <v>91</v>
      </c>
      <c r="L134" s="2">
        <v>299</v>
      </c>
      <c r="M134" s="2" t="s">
        <v>65</v>
      </c>
      <c r="N134" s="2" t="s">
        <v>26</v>
      </c>
      <c r="O134" s="2">
        <v>57</v>
      </c>
      <c r="P134" s="2">
        <v>3</v>
      </c>
    </row>
    <row r="135" spans="2:16" ht="21" hidden="1" x14ac:dyDescent="0.55000000000000004">
      <c r="B135" s="2" t="s">
        <v>458</v>
      </c>
      <c r="C135" s="2" t="s">
        <v>459</v>
      </c>
      <c r="D135" s="2" t="s">
        <v>60</v>
      </c>
      <c r="E135" s="2" t="s">
        <v>61</v>
      </c>
      <c r="F135" s="6" t="s">
        <v>85</v>
      </c>
      <c r="G135" s="10">
        <f t="shared" si="6"/>
        <v>2024</v>
      </c>
      <c r="H135" s="10">
        <f t="shared" si="7"/>
        <v>1</v>
      </c>
      <c r="I135" s="10">
        <f t="shared" si="8"/>
        <v>16</v>
      </c>
      <c r="J135" s="9" t="s">
        <v>202</v>
      </c>
      <c r="K135" s="2" t="s">
        <v>57</v>
      </c>
      <c r="L135" s="2">
        <v>239.12</v>
      </c>
      <c r="M135" s="2" t="s">
        <v>19</v>
      </c>
      <c r="N135" s="2" t="s">
        <v>20</v>
      </c>
      <c r="O135" s="2">
        <v>42</v>
      </c>
      <c r="P135" s="2">
        <v>1</v>
      </c>
    </row>
    <row r="136" spans="2:16" ht="21" hidden="1" x14ac:dyDescent="0.55000000000000004">
      <c r="B136" s="2" t="s">
        <v>460</v>
      </c>
      <c r="C136" s="2" t="s">
        <v>461</v>
      </c>
      <c r="D136" s="2" t="s">
        <v>29</v>
      </c>
      <c r="E136" s="2" t="s">
        <v>45</v>
      </c>
      <c r="F136" s="6" t="s">
        <v>343</v>
      </c>
      <c r="G136" s="10">
        <f t="shared" si="6"/>
        <v>2024</v>
      </c>
      <c r="H136" s="10">
        <f t="shared" si="7"/>
        <v>1</v>
      </c>
      <c r="I136" s="10">
        <f t="shared" si="8"/>
        <v>13</v>
      </c>
      <c r="J136" s="9" t="s">
        <v>462</v>
      </c>
      <c r="K136" s="2" t="s">
        <v>40</v>
      </c>
      <c r="L136" s="2">
        <v>50.94</v>
      </c>
      <c r="M136" s="2" t="s">
        <v>65</v>
      </c>
      <c r="N136" s="2" t="s">
        <v>50</v>
      </c>
      <c r="O136" s="2">
        <v>36</v>
      </c>
      <c r="P136" s="2">
        <v>5</v>
      </c>
    </row>
    <row r="137" spans="2:16" ht="21" hidden="1" x14ac:dyDescent="0.55000000000000004">
      <c r="B137" s="2" t="s">
        <v>463</v>
      </c>
      <c r="C137" s="2" t="s">
        <v>464</v>
      </c>
      <c r="D137" s="2" t="s">
        <v>73</v>
      </c>
      <c r="E137" s="2" t="s">
        <v>45</v>
      </c>
      <c r="F137" s="6" t="s">
        <v>272</v>
      </c>
      <c r="G137" s="10">
        <f t="shared" si="6"/>
        <v>2024</v>
      </c>
      <c r="H137" s="10">
        <f t="shared" si="7"/>
        <v>1</v>
      </c>
      <c r="I137" s="10">
        <f t="shared" si="8"/>
        <v>1</v>
      </c>
      <c r="J137" s="9" t="s">
        <v>465</v>
      </c>
      <c r="K137" s="2" t="s">
        <v>40</v>
      </c>
      <c r="L137" s="2">
        <v>467.24</v>
      </c>
      <c r="M137" s="2" t="s">
        <v>49</v>
      </c>
      <c r="N137" s="2" t="s">
        <v>50</v>
      </c>
      <c r="O137" s="2">
        <v>78</v>
      </c>
      <c r="P137" s="2">
        <v>2</v>
      </c>
    </row>
    <row r="138" spans="2:16" ht="21" hidden="1" x14ac:dyDescent="0.55000000000000004">
      <c r="B138" s="2" t="s">
        <v>466</v>
      </c>
      <c r="C138" s="2" t="s">
        <v>467</v>
      </c>
      <c r="D138" s="2" t="s">
        <v>73</v>
      </c>
      <c r="E138" s="2" t="s">
        <v>80</v>
      </c>
      <c r="F138" s="6" t="s">
        <v>161</v>
      </c>
      <c r="G138" s="10">
        <f t="shared" si="6"/>
        <v>2024</v>
      </c>
      <c r="H138" s="10">
        <f t="shared" si="7"/>
        <v>1</v>
      </c>
      <c r="I138" s="10">
        <f t="shared" si="8"/>
        <v>5</v>
      </c>
      <c r="J138" s="9" t="s">
        <v>359</v>
      </c>
      <c r="K138" s="2" t="s">
        <v>91</v>
      </c>
      <c r="L138" s="2">
        <v>96.49</v>
      </c>
      <c r="M138" s="2" t="s">
        <v>65</v>
      </c>
      <c r="N138" s="2" t="s">
        <v>26</v>
      </c>
      <c r="O138" s="2">
        <v>27</v>
      </c>
      <c r="P138" s="2">
        <v>4</v>
      </c>
    </row>
    <row r="139" spans="2:16" ht="21" x14ac:dyDescent="0.55000000000000004">
      <c r="B139" s="2" t="s">
        <v>468</v>
      </c>
      <c r="C139" s="2" t="s">
        <v>469</v>
      </c>
      <c r="D139" s="2" t="s">
        <v>68</v>
      </c>
      <c r="E139" s="2" t="s">
        <v>54</v>
      </c>
      <c r="F139" s="6" t="s">
        <v>140</v>
      </c>
      <c r="G139" s="10">
        <f t="shared" si="6"/>
        <v>2024</v>
      </c>
      <c r="H139" s="10">
        <f t="shared" si="7"/>
        <v>1</v>
      </c>
      <c r="I139" s="10">
        <f t="shared" si="8"/>
        <v>29</v>
      </c>
      <c r="J139" s="9" t="s">
        <v>470</v>
      </c>
      <c r="K139" s="2" t="s">
        <v>77</v>
      </c>
      <c r="L139" s="2">
        <v>300.44</v>
      </c>
      <c r="M139" s="2" t="s">
        <v>49</v>
      </c>
      <c r="N139" s="2" t="s">
        <v>50</v>
      </c>
      <c r="O139" s="2">
        <v>74</v>
      </c>
      <c r="P139" s="2">
        <v>3</v>
      </c>
    </row>
    <row r="140" spans="2:16" ht="21" hidden="1" x14ac:dyDescent="0.55000000000000004">
      <c r="B140" s="2" t="s">
        <v>471</v>
      </c>
      <c r="C140" s="2" t="s">
        <v>472</v>
      </c>
      <c r="D140" s="2" t="s">
        <v>68</v>
      </c>
      <c r="E140" s="2" t="s">
        <v>74</v>
      </c>
      <c r="F140" s="6" t="s">
        <v>473</v>
      </c>
      <c r="G140" s="10">
        <f t="shared" si="6"/>
        <v>2024</v>
      </c>
      <c r="H140" s="10">
        <f t="shared" si="7"/>
        <v>1</v>
      </c>
      <c r="I140" s="10">
        <f t="shared" si="8"/>
        <v>30</v>
      </c>
      <c r="J140" s="9" t="s">
        <v>76</v>
      </c>
      <c r="K140" s="2" t="s">
        <v>91</v>
      </c>
      <c r="L140" s="2">
        <v>98.53</v>
      </c>
      <c r="M140" s="2" t="s">
        <v>65</v>
      </c>
      <c r="N140" s="2" t="s">
        <v>26</v>
      </c>
      <c r="O140" s="2">
        <v>68</v>
      </c>
      <c r="P140" s="2">
        <v>3</v>
      </c>
    </row>
    <row r="141" spans="2:16" ht="21" hidden="1" x14ac:dyDescent="0.55000000000000004">
      <c r="B141" s="2" t="s">
        <v>474</v>
      </c>
      <c r="C141" s="2" t="s">
        <v>475</v>
      </c>
      <c r="D141" s="2" t="s">
        <v>73</v>
      </c>
      <c r="E141" s="2" t="s">
        <v>45</v>
      </c>
      <c r="F141" s="6" t="s">
        <v>97</v>
      </c>
      <c r="G141" s="10">
        <f t="shared" si="6"/>
        <v>2024</v>
      </c>
      <c r="H141" s="10">
        <f t="shared" si="7"/>
        <v>1</v>
      </c>
      <c r="I141" s="10">
        <f t="shared" si="8"/>
        <v>23</v>
      </c>
      <c r="J141" s="9" t="s">
        <v>476</v>
      </c>
      <c r="K141" s="2" t="s">
        <v>91</v>
      </c>
      <c r="L141" s="2">
        <v>404.26</v>
      </c>
      <c r="M141" s="2" t="s">
        <v>65</v>
      </c>
      <c r="N141" s="2" t="s">
        <v>50</v>
      </c>
      <c r="O141" s="2">
        <v>79</v>
      </c>
      <c r="P141" s="2"/>
    </row>
    <row r="142" spans="2:16" ht="21" hidden="1" x14ac:dyDescent="0.55000000000000004">
      <c r="B142" s="2" t="s">
        <v>477</v>
      </c>
      <c r="C142" s="2" t="s">
        <v>478</v>
      </c>
      <c r="D142" s="2" t="s">
        <v>117</v>
      </c>
      <c r="E142" s="2" t="s">
        <v>37</v>
      </c>
      <c r="F142" s="6" t="s">
        <v>38</v>
      </c>
      <c r="G142" s="10">
        <f t="shared" si="6"/>
        <v>2024</v>
      </c>
      <c r="H142" s="10">
        <f t="shared" si="7"/>
        <v>1</v>
      </c>
      <c r="I142" s="10">
        <f t="shared" si="8"/>
        <v>11</v>
      </c>
      <c r="J142" s="9" t="s">
        <v>479</v>
      </c>
      <c r="K142" s="2" t="s">
        <v>64</v>
      </c>
      <c r="L142" s="2">
        <v>120.23</v>
      </c>
      <c r="M142" s="2" t="s">
        <v>49</v>
      </c>
      <c r="N142" s="2" t="s">
        <v>41</v>
      </c>
      <c r="O142" s="2">
        <v>16</v>
      </c>
      <c r="P142" s="2">
        <v>3</v>
      </c>
    </row>
    <row r="143" spans="2:16" ht="21" hidden="1" x14ac:dyDescent="0.55000000000000004">
      <c r="B143" s="2" t="s">
        <v>480</v>
      </c>
      <c r="C143" s="2" t="s">
        <v>481</v>
      </c>
      <c r="D143" s="2" t="s">
        <v>14</v>
      </c>
      <c r="E143" s="2" t="s">
        <v>80</v>
      </c>
      <c r="F143" s="6" t="s">
        <v>198</v>
      </c>
      <c r="G143" s="10">
        <f t="shared" si="6"/>
        <v>2024</v>
      </c>
      <c r="H143" s="10">
        <f t="shared" si="7"/>
        <v>1</v>
      </c>
      <c r="I143" s="10">
        <f t="shared" si="8"/>
        <v>4</v>
      </c>
      <c r="J143" s="9" t="s">
        <v>482</v>
      </c>
      <c r="K143" s="2" t="s">
        <v>48</v>
      </c>
      <c r="L143" s="2">
        <v>187.43</v>
      </c>
      <c r="M143" s="2" t="s">
        <v>49</v>
      </c>
      <c r="N143" s="2" t="s">
        <v>50</v>
      </c>
      <c r="O143" s="2">
        <v>15</v>
      </c>
      <c r="P143" s="2"/>
    </row>
    <row r="144" spans="2:16" ht="21" hidden="1" x14ac:dyDescent="0.55000000000000004">
      <c r="B144" s="2" t="s">
        <v>483</v>
      </c>
      <c r="C144" s="2" t="s">
        <v>484</v>
      </c>
      <c r="D144" s="2" t="s">
        <v>23</v>
      </c>
      <c r="E144" s="2" t="s">
        <v>139</v>
      </c>
      <c r="F144" s="6" t="s">
        <v>75</v>
      </c>
      <c r="G144" s="10">
        <f t="shared" si="6"/>
        <v>2024</v>
      </c>
      <c r="H144" s="10">
        <f t="shared" si="7"/>
        <v>1</v>
      </c>
      <c r="I144" s="10">
        <f t="shared" si="8"/>
        <v>25</v>
      </c>
      <c r="J144" s="9" t="s">
        <v>326</v>
      </c>
      <c r="K144" s="2" t="s">
        <v>57</v>
      </c>
      <c r="L144" s="2">
        <v>343.79</v>
      </c>
      <c r="M144" s="2" t="s">
        <v>19</v>
      </c>
      <c r="N144" s="2" t="s">
        <v>26</v>
      </c>
      <c r="O144" s="2">
        <v>62</v>
      </c>
      <c r="P144" s="2">
        <v>1</v>
      </c>
    </row>
    <row r="145" spans="2:16" ht="21" hidden="1" x14ac:dyDescent="0.55000000000000004">
      <c r="B145" s="2" t="s">
        <v>485</v>
      </c>
      <c r="C145" s="2" t="s">
        <v>486</v>
      </c>
      <c r="D145" s="2" t="s">
        <v>117</v>
      </c>
      <c r="E145" s="2" t="s">
        <v>15</v>
      </c>
      <c r="F145" s="6" t="s">
        <v>102</v>
      </c>
      <c r="G145" s="10">
        <f t="shared" si="6"/>
        <v>2024</v>
      </c>
      <c r="H145" s="10">
        <f t="shared" si="7"/>
        <v>1</v>
      </c>
      <c r="I145" s="10">
        <f t="shared" si="8"/>
        <v>26</v>
      </c>
      <c r="J145" s="9" t="s">
        <v>155</v>
      </c>
      <c r="K145" s="2" t="s">
        <v>91</v>
      </c>
      <c r="L145" s="2">
        <v>298.39999999999998</v>
      </c>
      <c r="M145" s="2" t="s">
        <v>65</v>
      </c>
      <c r="N145" s="2" t="s">
        <v>20</v>
      </c>
      <c r="O145" s="2">
        <v>64</v>
      </c>
      <c r="P145" s="2">
        <v>5</v>
      </c>
    </row>
    <row r="146" spans="2:16" ht="21" hidden="1" x14ac:dyDescent="0.55000000000000004">
      <c r="B146" s="2" t="s">
        <v>487</v>
      </c>
      <c r="C146" s="2" t="s">
        <v>488</v>
      </c>
      <c r="D146" s="2" t="s">
        <v>23</v>
      </c>
      <c r="E146" s="2" t="s">
        <v>89</v>
      </c>
      <c r="F146" s="6" t="s">
        <v>81</v>
      </c>
      <c r="G146" s="10">
        <f t="shared" si="6"/>
        <v>2024</v>
      </c>
      <c r="H146" s="10">
        <f t="shared" si="7"/>
        <v>1</v>
      </c>
      <c r="I146" s="10">
        <f t="shared" si="8"/>
        <v>18</v>
      </c>
      <c r="J146" s="9" t="s">
        <v>489</v>
      </c>
      <c r="K146" s="2" t="s">
        <v>57</v>
      </c>
      <c r="L146" s="2">
        <v>187.88</v>
      </c>
      <c r="M146" s="2" t="s">
        <v>49</v>
      </c>
      <c r="N146" s="2" t="s">
        <v>41</v>
      </c>
      <c r="O146" s="2">
        <v>62</v>
      </c>
      <c r="P146" s="2">
        <v>3</v>
      </c>
    </row>
    <row r="147" spans="2:16" ht="21" hidden="1" x14ac:dyDescent="0.55000000000000004">
      <c r="B147" s="2" t="s">
        <v>490</v>
      </c>
      <c r="C147" s="2" t="s">
        <v>491</v>
      </c>
      <c r="D147" s="2" t="s">
        <v>44</v>
      </c>
      <c r="E147" s="2" t="s">
        <v>80</v>
      </c>
      <c r="F147" s="6" t="s">
        <v>85</v>
      </c>
      <c r="G147" s="10">
        <f t="shared" si="6"/>
        <v>2024</v>
      </c>
      <c r="H147" s="10">
        <f t="shared" si="7"/>
        <v>1</v>
      </c>
      <c r="I147" s="10">
        <f t="shared" si="8"/>
        <v>16</v>
      </c>
      <c r="J147" s="9" t="s">
        <v>285</v>
      </c>
      <c r="K147" s="2" t="s">
        <v>40</v>
      </c>
      <c r="L147" s="2">
        <v>345.07</v>
      </c>
      <c r="M147" s="2" t="s">
        <v>49</v>
      </c>
      <c r="N147" s="2" t="s">
        <v>26</v>
      </c>
      <c r="O147" s="2">
        <v>32</v>
      </c>
      <c r="P147" s="2">
        <v>4</v>
      </c>
    </row>
    <row r="148" spans="2:16" ht="21" hidden="1" x14ac:dyDescent="0.55000000000000004">
      <c r="B148" s="2" t="s">
        <v>492</v>
      </c>
      <c r="C148" s="2" t="s">
        <v>493</v>
      </c>
      <c r="D148" s="2" t="s">
        <v>60</v>
      </c>
      <c r="E148" s="2" t="s">
        <v>37</v>
      </c>
      <c r="F148" s="6" t="s">
        <v>140</v>
      </c>
      <c r="G148" s="10">
        <f t="shared" si="6"/>
        <v>2024</v>
      </c>
      <c r="H148" s="10">
        <f t="shared" si="7"/>
        <v>1</v>
      </c>
      <c r="I148" s="10">
        <f t="shared" si="8"/>
        <v>29</v>
      </c>
      <c r="J148" s="9" t="s">
        <v>494</v>
      </c>
      <c r="K148" s="2" t="s">
        <v>33</v>
      </c>
      <c r="L148" s="2">
        <v>130.16</v>
      </c>
      <c r="M148" s="2" t="s">
        <v>65</v>
      </c>
      <c r="N148" s="2" t="s">
        <v>20</v>
      </c>
      <c r="O148" s="2">
        <v>79</v>
      </c>
      <c r="P148" s="2"/>
    </row>
    <row r="149" spans="2:16" ht="21" hidden="1" x14ac:dyDescent="0.55000000000000004">
      <c r="B149" s="2" t="s">
        <v>495</v>
      </c>
      <c r="C149" s="2" t="s">
        <v>496</v>
      </c>
      <c r="D149" s="2" t="s">
        <v>44</v>
      </c>
      <c r="E149" s="2" t="s">
        <v>139</v>
      </c>
      <c r="F149" s="6" t="s">
        <v>154</v>
      </c>
      <c r="G149" s="10">
        <f t="shared" si="6"/>
        <v>2024</v>
      </c>
      <c r="H149" s="10">
        <f t="shared" si="7"/>
        <v>1</v>
      </c>
      <c r="I149" s="10">
        <f t="shared" si="8"/>
        <v>22</v>
      </c>
      <c r="J149" s="9" t="s">
        <v>497</v>
      </c>
      <c r="K149" s="2" t="s">
        <v>64</v>
      </c>
      <c r="L149" s="2">
        <v>391.25</v>
      </c>
      <c r="M149" s="2" t="s">
        <v>122</v>
      </c>
      <c r="N149" s="2" t="s">
        <v>50</v>
      </c>
      <c r="O149" s="2">
        <v>57</v>
      </c>
      <c r="P149" s="2">
        <v>4</v>
      </c>
    </row>
    <row r="150" spans="2:16" ht="21" hidden="1" x14ac:dyDescent="0.55000000000000004">
      <c r="B150" s="2" t="s">
        <v>498</v>
      </c>
      <c r="C150" s="2" t="s">
        <v>499</v>
      </c>
      <c r="D150" s="2" t="s">
        <v>44</v>
      </c>
      <c r="E150" s="2" t="s">
        <v>37</v>
      </c>
      <c r="F150" s="6" t="s">
        <v>129</v>
      </c>
      <c r="G150" s="10">
        <f t="shared" si="6"/>
        <v>2024</v>
      </c>
      <c r="H150" s="10">
        <f t="shared" si="7"/>
        <v>1</v>
      </c>
      <c r="I150" s="10">
        <f t="shared" si="8"/>
        <v>19</v>
      </c>
      <c r="J150" s="9" t="s">
        <v>165</v>
      </c>
      <c r="K150" s="2" t="s">
        <v>40</v>
      </c>
      <c r="L150" s="2">
        <v>77.02</v>
      </c>
      <c r="M150" s="2" t="s">
        <v>65</v>
      </c>
      <c r="N150" s="2" t="s">
        <v>50</v>
      </c>
      <c r="O150" s="2">
        <v>30</v>
      </c>
      <c r="P150" s="2">
        <v>5</v>
      </c>
    </row>
    <row r="151" spans="2:16" ht="21" hidden="1" x14ac:dyDescent="0.55000000000000004">
      <c r="B151" s="2" t="s">
        <v>500</v>
      </c>
      <c r="C151" s="2" t="s">
        <v>501</v>
      </c>
      <c r="D151" s="2" t="s">
        <v>68</v>
      </c>
      <c r="E151" s="2" t="s">
        <v>80</v>
      </c>
      <c r="F151" s="6" t="s">
        <v>38</v>
      </c>
      <c r="G151" s="10">
        <f t="shared" si="6"/>
        <v>2024</v>
      </c>
      <c r="H151" s="10">
        <f t="shared" si="7"/>
        <v>1</v>
      </c>
      <c r="I151" s="10">
        <f t="shared" si="8"/>
        <v>11</v>
      </c>
      <c r="J151" s="9" t="s">
        <v>502</v>
      </c>
      <c r="K151" s="2" t="s">
        <v>57</v>
      </c>
      <c r="L151" s="2">
        <v>178</v>
      </c>
      <c r="M151" s="2" t="s">
        <v>122</v>
      </c>
      <c r="N151" s="2" t="s">
        <v>50</v>
      </c>
      <c r="O151" s="2">
        <v>89</v>
      </c>
      <c r="P151" s="2">
        <v>3</v>
      </c>
    </row>
    <row r="152" spans="2:16" ht="21" hidden="1" x14ac:dyDescent="0.55000000000000004">
      <c r="B152" s="2" t="s">
        <v>503</v>
      </c>
      <c r="C152" s="2" t="s">
        <v>504</v>
      </c>
      <c r="D152" s="2" t="s">
        <v>23</v>
      </c>
      <c r="E152" s="2" t="s">
        <v>89</v>
      </c>
      <c r="F152" s="6" t="s">
        <v>46</v>
      </c>
      <c r="G152" s="10">
        <f t="shared" si="6"/>
        <v>2024</v>
      </c>
      <c r="H152" s="10">
        <f t="shared" si="7"/>
        <v>1</v>
      </c>
      <c r="I152" s="10">
        <f t="shared" si="8"/>
        <v>17</v>
      </c>
      <c r="J152" s="9" t="s">
        <v>421</v>
      </c>
      <c r="K152" s="2" t="s">
        <v>57</v>
      </c>
      <c r="L152" s="2">
        <v>228.79</v>
      </c>
      <c r="M152" s="2" t="s">
        <v>49</v>
      </c>
      <c r="N152" s="2" t="s">
        <v>50</v>
      </c>
      <c r="O152" s="2">
        <v>43</v>
      </c>
      <c r="P152" s="2">
        <v>1</v>
      </c>
    </row>
    <row r="153" spans="2:16" ht="21" hidden="1" x14ac:dyDescent="0.55000000000000004">
      <c r="B153" s="2" t="s">
        <v>505</v>
      </c>
      <c r="C153" s="2" t="s">
        <v>506</v>
      </c>
      <c r="D153" s="2" t="s">
        <v>73</v>
      </c>
      <c r="E153" s="2" t="s">
        <v>37</v>
      </c>
      <c r="F153" s="6" t="s">
        <v>257</v>
      </c>
      <c r="G153" s="10">
        <f t="shared" si="6"/>
        <v>2024</v>
      </c>
      <c r="H153" s="10">
        <f t="shared" si="7"/>
        <v>1</v>
      </c>
      <c r="I153" s="10">
        <f t="shared" si="8"/>
        <v>10</v>
      </c>
      <c r="J153" s="9" t="s">
        <v>507</v>
      </c>
      <c r="K153" s="2" t="s">
        <v>57</v>
      </c>
      <c r="L153" s="2">
        <v>461.65</v>
      </c>
      <c r="M153" s="2" t="s">
        <v>49</v>
      </c>
      <c r="N153" s="2" t="s">
        <v>26</v>
      </c>
      <c r="O153" s="2">
        <v>85</v>
      </c>
      <c r="P153" s="2">
        <v>1</v>
      </c>
    </row>
    <row r="154" spans="2:16" ht="21" hidden="1" x14ac:dyDescent="0.55000000000000004">
      <c r="B154" s="2" t="s">
        <v>508</v>
      </c>
      <c r="C154" s="2" t="s">
        <v>509</v>
      </c>
      <c r="D154" s="2" t="s">
        <v>44</v>
      </c>
      <c r="E154" s="2" t="s">
        <v>139</v>
      </c>
      <c r="F154" s="6" t="s">
        <v>31</v>
      </c>
      <c r="G154" s="10">
        <f t="shared" si="6"/>
        <v>2024</v>
      </c>
      <c r="H154" s="10">
        <f t="shared" si="7"/>
        <v>1</v>
      </c>
      <c r="I154" s="10">
        <f t="shared" si="8"/>
        <v>14</v>
      </c>
      <c r="J154" s="9" t="s">
        <v>510</v>
      </c>
      <c r="K154" s="2" t="s">
        <v>48</v>
      </c>
      <c r="L154" s="2">
        <v>152.05000000000001</v>
      </c>
      <c r="M154" s="2" t="s">
        <v>122</v>
      </c>
      <c r="N154" s="2" t="s">
        <v>41</v>
      </c>
      <c r="O154" s="2">
        <v>83</v>
      </c>
      <c r="P154" s="2">
        <v>4</v>
      </c>
    </row>
    <row r="155" spans="2:16" ht="21" hidden="1" x14ac:dyDescent="0.55000000000000004">
      <c r="B155" s="2" t="s">
        <v>511</v>
      </c>
      <c r="C155" s="2" t="s">
        <v>512</v>
      </c>
      <c r="D155" s="2" t="s">
        <v>29</v>
      </c>
      <c r="E155" s="2" t="s">
        <v>89</v>
      </c>
      <c r="F155" s="6" t="s">
        <v>272</v>
      </c>
      <c r="G155" s="10">
        <f t="shared" si="6"/>
        <v>2024</v>
      </c>
      <c r="H155" s="10">
        <f t="shared" si="7"/>
        <v>1</v>
      </c>
      <c r="I155" s="10">
        <f t="shared" si="8"/>
        <v>1</v>
      </c>
      <c r="J155" s="9" t="s">
        <v>513</v>
      </c>
      <c r="K155" s="2" t="s">
        <v>64</v>
      </c>
      <c r="L155" s="2">
        <v>490.9</v>
      </c>
      <c r="M155" s="2" t="s">
        <v>122</v>
      </c>
      <c r="N155" s="2" t="s">
        <v>50</v>
      </c>
      <c r="O155" s="2">
        <v>29</v>
      </c>
      <c r="P155" s="2"/>
    </row>
    <row r="156" spans="2:16" ht="21" hidden="1" x14ac:dyDescent="0.55000000000000004">
      <c r="B156" s="2" t="s">
        <v>514</v>
      </c>
      <c r="C156" s="2" t="s">
        <v>515</v>
      </c>
      <c r="D156" s="2" t="s">
        <v>68</v>
      </c>
      <c r="E156" s="2" t="s">
        <v>61</v>
      </c>
      <c r="F156" s="6" t="s">
        <v>81</v>
      </c>
      <c r="G156" s="10">
        <f t="shared" si="6"/>
        <v>2024</v>
      </c>
      <c r="H156" s="10">
        <f t="shared" si="7"/>
        <v>1</v>
      </c>
      <c r="I156" s="10">
        <f t="shared" si="8"/>
        <v>18</v>
      </c>
      <c r="J156" s="9" t="s">
        <v>516</v>
      </c>
      <c r="K156" s="2" t="s">
        <v>48</v>
      </c>
      <c r="L156" s="2">
        <v>171.97</v>
      </c>
      <c r="M156" s="2" t="s">
        <v>122</v>
      </c>
      <c r="N156" s="2" t="s">
        <v>41</v>
      </c>
      <c r="O156" s="2">
        <v>64</v>
      </c>
      <c r="P156" s="2">
        <v>2</v>
      </c>
    </row>
    <row r="157" spans="2:16" ht="21" hidden="1" x14ac:dyDescent="0.55000000000000004">
      <c r="B157" s="2" t="s">
        <v>517</v>
      </c>
      <c r="C157" s="2" t="s">
        <v>518</v>
      </c>
      <c r="D157" s="2" t="s">
        <v>117</v>
      </c>
      <c r="E157" s="2" t="s">
        <v>80</v>
      </c>
      <c r="F157" s="6" t="s">
        <v>69</v>
      </c>
      <c r="G157" s="10">
        <f t="shared" si="6"/>
        <v>2024</v>
      </c>
      <c r="H157" s="10">
        <f t="shared" si="7"/>
        <v>1</v>
      </c>
      <c r="I157" s="10">
        <f t="shared" si="8"/>
        <v>27</v>
      </c>
      <c r="J157" s="9" t="s">
        <v>519</v>
      </c>
      <c r="K157" s="2" t="s">
        <v>18</v>
      </c>
      <c r="L157" s="2">
        <v>432.83</v>
      </c>
      <c r="M157" s="2" t="s">
        <v>65</v>
      </c>
      <c r="N157" s="2" t="s">
        <v>41</v>
      </c>
      <c r="O157" s="2">
        <v>50</v>
      </c>
      <c r="P157" s="2"/>
    </row>
    <row r="158" spans="2:16" ht="21" hidden="1" x14ac:dyDescent="0.55000000000000004">
      <c r="B158" s="2" t="s">
        <v>520</v>
      </c>
      <c r="C158" s="2" t="s">
        <v>521</v>
      </c>
      <c r="D158" s="2" t="s">
        <v>29</v>
      </c>
      <c r="E158" s="2" t="s">
        <v>45</v>
      </c>
      <c r="F158" s="6" t="s">
        <v>97</v>
      </c>
      <c r="G158" s="10">
        <f t="shared" si="6"/>
        <v>2024</v>
      </c>
      <c r="H158" s="10">
        <f t="shared" si="7"/>
        <v>1</v>
      </c>
      <c r="I158" s="10">
        <f t="shared" si="8"/>
        <v>23</v>
      </c>
      <c r="J158" s="9" t="s">
        <v>522</v>
      </c>
      <c r="K158" s="2" t="s">
        <v>91</v>
      </c>
      <c r="L158" s="2">
        <v>265.64999999999998</v>
      </c>
      <c r="M158" s="2" t="s">
        <v>19</v>
      </c>
      <c r="N158" s="2" t="s">
        <v>41</v>
      </c>
      <c r="O158" s="2">
        <v>15</v>
      </c>
      <c r="P158" s="2">
        <v>2</v>
      </c>
    </row>
    <row r="159" spans="2:16" ht="21" hidden="1" x14ac:dyDescent="0.55000000000000004">
      <c r="B159" s="2" t="s">
        <v>523</v>
      </c>
      <c r="C159" s="2" t="s">
        <v>524</v>
      </c>
      <c r="D159" s="2" t="s">
        <v>14</v>
      </c>
      <c r="E159" s="2" t="s">
        <v>125</v>
      </c>
      <c r="F159" s="6" t="s">
        <v>198</v>
      </c>
      <c r="G159" s="10">
        <f t="shared" si="6"/>
        <v>2024</v>
      </c>
      <c r="H159" s="10">
        <f t="shared" si="7"/>
        <v>1</v>
      </c>
      <c r="I159" s="10">
        <f t="shared" si="8"/>
        <v>4</v>
      </c>
      <c r="J159" s="9" t="s">
        <v>525</v>
      </c>
      <c r="K159" s="2" t="s">
        <v>18</v>
      </c>
      <c r="L159" s="2">
        <v>466.32</v>
      </c>
      <c r="M159" s="2" t="s">
        <v>19</v>
      </c>
      <c r="N159" s="2" t="s">
        <v>20</v>
      </c>
      <c r="O159" s="2">
        <v>47</v>
      </c>
      <c r="P159" s="2">
        <v>4</v>
      </c>
    </row>
    <row r="160" spans="2:16" ht="21" hidden="1" x14ac:dyDescent="0.55000000000000004">
      <c r="B160" s="2" t="s">
        <v>526</v>
      </c>
      <c r="C160" s="2" t="s">
        <v>527</v>
      </c>
      <c r="D160" s="2" t="s">
        <v>53</v>
      </c>
      <c r="E160" s="2" t="s">
        <v>15</v>
      </c>
      <c r="F160" s="6" t="s">
        <v>302</v>
      </c>
      <c r="G160" s="10">
        <f t="shared" si="6"/>
        <v>2024</v>
      </c>
      <c r="H160" s="10">
        <f t="shared" si="7"/>
        <v>1</v>
      </c>
      <c r="I160" s="10">
        <f t="shared" si="8"/>
        <v>2</v>
      </c>
      <c r="J160" s="9" t="s">
        <v>528</v>
      </c>
      <c r="K160" s="2" t="s">
        <v>77</v>
      </c>
      <c r="L160" s="2">
        <v>499.89</v>
      </c>
      <c r="M160" s="2" t="s">
        <v>49</v>
      </c>
      <c r="N160" s="2" t="s">
        <v>26</v>
      </c>
      <c r="O160" s="2">
        <v>83</v>
      </c>
      <c r="P160" s="2">
        <v>2</v>
      </c>
    </row>
    <row r="161" spans="2:16" ht="21" hidden="1" x14ac:dyDescent="0.55000000000000004">
      <c r="B161" s="2" t="s">
        <v>529</v>
      </c>
      <c r="C161" s="2" t="s">
        <v>530</v>
      </c>
      <c r="D161" s="2" t="s">
        <v>106</v>
      </c>
      <c r="E161" s="2" t="s">
        <v>139</v>
      </c>
      <c r="F161" s="6" t="s">
        <v>38</v>
      </c>
      <c r="G161" s="10">
        <f t="shared" si="6"/>
        <v>2024</v>
      </c>
      <c r="H161" s="10">
        <f t="shared" si="7"/>
        <v>1</v>
      </c>
      <c r="I161" s="10">
        <f t="shared" si="8"/>
        <v>11</v>
      </c>
      <c r="J161" s="9" t="s">
        <v>531</v>
      </c>
      <c r="K161" s="2" t="s">
        <v>48</v>
      </c>
      <c r="L161" s="2">
        <v>222.02</v>
      </c>
      <c r="M161" s="2" t="s">
        <v>122</v>
      </c>
      <c r="N161" s="2" t="s">
        <v>20</v>
      </c>
      <c r="O161" s="2">
        <v>71</v>
      </c>
      <c r="P161" s="2">
        <v>2</v>
      </c>
    </row>
    <row r="162" spans="2:16" ht="21" hidden="1" x14ac:dyDescent="0.55000000000000004">
      <c r="B162" s="2" t="s">
        <v>532</v>
      </c>
      <c r="C162" s="2" t="s">
        <v>533</v>
      </c>
      <c r="D162" s="2" t="s">
        <v>29</v>
      </c>
      <c r="E162" s="2" t="s">
        <v>15</v>
      </c>
      <c r="F162" s="6" t="s">
        <v>317</v>
      </c>
      <c r="G162" s="10">
        <f t="shared" si="6"/>
        <v>2024</v>
      </c>
      <c r="H162" s="10">
        <f t="shared" si="7"/>
        <v>1</v>
      </c>
      <c r="I162" s="10">
        <f t="shared" si="8"/>
        <v>3</v>
      </c>
      <c r="J162" s="9" t="s">
        <v>534</v>
      </c>
      <c r="K162" s="2" t="s">
        <v>91</v>
      </c>
      <c r="L162" s="2">
        <v>323.92</v>
      </c>
      <c r="M162" s="2" t="s">
        <v>19</v>
      </c>
      <c r="N162" s="2" t="s">
        <v>50</v>
      </c>
      <c r="O162" s="2">
        <v>82</v>
      </c>
      <c r="P162" s="2"/>
    </row>
    <row r="163" spans="2:16" ht="21" x14ac:dyDescent="0.55000000000000004">
      <c r="B163" s="2" t="s">
        <v>535</v>
      </c>
      <c r="C163" s="2" t="s">
        <v>536</v>
      </c>
      <c r="D163" s="2" t="s">
        <v>23</v>
      </c>
      <c r="E163" s="2" t="s">
        <v>54</v>
      </c>
      <c r="F163" s="6" t="s">
        <v>16</v>
      </c>
      <c r="G163" s="10">
        <f t="shared" si="6"/>
        <v>2024</v>
      </c>
      <c r="H163" s="10">
        <f t="shared" si="7"/>
        <v>1</v>
      </c>
      <c r="I163" s="10">
        <f t="shared" si="8"/>
        <v>9</v>
      </c>
      <c r="J163" s="9" t="s">
        <v>537</v>
      </c>
      <c r="K163" s="2" t="s">
        <v>64</v>
      </c>
      <c r="L163" s="2">
        <v>436.86</v>
      </c>
      <c r="M163" s="2" t="s">
        <v>49</v>
      </c>
      <c r="N163" s="2" t="s">
        <v>20</v>
      </c>
      <c r="O163" s="2">
        <v>87</v>
      </c>
      <c r="P163" s="2">
        <v>5</v>
      </c>
    </row>
    <row r="164" spans="2:16" ht="21" hidden="1" x14ac:dyDescent="0.55000000000000004">
      <c r="B164" s="2" t="s">
        <v>538</v>
      </c>
      <c r="C164" s="2" t="s">
        <v>539</v>
      </c>
      <c r="D164" s="2" t="s">
        <v>29</v>
      </c>
      <c r="E164" s="2" t="s">
        <v>139</v>
      </c>
      <c r="F164" s="6" t="s">
        <v>113</v>
      </c>
      <c r="G164" s="10">
        <f t="shared" si="6"/>
        <v>2024</v>
      </c>
      <c r="H164" s="10">
        <f t="shared" si="7"/>
        <v>1</v>
      </c>
      <c r="I164" s="10">
        <f t="shared" si="8"/>
        <v>15</v>
      </c>
      <c r="J164" s="9" t="s">
        <v>540</v>
      </c>
      <c r="K164" s="2" t="s">
        <v>40</v>
      </c>
      <c r="L164" s="2">
        <v>437.15</v>
      </c>
      <c r="M164" s="2" t="s">
        <v>122</v>
      </c>
      <c r="N164" s="2" t="s">
        <v>50</v>
      </c>
      <c r="O164" s="2">
        <v>60</v>
      </c>
      <c r="P164" s="2">
        <v>5</v>
      </c>
    </row>
    <row r="165" spans="2:16" ht="21" x14ac:dyDescent="0.55000000000000004">
      <c r="B165" s="2" t="s">
        <v>541</v>
      </c>
      <c r="C165" s="2" t="s">
        <v>542</v>
      </c>
      <c r="D165" s="2" t="s">
        <v>23</v>
      </c>
      <c r="E165" s="2" t="s">
        <v>54</v>
      </c>
      <c r="F165" s="6" t="s">
        <v>55</v>
      </c>
      <c r="G165" s="10">
        <f t="shared" si="6"/>
        <v>2024</v>
      </c>
      <c r="H165" s="10">
        <f t="shared" si="7"/>
        <v>1</v>
      </c>
      <c r="I165" s="10">
        <f t="shared" si="8"/>
        <v>8</v>
      </c>
      <c r="J165" s="9" t="s">
        <v>205</v>
      </c>
      <c r="K165" s="2" t="s">
        <v>40</v>
      </c>
      <c r="L165" s="2">
        <v>433.73</v>
      </c>
      <c r="M165" s="2" t="s">
        <v>122</v>
      </c>
      <c r="N165" s="2" t="s">
        <v>41</v>
      </c>
      <c r="O165" s="2">
        <v>75</v>
      </c>
      <c r="P165" s="2">
        <v>1</v>
      </c>
    </row>
    <row r="166" spans="2:16" ht="21" hidden="1" x14ac:dyDescent="0.55000000000000004">
      <c r="B166" s="2" t="s">
        <v>543</v>
      </c>
      <c r="C166" s="2" t="s">
        <v>544</v>
      </c>
      <c r="D166" s="2" t="s">
        <v>14</v>
      </c>
      <c r="E166" s="2" t="s">
        <v>15</v>
      </c>
      <c r="F166" s="6" t="s">
        <v>113</v>
      </c>
      <c r="G166" s="10">
        <f t="shared" si="6"/>
        <v>2024</v>
      </c>
      <c r="H166" s="10">
        <f t="shared" si="7"/>
        <v>1</v>
      </c>
      <c r="I166" s="10">
        <f t="shared" si="8"/>
        <v>15</v>
      </c>
      <c r="J166" s="9" t="s">
        <v>545</v>
      </c>
      <c r="K166" s="2" t="s">
        <v>18</v>
      </c>
      <c r="L166" s="2">
        <v>105.31</v>
      </c>
      <c r="M166" s="2" t="s">
        <v>49</v>
      </c>
      <c r="N166" s="2" t="s">
        <v>20</v>
      </c>
      <c r="O166" s="2">
        <v>80</v>
      </c>
      <c r="P166" s="2">
        <v>3</v>
      </c>
    </row>
    <row r="167" spans="2:16" ht="21" hidden="1" x14ac:dyDescent="0.55000000000000004">
      <c r="B167" s="2" t="s">
        <v>546</v>
      </c>
      <c r="C167" s="2" t="s">
        <v>547</v>
      </c>
      <c r="D167" s="2" t="s">
        <v>117</v>
      </c>
      <c r="E167" s="2" t="s">
        <v>74</v>
      </c>
      <c r="F167" s="6" t="s">
        <v>38</v>
      </c>
      <c r="G167" s="10">
        <f t="shared" si="6"/>
        <v>2024</v>
      </c>
      <c r="H167" s="10">
        <f t="shared" si="7"/>
        <v>1</v>
      </c>
      <c r="I167" s="10">
        <f t="shared" si="8"/>
        <v>11</v>
      </c>
      <c r="J167" s="9" t="s">
        <v>323</v>
      </c>
      <c r="K167" s="2" t="s">
        <v>57</v>
      </c>
      <c r="L167" s="2">
        <v>276.56</v>
      </c>
      <c r="M167" s="2" t="s">
        <v>19</v>
      </c>
      <c r="N167" s="2" t="s">
        <v>26</v>
      </c>
      <c r="O167" s="2">
        <v>31</v>
      </c>
      <c r="P167" s="2">
        <v>4</v>
      </c>
    </row>
    <row r="168" spans="2:16" ht="21" hidden="1" x14ac:dyDescent="0.55000000000000004">
      <c r="B168" s="2" t="s">
        <v>548</v>
      </c>
      <c r="C168" s="2" t="s">
        <v>549</v>
      </c>
      <c r="D168" s="2" t="s">
        <v>14</v>
      </c>
      <c r="E168" s="2" t="s">
        <v>74</v>
      </c>
      <c r="F168" s="6" t="s">
        <v>38</v>
      </c>
      <c r="G168" s="10">
        <f t="shared" si="6"/>
        <v>2024</v>
      </c>
      <c r="H168" s="10">
        <f t="shared" si="7"/>
        <v>1</v>
      </c>
      <c r="I168" s="10">
        <f t="shared" si="8"/>
        <v>11</v>
      </c>
      <c r="J168" s="9" t="s">
        <v>550</v>
      </c>
      <c r="K168" s="2" t="s">
        <v>57</v>
      </c>
      <c r="L168" s="2">
        <v>240.27</v>
      </c>
      <c r="M168" s="2" t="s">
        <v>49</v>
      </c>
      <c r="N168" s="2" t="s">
        <v>26</v>
      </c>
      <c r="O168" s="2">
        <v>28</v>
      </c>
      <c r="P168" s="2">
        <v>4</v>
      </c>
    </row>
    <row r="169" spans="2:16" ht="21" hidden="1" x14ac:dyDescent="0.55000000000000004">
      <c r="B169" s="2" t="s">
        <v>551</v>
      </c>
      <c r="C169" s="2" t="s">
        <v>552</v>
      </c>
      <c r="D169" s="2" t="s">
        <v>44</v>
      </c>
      <c r="E169" s="2" t="s">
        <v>125</v>
      </c>
      <c r="F169" s="6" t="s">
        <v>46</v>
      </c>
      <c r="G169" s="10">
        <f t="shared" si="6"/>
        <v>2024</v>
      </c>
      <c r="H169" s="10">
        <f t="shared" si="7"/>
        <v>1</v>
      </c>
      <c r="I169" s="10">
        <f t="shared" si="8"/>
        <v>17</v>
      </c>
      <c r="J169" s="9" t="s">
        <v>553</v>
      </c>
      <c r="K169" s="2" t="s">
        <v>18</v>
      </c>
      <c r="L169" s="2">
        <v>377.78</v>
      </c>
      <c r="M169" s="2" t="s">
        <v>65</v>
      </c>
      <c r="N169" s="2" t="s">
        <v>41</v>
      </c>
      <c r="O169" s="2">
        <v>89</v>
      </c>
      <c r="P169" s="2">
        <v>4</v>
      </c>
    </row>
    <row r="170" spans="2:16" ht="21" hidden="1" x14ac:dyDescent="0.55000000000000004">
      <c r="B170" s="2" t="s">
        <v>554</v>
      </c>
      <c r="C170" s="2" t="s">
        <v>555</v>
      </c>
      <c r="D170" s="2" t="s">
        <v>23</v>
      </c>
      <c r="E170" s="2" t="s">
        <v>45</v>
      </c>
      <c r="F170" s="6" t="s">
        <v>38</v>
      </c>
      <c r="G170" s="10">
        <f t="shared" si="6"/>
        <v>2024</v>
      </c>
      <c r="H170" s="10">
        <f t="shared" si="7"/>
        <v>1</v>
      </c>
      <c r="I170" s="10">
        <f t="shared" si="8"/>
        <v>11</v>
      </c>
      <c r="J170" s="9" t="s">
        <v>412</v>
      </c>
      <c r="K170" s="2" t="s">
        <v>57</v>
      </c>
      <c r="L170" s="2">
        <v>139.66</v>
      </c>
      <c r="M170" s="2" t="s">
        <v>122</v>
      </c>
      <c r="N170" s="2" t="s">
        <v>41</v>
      </c>
      <c r="O170" s="2">
        <v>39</v>
      </c>
      <c r="P170" s="2">
        <v>2</v>
      </c>
    </row>
    <row r="171" spans="2:16" ht="21" hidden="1" x14ac:dyDescent="0.55000000000000004">
      <c r="B171" s="2" t="s">
        <v>556</v>
      </c>
      <c r="C171" s="2" t="s">
        <v>557</v>
      </c>
      <c r="D171" s="2" t="s">
        <v>73</v>
      </c>
      <c r="E171" s="2" t="s">
        <v>45</v>
      </c>
      <c r="F171" s="6" t="s">
        <v>118</v>
      </c>
      <c r="G171" s="10">
        <f t="shared" si="6"/>
        <v>2024</v>
      </c>
      <c r="H171" s="10">
        <f t="shared" si="7"/>
        <v>1</v>
      </c>
      <c r="I171" s="10">
        <f t="shared" si="8"/>
        <v>24</v>
      </c>
      <c r="J171" s="9" t="s">
        <v>558</v>
      </c>
      <c r="K171" s="2" t="s">
        <v>40</v>
      </c>
      <c r="L171" s="2">
        <v>197.87</v>
      </c>
      <c r="M171" s="2" t="s">
        <v>49</v>
      </c>
      <c r="N171" s="2" t="s">
        <v>50</v>
      </c>
      <c r="O171" s="2">
        <v>31</v>
      </c>
      <c r="P171" s="2"/>
    </row>
    <row r="172" spans="2:16" ht="21" hidden="1" x14ac:dyDescent="0.55000000000000004">
      <c r="B172" s="2" t="s">
        <v>559</v>
      </c>
      <c r="C172" s="2" t="s">
        <v>560</v>
      </c>
      <c r="D172" s="2" t="s">
        <v>68</v>
      </c>
      <c r="E172" s="2" t="s">
        <v>80</v>
      </c>
      <c r="F172" s="6" t="s">
        <v>317</v>
      </c>
      <c r="G172" s="10">
        <f t="shared" si="6"/>
        <v>2024</v>
      </c>
      <c r="H172" s="10">
        <f t="shared" si="7"/>
        <v>1</v>
      </c>
      <c r="I172" s="10">
        <f t="shared" si="8"/>
        <v>3</v>
      </c>
      <c r="J172" s="9" t="s">
        <v>561</v>
      </c>
      <c r="K172" s="2" t="s">
        <v>33</v>
      </c>
      <c r="L172" s="2">
        <v>158.26</v>
      </c>
      <c r="M172" s="2" t="s">
        <v>19</v>
      </c>
      <c r="N172" s="2" t="s">
        <v>41</v>
      </c>
      <c r="O172" s="2">
        <v>82</v>
      </c>
      <c r="P172" s="2">
        <v>2</v>
      </c>
    </row>
    <row r="173" spans="2:16" ht="21" hidden="1" x14ac:dyDescent="0.55000000000000004">
      <c r="B173" s="2" t="s">
        <v>562</v>
      </c>
      <c r="C173" s="2" t="s">
        <v>563</v>
      </c>
      <c r="D173" s="2" t="s">
        <v>23</v>
      </c>
      <c r="E173" s="2" t="s">
        <v>37</v>
      </c>
      <c r="F173" s="6" t="s">
        <v>317</v>
      </c>
      <c r="G173" s="10">
        <f t="shared" si="6"/>
        <v>2024</v>
      </c>
      <c r="H173" s="10">
        <f t="shared" si="7"/>
        <v>1</v>
      </c>
      <c r="I173" s="10">
        <f t="shared" si="8"/>
        <v>3</v>
      </c>
      <c r="J173" s="9" t="s">
        <v>254</v>
      </c>
      <c r="K173" s="2" t="s">
        <v>18</v>
      </c>
      <c r="L173" s="2">
        <v>387.16</v>
      </c>
      <c r="M173" s="2" t="s">
        <v>122</v>
      </c>
      <c r="N173" s="2" t="s">
        <v>20</v>
      </c>
      <c r="O173" s="2">
        <v>82</v>
      </c>
      <c r="P173" s="2">
        <v>5</v>
      </c>
    </row>
    <row r="174" spans="2:16" ht="21" hidden="1" x14ac:dyDescent="0.55000000000000004">
      <c r="B174" s="2" t="s">
        <v>564</v>
      </c>
      <c r="C174" s="2" t="s">
        <v>565</v>
      </c>
      <c r="D174" s="2" t="s">
        <v>106</v>
      </c>
      <c r="E174" s="2" t="s">
        <v>125</v>
      </c>
      <c r="F174" s="6" t="s">
        <v>302</v>
      </c>
      <c r="G174" s="10">
        <f t="shared" si="6"/>
        <v>2024</v>
      </c>
      <c r="H174" s="10">
        <f t="shared" si="7"/>
        <v>1</v>
      </c>
      <c r="I174" s="10">
        <f t="shared" si="8"/>
        <v>2</v>
      </c>
      <c r="J174" s="9" t="s">
        <v>282</v>
      </c>
      <c r="K174" s="2" t="s">
        <v>77</v>
      </c>
      <c r="L174" s="2">
        <v>424.79</v>
      </c>
      <c r="M174" s="2" t="s">
        <v>65</v>
      </c>
      <c r="N174" s="2" t="s">
        <v>41</v>
      </c>
      <c r="O174" s="2">
        <v>40</v>
      </c>
      <c r="P174" s="2">
        <v>1</v>
      </c>
    </row>
    <row r="175" spans="2:16" ht="21" hidden="1" x14ac:dyDescent="0.55000000000000004">
      <c r="B175" s="2" t="s">
        <v>566</v>
      </c>
      <c r="C175" s="2" t="s">
        <v>567</v>
      </c>
      <c r="D175" s="2" t="s">
        <v>44</v>
      </c>
      <c r="E175" s="2" t="s">
        <v>125</v>
      </c>
      <c r="F175" s="6" t="s">
        <v>16</v>
      </c>
      <c r="G175" s="10">
        <f t="shared" si="6"/>
        <v>2024</v>
      </c>
      <c r="H175" s="10">
        <f t="shared" si="7"/>
        <v>1</v>
      </c>
      <c r="I175" s="10">
        <f t="shared" si="8"/>
        <v>9</v>
      </c>
      <c r="J175" s="9" t="s">
        <v>568</v>
      </c>
      <c r="K175" s="2" t="s">
        <v>57</v>
      </c>
      <c r="L175" s="2">
        <v>127.87</v>
      </c>
      <c r="M175" s="2" t="s">
        <v>49</v>
      </c>
      <c r="N175" s="2" t="s">
        <v>26</v>
      </c>
      <c r="O175" s="2">
        <v>44</v>
      </c>
      <c r="P175" s="2">
        <v>5</v>
      </c>
    </row>
    <row r="176" spans="2:16" ht="21" hidden="1" x14ac:dyDescent="0.55000000000000004">
      <c r="B176" s="2" t="s">
        <v>569</v>
      </c>
      <c r="C176" s="2" t="s">
        <v>570</v>
      </c>
      <c r="D176" s="2" t="s">
        <v>73</v>
      </c>
      <c r="E176" s="2" t="s">
        <v>139</v>
      </c>
      <c r="F176" s="6" t="s">
        <v>132</v>
      </c>
      <c r="G176" s="10">
        <f t="shared" si="6"/>
        <v>2024</v>
      </c>
      <c r="H176" s="10">
        <f t="shared" si="7"/>
        <v>1</v>
      </c>
      <c r="I176" s="10">
        <f t="shared" si="8"/>
        <v>6</v>
      </c>
      <c r="J176" s="9" t="s">
        <v>571</v>
      </c>
      <c r="K176" s="2" t="s">
        <v>48</v>
      </c>
      <c r="L176" s="2">
        <v>78.81</v>
      </c>
      <c r="M176" s="2" t="s">
        <v>65</v>
      </c>
      <c r="N176" s="2" t="s">
        <v>50</v>
      </c>
      <c r="O176" s="2">
        <v>49</v>
      </c>
      <c r="P176" s="2">
        <v>1</v>
      </c>
    </row>
    <row r="177" spans="2:16" ht="21" hidden="1" x14ac:dyDescent="0.55000000000000004">
      <c r="B177" s="2" t="s">
        <v>572</v>
      </c>
      <c r="C177" s="2" t="s">
        <v>573</v>
      </c>
      <c r="D177" s="2" t="s">
        <v>14</v>
      </c>
      <c r="E177" s="2" t="s">
        <v>74</v>
      </c>
      <c r="F177" s="6" t="s">
        <v>473</v>
      </c>
      <c r="G177" s="10">
        <f t="shared" si="6"/>
        <v>2024</v>
      </c>
      <c r="H177" s="10">
        <f t="shared" si="7"/>
        <v>1</v>
      </c>
      <c r="I177" s="10">
        <f t="shared" si="8"/>
        <v>30</v>
      </c>
      <c r="J177" s="9" t="s">
        <v>574</v>
      </c>
      <c r="K177" s="2" t="s">
        <v>77</v>
      </c>
      <c r="L177" s="2">
        <v>294.58</v>
      </c>
      <c r="M177" s="2" t="s">
        <v>19</v>
      </c>
      <c r="N177" s="2" t="s">
        <v>20</v>
      </c>
      <c r="O177" s="2">
        <v>21</v>
      </c>
      <c r="P177" s="2">
        <v>2</v>
      </c>
    </row>
    <row r="178" spans="2:16" ht="21" hidden="1" x14ac:dyDescent="0.55000000000000004">
      <c r="B178" s="2" t="s">
        <v>575</v>
      </c>
      <c r="C178" s="2" t="s">
        <v>576</v>
      </c>
      <c r="D178" s="2" t="s">
        <v>44</v>
      </c>
      <c r="E178" s="2" t="s">
        <v>45</v>
      </c>
      <c r="F178" s="6" t="s">
        <v>38</v>
      </c>
      <c r="G178" s="10">
        <f t="shared" si="6"/>
        <v>2024</v>
      </c>
      <c r="H178" s="10">
        <f t="shared" si="7"/>
        <v>1</v>
      </c>
      <c r="I178" s="10">
        <f t="shared" si="8"/>
        <v>11</v>
      </c>
      <c r="J178" s="9" t="s">
        <v>577</v>
      </c>
      <c r="K178" s="2" t="s">
        <v>18</v>
      </c>
      <c r="L178" s="2">
        <v>268.94</v>
      </c>
      <c r="M178" s="2" t="s">
        <v>65</v>
      </c>
      <c r="N178" s="2" t="s">
        <v>26</v>
      </c>
      <c r="O178" s="2">
        <v>52</v>
      </c>
      <c r="P178" s="2">
        <v>3</v>
      </c>
    </row>
    <row r="179" spans="2:16" ht="21" hidden="1" x14ac:dyDescent="0.55000000000000004">
      <c r="B179" s="2" t="s">
        <v>578</v>
      </c>
      <c r="C179" s="2" t="s">
        <v>579</v>
      </c>
      <c r="D179" s="2" t="s">
        <v>29</v>
      </c>
      <c r="E179" s="2" t="s">
        <v>15</v>
      </c>
      <c r="F179" s="6" t="s">
        <v>118</v>
      </c>
      <c r="G179" s="10">
        <f t="shared" si="6"/>
        <v>2024</v>
      </c>
      <c r="H179" s="10">
        <f t="shared" si="7"/>
        <v>1</v>
      </c>
      <c r="I179" s="10">
        <f t="shared" si="8"/>
        <v>24</v>
      </c>
      <c r="J179" s="9" t="s">
        <v>580</v>
      </c>
      <c r="K179" s="2" t="s">
        <v>18</v>
      </c>
      <c r="L179" s="2">
        <v>188.44</v>
      </c>
      <c r="M179" s="2" t="s">
        <v>49</v>
      </c>
      <c r="N179" s="2" t="s">
        <v>50</v>
      </c>
      <c r="O179" s="2">
        <v>39</v>
      </c>
      <c r="P179" s="2">
        <v>1</v>
      </c>
    </row>
    <row r="180" spans="2:16" ht="21" hidden="1" x14ac:dyDescent="0.55000000000000004">
      <c r="B180" s="2" t="s">
        <v>581</v>
      </c>
      <c r="C180" s="2" t="s">
        <v>582</v>
      </c>
      <c r="D180" s="2" t="s">
        <v>23</v>
      </c>
      <c r="E180" s="2" t="s">
        <v>37</v>
      </c>
      <c r="F180" s="6" t="s">
        <v>198</v>
      </c>
      <c r="G180" s="10">
        <f t="shared" si="6"/>
        <v>2024</v>
      </c>
      <c r="H180" s="10">
        <f t="shared" si="7"/>
        <v>1</v>
      </c>
      <c r="I180" s="10">
        <f t="shared" si="8"/>
        <v>4</v>
      </c>
      <c r="J180" s="9" t="s">
        <v>583</v>
      </c>
      <c r="K180" s="2" t="s">
        <v>18</v>
      </c>
      <c r="L180" s="2">
        <v>471.22</v>
      </c>
      <c r="M180" s="2" t="s">
        <v>19</v>
      </c>
      <c r="N180" s="2" t="s">
        <v>41</v>
      </c>
      <c r="O180" s="2">
        <v>85</v>
      </c>
      <c r="P180" s="2">
        <v>5</v>
      </c>
    </row>
    <row r="181" spans="2:16" ht="21" hidden="1" x14ac:dyDescent="0.55000000000000004">
      <c r="B181" s="2" t="s">
        <v>584</v>
      </c>
      <c r="C181" s="2" t="s">
        <v>585</v>
      </c>
      <c r="D181" s="2" t="s">
        <v>23</v>
      </c>
      <c r="E181" s="2" t="s">
        <v>15</v>
      </c>
      <c r="F181" s="6" t="s">
        <v>343</v>
      </c>
      <c r="G181" s="10">
        <f t="shared" si="6"/>
        <v>2024</v>
      </c>
      <c r="H181" s="10">
        <f t="shared" si="7"/>
        <v>1</v>
      </c>
      <c r="I181" s="10">
        <f t="shared" si="8"/>
        <v>13</v>
      </c>
      <c r="J181" s="9" t="s">
        <v>586</v>
      </c>
      <c r="K181" s="2" t="s">
        <v>18</v>
      </c>
      <c r="L181" s="2">
        <v>308.33999999999997</v>
      </c>
      <c r="M181" s="2" t="s">
        <v>19</v>
      </c>
      <c r="N181" s="2" t="s">
        <v>41</v>
      </c>
      <c r="O181" s="2">
        <v>61</v>
      </c>
      <c r="P181" s="2">
        <v>3</v>
      </c>
    </row>
    <row r="182" spans="2:16" ht="21" hidden="1" x14ac:dyDescent="0.55000000000000004">
      <c r="B182" s="2" t="s">
        <v>587</v>
      </c>
      <c r="C182" s="2" t="s">
        <v>588</v>
      </c>
      <c r="D182" s="2" t="s">
        <v>73</v>
      </c>
      <c r="E182" s="2" t="s">
        <v>74</v>
      </c>
      <c r="F182" s="6" t="s">
        <v>473</v>
      </c>
      <c r="G182" s="10">
        <f t="shared" si="6"/>
        <v>2024</v>
      </c>
      <c r="H182" s="10">
        <f t="shared" si="7"/>
        <v>1</v>
      </c>
      <c r="I182" s="10">
        <f t="shared" si="8"/>
        <v>30</v>
      </c>
      <c r="J182" s="9" t="s">
        <v>39</v>
      </c>
      <c r="K182" s="2" t="s">
        <v>57</v>
      </c>
      <c r="L182" s="2">
        <v>211.65</v>
      </c>
      <c r="M182" s="2" t="s">
        <v>65</v>
      </c>
      <c r="N182" s="2" t="s">
        <v>50</v>
      </c>
      <c r="O182" s="2">
        <v>75</v>
      </c>
      <c r="P182" s="2">
        <v>3</v>
      </c>
    </row>
    <row r="183" spans="2:16" ht="21" hidden="1" x14ac:dyDescent="0.55000000000000004">
      <c r="B183" s="2" t="s">
        <v>589</v>
      </c>
      <c r="C183" s="2" t="s">
        <v>590</v>
      </c>
      <c r="D183" s="2" t="s">
        <v>29</v>
      </c>
      <c r="E183" s="2" t="s">
        <v>15</v>
      </c>
      <c r="F183" s="6" t="s">
        <v>62</v>
      </c>
      <c r="G183" s="10">
        <f t="shared" si="6"/>
        <v>2024</v>
      </c>
      <c r="H183" s="10">
        <f t="shared" si="7"/>
        <v>1</v>
      </c>
      <c r="I183" s="10">
        <f t="shared" si="8"/>
        <v>31</v>
      </c>
      <c r="J183" s="9" t="s">
        <v>591</v>
      </c>
      <c r="K183" s="2" t="s">
        <v>18</v>
      </c>
      <c r="L183" s="2">
        <v>478.04</v>
      </c>
      <c r="M183" s="2" t="s">
        <v>49</v>
      </c>
      <c r="N183" s="2" t="s">
        <v>20</v>
      </c>
      <c r="O183" s="2">
        <v>87</v>
      </c>
      <c r="P183" s="2">
        <v>2</v>
      </c>
    </row>
    <row r="184" spans="2:16" ht="21" hidden="1" x14ac:dyDescent="0.55000000000000004">
      <c r="B184" s="2" t="s">
        <v>592</v>
      </c>
      <c r="C184" s="2" t="s">
        <v>593</v>
      </c>
      <c r="D184" s="2" t="s">
        <v>117</v>
      </c>
      <c r="E184" s="2" t="s">
        <v>15</v>
      </c>
      <c r="F184" s="6" t="s">
        <v>198</v>
      </c>
      <c r="G184" s="10">
        <f t="shared" si="6"/>
        <v>2024</v>
      </c>
      <c r="H184" s="10">
        <f t="shared" si="7"/>
        <v>1</v>
      </c>
      <c r="I184" s="10">
        <f t="shared" si="8"/>
        <v>4</v>
      </c>
      <c r="J184" s="9" t="s">
        <v>594</v>
      </c>
      <c r="K184" s="2" t="s">
        <v>33</v>
      </c>
      <c r="L184" s="2">
        <v>210.78</v>
      </c>
      <c r="M184" s="2" t="s">
        <v>122</v>
      </c>
      <c r="N184" s="2" t="s">
        <v>41</v>
      </c>
      <c r="O184" s="2">
        <v>55</v>
      </c>
      <c r="P184" s="2">
        <v>1</v>
      </c>
    </row>
    <row r="185" spans="2:16" ht="21" hidden="1" x14ac:dyDescent="0.55000000000000004">
      <c r="B185" s="2" t="s">
        <v>595</v>
      </c>
      <c r="C185" s="2" t="s">
        <v>596</v>
      </c>
      <c r="D185" s="2" t="s">
        <v>14</v>
      </c>
      <c r="E185" s="2" t="s">
        <v>80</v>
      </c>
      <c r="F185" s="6" t="s">
        <v>317</v>
      </c>
      <c r="G185" s="10">
        <f t="shared" si="6"/>
        <v>2024</v>
      </c>
      <c r="H185" s="10">
        <f t="shared" si="7"/>
        <v>1</v>
      </c>
      <c r="I185" s="10">
        <f t="shared" si="8"/>
        <v>3</v>
      </c>
      <c r="J185" s="9" t="s">
        <v>597</v>
      </c>
      <c r="K185" s="2" t="s">
        <v>48</v>
      </c>
      <c r="L185" s="2">
        <v>263.83999999999997</v>
      </c>
      <c r="M185" s="2" t="s">
        <v>65</v>
      </c>
      <c r="N185" s="2" t="s">
        <v>41</v>
      </c>
      <c r="O185" s="2">
        <v>28</v>
      </c>
      <c r="P185" s="2">
        <v>2</v>
      </c>
    </row>
    <row r="186" spans="2:16" ht="21" hidden="1" x14ac:dyDescent="0.55000000000000004">
      <c r="B186" s="2" t="s">
        <v>598</v>
      </c>
      <c r="C186" s="2" t="s">
        <v>599</v>
      </c>
      <c r="D186" s="2" t="s">
        <v>117</v>
      </c>
      <c r="E186" s="2" t="s">
        <v>139</v>
      </c>
      <c r="F186" s="6" t="s">
        <v>69</v>
      </c>
      <c r="G186" s="10">
        <f t="shared" si="6"/>
        <v>2024</v>
      </c>
      <c r="H186" s="10">
        <f t="shared" si="7"/>
        <v>1</v>
      </c>
      <c r="I186" s="10">
        <f t="shared" si="8"/>
        <v>27</v>
      </c>
      <c r="J186" s="9" t="s">
        <v>600</v>
      </c>
      <c r="K186" s="2" t="s">
        <v>91</v>
      </c>
      <c r="L186" s="2">
        <v>131.84</v>
      </c>
      <c r="M186" s="2" t="s">
        <v>65</v>
      </c>
      <c r="N186" s="2" t="s">
        <v>26</v>
      </c>
      <c r="O186" s="2">
        <v>85</v>
      </c>
      <c r="P186" s="2">
        <v>1</v>
      </c>
    </row>
    <row r="187" spans="2:16" ht="21" hidden="1" x14ac:dyDescent="0.55000000000000004">
      <c r="B187" s="2" t="s">
        <v>601</v>
      </c>
      <c r="C187" s="2" t="s">
        <v>602</v>
      </c>
      <c r="D187" s="2" t="s">
        <v>68</v>
      </c>
      <c r="E187" s="2" t="s">
        <v>15</v>
      </c>
      <c r="F187" s="6" t="s">
        <v>69</v>
      </c>
      <c r="G187" s="10">
        <f t="shared" si="6"/>
        <v>2024</v>
      </c>
      <c r="H187" s="10">
        <f t="shared" si="7"/>
        <v>1</v>
      </c>
      <c r="I187" s="10">
        <f t="shared" si="8"/>
        <v>27</v>
      </c>
      <c r="J187" s="9" t="s">
        <v>285</v>
      </c>
      <c r="K187" s="2" t="s">
        <v>64</v>
      </c>
      <c r="L187" s="2">
        <v>221.32</v>
      </c>
      <c r="M187" s="2" t="s">
        <v>122</v>
      </c>
      <c r="N187" s="2" t="s">
        <v>41</v>
      </c>
      <c r="O187" s="2">
        <v>26</v>
      </c>
      <c r="P187" s="2">
        <v>1</v>
      </c>
    </row>
    <row r="188" spans="2:16" ht="21" hidden="1" x14ac:dyDescent="0.55000000000000004">
      <c r="B188" s="2" t="s">
        <v>603</v>
      </c>
      <c r="C188" s="2" t="s">
        <v>604</v>
      </c>
      <c r="D188" s="2" t="s">
        <v>73</v>
      </c>
      <c r="E188" s="2" t="s">
        <v>15</v>
      </c>
      <c r="F188" s="6" t="s">
        <v>144</v>
      </c>
      <c r="G188" s="10">
        <f t="shared" si="6"/>
        <v>2024</v>
      </c>
      <c r="H188" s="10">
        <f t="shared" si="7"/>
        <v>1</v>
      </c>
      <c r="I188" s="10">
        <f t="shared" si="8"/>
        <v>7</v>
      </c>
      <c r="J188" s="9" t="s">
        <v>605</v>
      </c>
      <c r="K188" s="2" t="s">
        <v>57</v>
      </c>
      <c r="L188" s="2">
        <v>399.73</v>
      </c>
      <c r="M188" s="2" t="s">
        <v>65</v>
      </c>
      <c r="N188" s="2" t="s">
        <v>50</v>
      </c>
      <c r="O188" s="2">
        <v>52</v>
      </c>
      <c r="P188" s="2">
        <v>5</v>
      </c>
    </row>
    <row r="189" spans="2:16" ht="21" hidden="1" x14ac:dyDescent="0.55000000000000004">
      <c r="B189" s="2" t="s">
        <v>606</v>
      </c>
      <c r="C189" s="2" t="s">
        <v>607</v>
      </c>
      <c r="D189" s="2" t="s">
        <v>73</v>
      </c>
      <c r="E189" s="2" t="s">
        <v>15</v>
      </c>
      <c r="F189" s="6" t="s">
        <v>317</v>
      </c>
      <c r="G189" s="10">
        <f t="shared" si="6"/>
        <v>2024</v>
      </c>
      <c r="H189" s="10">
        <f t="shared" si="7"/>
        <v>1</v>
      </c>
      <c r="I189" s="10">
        <f t="shared" si="8"/>
        <v>3</v>
      </c>
      <c r="J189" s="9" t="s">
        <v>608</v>
      </c>
      <c r="K189" s="2" t="s">
        <v>18</v>
      </c>
      <c r="L189" s="2">
        <v>118.63</v>
      </c>
      <c r="M189" s="2" t="s">
        <v>49</v>
      </c>
      <c r="N189" s="2" t="s">
        <v>41</v>
      </c>
      <c r="O189" s="2">
        <v>54</v>
      </c>
      <c r="P189" s="2"/>
    </row>
    <row r="190" spans="2:16" ht="21" hidden="1" x14ac:dyDescent="0.55000000000000004">
      <c r="B190" s="2" t="s">
        <v>609</v>
      </c>
      <c r="C190" s="2" t="s">
        <v>610</v>
      </c>
      <c r="D190" s="2" t="s">
        <v>29</v>
      </c>
      <c r="E190" s="2" t="s">
        <v>125</v>
      </c>
      <c r="F190" s="6" t="s">
        <v>129</v>
      </c>
      <c r="G190" s="10">
        <f t="shared" si="6"/>
        <v>2024</v>
      </c>
      <c r="H190" s="10">
        <f t="shared" si="7"/>
        <v>1</v>
      </c>
      <c r="I190" s="10">
        <f t="shared" si="8"/>
        <v>19</v>
      </c>
      <c r="J190" s="9" t="s">
        <v>574</v>
      </c>
      <c r="K190" s="2" t="s">
        <v>33</v>
      </c>
      <c r="L190" s="2">
        <v>176.64</v>
      </c>
      <c r="M190" s="2" t="s">
        <v>49</v>
      </c>
      <c r="N190" s="2" t="s">
        <v>20</v>
      </c>
      <c r="O190" s="2">
        <v>53</v>
      </c>
      <c r="P190" s="2">
        <v>5</v>
      </c>
    </row>
    <row r="191" spans="2:16" ht="21" hidden="1" x14ac:dyDescent="0.55000000000000004">
      <c r="B191" s="2" t="s">
        <v>611</v>
      </c>
      <c r="C191" s="2" t="s">
        <v>612</v>
      </c>
      <c r="D191" s="2" t="s">
        <v>73</v>
      </c>
      <c r="E191" s="2" t="s">
        <v>80</v>
      </c>
      <c r="F191" s="6" t="s">
        <v>16</v>
      </c>
      <c r="G191" s="10">
        <f t="shared" si="6"/>
        <v>2024</v>
      </c>
      <c r="H191" s="10">
        <f t="shared" si="7"/>
        <v>1</v>
      </c>
      <c r="I191" s="10">
        <f t="shared" si="8"/>
        <v>9</v>
      </c>
      <c r="J191" s="9" t="s">
        <v>613</v>
      </c>
      <c r="K191" s="2" t="s">
        <v>57</v>
      </c>
      <c r="L191" s="2">
        <v>186.96</v>
      </c>
      <c r="M191" s="2" t="s">
        <v>19</v>
      </c>
      <c r="N191" s="2" t="s">
        <v>41</v>
      </c>
      <c r="O191" s="2">
        <v>64</v>
      </c>
      <c r="P191" s="2">
        <v>3</v>
      </c>
    </row>
    <row r="192" spans="2:16" ht="21" hidden="1" x14ac:dyDescent="0.55000000000000004">
      <c r="B192" s="2" t="s">
        <v>614</v>
      </c>
      <c r="C192" s="2" t="s">
        <v>615</v>
      </c>
      <c r="D192" s="2" t="s">
        <v>68</v>
      </c>
      <c r="E192" s="2" t="s">
        <v>45</v>
      </c>
      <c r="F192" s="6" t="s">
        <v>38</v>
      </c>
      <c r="G192" s="10">
        <f t="shared" si="6"/>
        <v>2024</v>
      </c>
      <c r="H192" s="10">
        <f t="shared" si="7"/>
        <v>1</v>
      </c>
      <c r="I192" s="10">
        <f t="shared" si="8"/>
        <v>11</v>
      </c>
      <c r="J192" s="9" t="s">
        <v>616</v>
      </c>
      <c r="K192" s="2" t="s">
        <v>48</v>
      </c>
      <c r="L192" s="2">
        <v>124.13</v>
      </c>
      <c r="M192" s="2" t="s">
        <v>122</v>
      </c>
      <c r="N192" s="2" t="s">
        <v>41</v>
      </c>
      <c r="O192" s="2">
        <v>24</v>
      </c>
      <c r="P192" s="2">
        <v>5</v>
      </c>
    </row>
    <row r="193" spans="2:16" ht="21" hidden="1" x14ac:dyDescent="0.55000000000000004">
      <c r="B193" s="2" t="s">
        <v>617</v>
      </c>
      <c r="C193" s="2" t="s">
        <v>96</v>
      </c>
      <c r="D193" s="2" t="s">
        <v>44</v>
      </c>
      <c r="E193" s="2" t="s">
        <v>125</v>
      </c>
      <c r="F193" s="6" t="s">
        <v>272</v>
      </c>
      <c r="G193" s="10">
        <f t="shared" si="6"/>
        <v>2024</v>
      </c>
      <c r="H193" s="10">
        <f t="shared" si="7"/>
        <v>1</v>
      </c>
      <c r="I193" s="10">
        <f t="shared" si="8"/>
        <v>1</v>
      </c>
      <c r="J193" s="9" t="s">
        <v>618</v>
      </c>
      <c r="K193" s="2" t="s">
        <v>48</v>
      </c>
      <c r="L193" s="2">
        <v>220.49</v>
      </c>
      <c r="M193" s="2" t="s">
        <v>65</v>
      </c>
      <c r="N193" s="2" t="s">
        <v>20</v>
      </c>
      <c r="O193" s="2">
        <v>25</v>
      </c>
      <c r="P193" s="2">
        <v>3</v>
      </c>
    </row>
    <row r="194" spans="2:16" ht="21" hidden="1" x14ac:dyDescent="0.55000000000000004">
      <c r="B194" s="2" t="s">
        <v>619</v>
      </c>
      <c r="C194" s="2" t="s">
        <v>620</v>
      </c>
      <c r="D194" s="2" t="s">
        <v>106</v>
      </c>
      <c r="E194" s="2" t="s">
        <v>37</v>
      </c>
      <c r="F194" s="6" t="s">
        <v>69</v>
      </c>
      <c r="G194" s="10">
        <f t="shared" si="6"/>
        <v>2024</v>
      </c>
      <c r="H194" s="10">
        <f t="shared" si="7"/>
        <v>1</v>
      </c>
      <c r="I194" s="10">
        <f t="shared" si="8"/>
        <v>27</v>
      </c>
      <c r="J194" s="9" t="s">
        <v>621</v>
      </c>
      <c r="K194" s="2" t="s">
        <v>33</v>
      </c>
      <c r="L194" s="2">
        <v>65.47</v>
      </c>
      <c r="M194" s="2" t="s">
        <v>49</v>
      </c>
      <c r="N194" s="2" t="s">
        <v>50</v>
      </c>
      <c r="O194" s="2">
        <v>54</v>
      </c>
      <c r="P194" s="2">
        <v>1</v>
      </c>
    </row>
    <row r="195" spans="2:16" ht="21" hidden="1" x14ac:dyDescent="0.55000000000000004">
      <c r="B195" s="2" t="s">
        <v>622</v>
      </c>
      <c r="C195" s="2" t="s">
        <v>623</v>
      </c>
      <c r="D195" s="2" t="s">
        <v>60</v>
      </c>
      <c r="E195" s="2" t="s">
        <v>37</v>
      </c>
      <c r="F195" s="6" t="s">
        <v>129</v>
      </c>
      <c r="G195" s="10">
        <f t="shared" si="6"/>
        <v>2024</v>
      </c>
      <c r="H195" s="10">
        <f t="shared" si="7"/>
        <v>1</v>
      </c>
      <c r="I195" s="10">
        <f t="shared" si="8"/>
        <v>19</v>
      </c>
      <c r="J195" s="9" t="s">
        <v>624</v>
      </c>
      <c r="K195" s="2" t="s">
        <v>40</v>
      </c>
      <c r="L195" s="2">
        <v>364.76</v>
      </c>
      <c r="M195" s="2" t="s">
        <v>49</v>
      </c>
      <c r="N195" s="2" t="s">
        <v>50</v>
      </c>
      <c r="O195" s="2">
        <v>20</v>
      </c>
      <c r="P195" s="2">
        <v>4</v>
      </c>
    </row>
    <row r="196" spans="2:16" ht="21" hidden="1" x14ac:dyDescent="0.55000000000000004">
      <c r="B196" s="2" t="s">
        <v>625</v>
      </c>
      <c r="C196" s="2" t="s">
        <v>626</v>
      </c>
      <c r="D196" s="2" t="s">
        <v>44</v>
      </c>
      <c r="E196" s="2" t="s">
        <v>37</v>
      </c>
      <c r="F196" s="6" t="s">
        <v>46</v>
      </c>
      <c r="G196" s="10">
        <f t="shared" ref="G196:G259" si="9">YEAR(F196)</f>
        <v>2024</v>
      </c>
      <c r="H196" s="10">
        <f t="shared" ref="H196:H259" si="10">MONTH(F196)</f>
        <v>1</v>
      </c>
      <c r="I196" s="10">
        <f t="shared" ref="I196:I259" si="11">DAY(F196)</f>
        <v>17</v>
      </c>
      <c r="J196" s="9" t="s">
        <v>627</v>
      </c>
      <c r="K196" s="2" t="s">
        <v>40</v>
      </c>
      <c r="L196" s="2">
        <v>492.92</v>
      </c>
      <c r="M196" s="2" t="s">
        <v>122</v>
      </c>
      <c r="N196" s="2" t="s">
        <v>26</v>
      </c>
      <c r="O196" s="2">
        <v>73</v>
      </c>
      <c r="P196" s="2">
        <v>4</v>
      </c>
    </row>
    <row r="197" spans="2:16" ht="21" hidden="1" x14ac:dyDescent="0.55000000000000004">
      <c r="B197" s="2" t="s">
        <v>628</v>
      </c>
      <c r="C197" s="2" t="s">
        <v>629</v>
      </c>
      <c r="D197" s="2" t="s">
        <v>14</v>
      </c>
      <c r="E197" s="2" t="s">
        <v>45</v>
      </c>
      <c r="F197" s="6" t="s">
        <v>140</v>
      </c>
      <c r="G197" s="10">
        <f t="shared" si="9"/>
        <v>2024</v>
      </c>
      <c r="H197" s="10">
        <f t="shared" si="10"/>
        <v>1</v>
      </c>
      <c r="I197" s="10">
        <f t="shared" si="11"/>
        <v>29</v>
      </c>
      <c r="J197" s="9" t="s">
        <v>630</v>
      </c>
      <c r="K197" s="2" t="s">
        <v>48</v>
      </c>
      <c r="L197" s="2">
        <v>51.12</v>
      </c>
      <c r="M197" s="2" t="s">
        <v>122</v>
      </c>
      <c r="N197" s="2" t="s">
        <v>20</v>
      </c>
      <c r="O197" s="2">
        <v>22</v>
      </c>
      <c r="P197" s="2">
        <v>5</v>
      </c>
    </row>
    <row r="198" spans="2:16" ht="21" hidden="1" x14ac:dyDescent="0.55000000000000004">
      <c r="B198" s="2" t="s">
        <v>631</v>
      </c>
      <c r="C198" s="2" t="s">
        <v>170</v>
      </c>
      <c r="D198" s="2" t="s">
        <v>29</v>
      </c>
      <c r="E198" s="2" t="s">
        <v>80</v>
      </c>
      <c r="F198" s="6" t="s">
        <v>144</v>
      </c>
      <c r="G198" s="10">
        <f t="shared" si="9"/>
        <v>2024</v>
      </c>
      <c r="H198" s="10">
        <f t="shared" si="10"/>
        <v>1</v>
      </c>
      <c r="I198" s="10">
        <f t="shared" si="11"/>
        <v>7</v>
      </c>
      <c r="J198" s="9" t="s">
        <v>632</v>
      </c>
      <c r="K198" s="2" t="s">
        <v>77</v>
      </c>
      <c r="L198" s="2">
        <v>226.63</v>
      </c>
      <c r="M198" s="2" t="s">
        <v>19</v>
      </c>
      <c r="N198" s="2" t="s">
        <v>50</v>
      </c>
      <c r="O198" s="2">
        <v>72</v>
      </c>
      <c r="P198" s="2">
        <v>3</v>
      </c>
    </row>
    <row r="199" spans="2:16" ht="21" hidden="1" x14ac:dyDescent="0.55000000000000004">
      <c r="B199" s="2" t="s">
        <v>633</v>
      </c>
      <c r="C199" s="2" t="s">
        <v>634</v>
      </c>
      <c r="D199" s="2" t="s">
        <v>23</v>
      </c>
      <c r="E199" s="2" t="s">
        <v>139</v>
      </c>
      <c r="F199" s="6" t="s">
        <v>46</v>
      </c>
      <c r="G199" s="10">
        <f t="shared" si="9"/>
        <v>2024</v>
      </c>
      <c r="H199" s="10">
        <f t="shared" si="10"/>
        <v>1</v>
      </c>
      <c r="I199" s="10">
        <f t="shared" si="11"/>
        <v>17</v>
      </c>
      <c r="J199" s="9" t="s">
        <v>158</v>
      </c>
      <c r="K199" s="2" t="s">
        <v>77</v>
      </c>
      <c r="L199" s="2">
        <v>82.4</v>
      </c>
      <c r="M199" s="2" t="s">
        <v>19</v>
      </c>
      <c r="N199" s="2" t="s">
        <v>26</v>
      </c>
      <c r="O199" s="2">
        <v>72</v>
      </c>
      <c r="P199" s="2">
        <v>1</v>
      </c>
    </row>
    <row r="200" spans="2:16" ht="21" hidden="1" x14ac:dyDescent="0.55000000000000004">
      <c r="B200" s="2" t="s">
        <v>635</v>
      </c>
      <c r="C200" s="2" t="s">
        <v>636</v>
      </c>
      <c r="D200" s="2" t="s">
        <v>44</v>
      </c>
      <c r="E200" s="2" t="s">
        <v>61</v>
      </c>
      <c r="F200" s="6" t="s">
        <v>55</v>
      </c>
      <c r="G200" s="10">
        <f t="shared" si="9"/>
        <v>2024</v>
      </c>
      <c r="H200" s="10">
        <f t="shared" si="10"/>
        <v>1</v>
      </c>
      <c r="I200" s="10">
        <f t="shared" si="11"/>
        <v>8</v>
      </c>
      <c r="J200" s="9" t="s">
        <v>637</v>
      </c>
      <c r="K200" s="2" t="s">
        <v>18</v>
      </c>
      <c r="L200" s="2">
        <v>442.37</v>
      </c>
      <c r="M200" s="2" t="s">
        <v>65</v>
      </c>
      <c r="N200" s="2" t="s">
        <v>26</v>
      </c>
      <c r="O200" s="2">
        <v>53</v>
      </c>
      <c r="P200" s="2">
        <v>2</v>
      </c>
    </row>
    <row r="201" spans="2:16" ht="21" hidden="1" x14ac:dyDescent="0.55000000000000004">
      <c r="B201" s="2" t="s">
        <v>638</v>
      </c>
      <c r="C201" s="2" t="s">
        <v>639</v>
      </c>
      <c r="D201" s="2" t="s">
        <v>73</v>
      </c>
      <c r="E201" s="2" t="s">
        <v>139</v>
      </c>
      <c r="F201" s="6" t="s">
        <v>154</v>
      </c>
      <c r="G201" s="10">
        <f t="shared" si="9"/>
        <v>2024</v>
      </c>
      <c r="H201" s="10">
        <f t="shared" si="10"/>
        <v>1</v>
      </c>
      <c r="I201" s="10">
        <f t="shared" si="11"/>
        <v>22</v>
      </c>
      <c r="J201" s="9" t="s">
        <v>214</v>
      </c>
      <c r="K201" s="2" t="s">
        <v>48</v>
      </c>
      <c r="L201" s="2">
        <v>416.9</v>
      </c>
      <c r="M201" s="2" t="s">
        <v>19</v>
      </c>
      <c r="N201" s="2" t="s">
        <v>26</v>
      </c>
      <c r="O201" s="2">
        <v>90</v>
      </c>
      <c r="P201" s="2">
        <v>4</v>
      </c>
    </row>
    <row r="202" spans="2:16" ht="21" hidden="1" x14ac:dyDescent="0.55000000000000004">
      <c r="B202" s="2" t="s">
        <v>640</v>
      </c>
      <c r="C202" s="2" t="s">
        <v>641</v>
      </c>
      <c r="D202" s="2" t="s">
        <v>60</v>
      </c>
      <c r="E202" s="2" t="s">
        <v>15</v>
      </c>
      <c r="F202" s="6" t="s">
        <v>31</v>
      </c>
      <c r="G202" s="10">
        <f t="shared" si="9"/>
        <v>2024</v>
      </c>
      <c r="H202" s="10">
        <f t="shared" si="10"/>
        <v>1</v>
      </c>
      <c r="I202" s="10">
        <f t="shared" si="11"/>
        <v>14</v>
      </c>
      <c r="J202" s="9" t="s">
        <v>642</v>
      </c>
      <c r="K202" s="2" t="s">
        <v>33</v>
      </c>
      <c r="L202" s="2">
        <v>384.51</v>
      </c>
      <c r="M202" s="2" t="s">
        <v>122</v>
      </c>
      <c r="N202" s="2" t="s">
        <v>50</v>
      </c>
      <c r="O202" s="2">
        <v>36</v>
      </c>
      <c r="P202" s="2">
        <v>3</v>
      </c>
    </row>
    <row r="203" spans="2:16" ht="21" hidden="1" x14ac:dyDescent="0.55000000000000004">
      <c r="B203" s="2" t="s">
        <v>643</v>
      </c>
      <c r="C203" s="2" t="s">
        <v>644</v>
      </c>
      <c r="D203" s="2" t="s">
        <v>44</v>
      </c>
      <c r="E203" s="2" t="s">
        <v>45</v>
      </c>
      <c r="F203" s="6" t="s">
        <v>129</v>
      </c>
      <c r="G203" s="10">
        <f t="shared" si="9"/>
        <v>2024</v>
      </c>
      <c r="H203" s="10">
        <f t="shared" si="10"/>
        <v>1</v>
      </c>
      <c r="I203" s="10">
        <f t="shared" si="11"/>
        <v>19</v>
      </c>
      <c r="J203" s="9" t="s">
        <v>148</v>
      </c>
      <c r="K203" s="2" t="s">
        <v>77</v>
      </c>
      <c r="L203" s="2">
        <v>314.06</v>
      </c>
      <c r="M203" s="2" t="s">
        <v>49</v>
      </c>
      <c r="N203" s="2" t="s">
        <v>50</v>
      </c>
      <c r="O203" s="2">
        <v>83</v>
      </c>
      <c r="P203" s="2">
        <v>3</v>
      </c>
    </row>
    <row r="204" spans="2:16" ht="21" hidden="1" x14ac:dyDescent="0.55000000000000004">
      <c r="B204" s="2" t="s">
        <v>645</v>
      </c>
      <c r="C204" s="2" t="s">
        <v>646</v>
      </c>
      <c r="D204" s="2" t="s">
        <v>73</v>
      </c>
      <c r="E204" s="2" t="s">
        <v>37</v>
      </c>
      <c r="F204" s="6" t="s">
        <v>102</v>
      </c>
      <c r="G204" s="10">
        <f t="shared" si="9"/>
        <v>2024</v>
      </c>
      <c r="H204" s="10">
        <f t="shared" si="10"/>
        <v>1</v>
      </c>
      <c r="I204" s="10">
        <f t="shared" si="11"/>
        <v>26</v>
      </c>
      <c r="J204" s="9" t="s">
        <v>647</v>
      </c>
      <c r="K204" s="2" t="s">
        <v>18</v>
      </c>
      <c r="L204" s="2">
        <v>91.31</v>
      </c>
      <c r="M204" s="2" t="s">
        <v>122</v>
      </c>
      <c r="N204" s="2" t="s">
        <v>20</v>
      </c>
      <c r="O204" s="2">
        <v>55</v>
      </c>
      <c r="P204" s="2">
        <v>3</v>
      </c>
    </row>
    <row r="205" spans="2:16" ht="21" hidden="1" x14ac:dyDescent="0.55000000000000004">
      <c r="B205" s="2" t="s">
        <v>648</v>
      </c>
      <c r="C205" s="2" t="s">
        <v>649</v>
      </c>
      <c r="D205" s="2" t="s">
        <v>117</v>
      </c>
      <c r="E205" s="2" t="s">
        <v>74</v>
      </c>
      <c r="F205" s="6" t="s">
        <v>132</v>
      </c>
      <c r="G205" s="10">
        <f t="shared" si="9"/>
        <v>2024</v>
      </c>
      <c r="H205" s="10">
        <f t="shared" si="10"/>
        <v>1</v>
      </c>
      <c r="I205" s="10">
        <f t="shared" si="11"/>
        <v>6</v>
      </c>
      <c r="J205" s="9" t="s">
        <v>353</v>
      </c>
      <c r="K205" s="2" t="s">
        <v>40</v>
      </c>
      <c r="L205" s="2">
        <v>275.22000000000003</v>
      </c>
      <c r="M205" s="2" t="s">
        <v>65</v>
      </c>
      <c r="N205" s="2" t="s">
        <v>41</v>
      </c>
      <c r="O205" s="2">
        <v>40</v>
      </c>
      <c r="P205" s="2">
        <v>1</v>
      </c>
    </row>
    <row r="206" spans="2:16" ht="21" hidden="1" x14ac:dyDescent="0.55000000000000004">
      <c r="B206" s="2" t="s">
        <v>650</v>
      </c>
      <c r="C206" s="2" t="s">
        <v>651</v>
      </c>
      <c r="D206" s="2" t="s">
        <v>60</v>
      </c>
      <c r="E206" s="2" t="s">
        <v>61</v>
      </c>
      <c r="F206" s="6" t="s">
        <v>102</v>
      </c>
      <c r="G206" s="10">
        <f t="shared" si="9"/>
        <v>2024</v>
      </c>
      <c r="H206" s="10">
        <f t="shared" si="10"/>
        <v>1</v>
      </c>
      <c r="I206" s="10">
        <f t="shared" si="11"/>
        <v>26</v>
      </c>
      <c r="J206" s="9" t="s">
        <v>279</v>
      </c>
      <c r="K206" s="2" t="s">
        <v>18</v>
      </c>
      <c r="L206" s="2">
        <v>258.54000000000002</v>
      </c>
      <c r="M206" s="2" t="s">
        <v>65</v>
      </c>
      <c r="N206" s="2" t="s">
        <v>20</v>
      </c>
      <c r="O206" s="2">
        <v>52</v>
      </c>
      <c r="P206" s="2">
        <v>2</v>
      </c>
    </row>
    <row r="207" spans="2:16" ht="21" hidden="1" x14ac:dyDescent="0.55000000000000004">
      <c r="B207" s="2" t="s">
        <v>652</v>
      </c>
      <c r="C207" s="2" t="s">
        <v>653</v>
      </c>
      <c r="D207" s="2" t="s">
        <v>44</v>
      </c>
      <c r="E207" s="2" t="s">
        <v>125</v>
      </c>
      <c r="F207" s="6" t="s">
        <v>16</v>
      </c>
      <c r="G207" s="10">
        <f t="shared" si="9"/>
        <v>2024</v>
      </c>
      <c r="H207" s="10">
        <f t="shared" si="10"/>
        <v>1</v>
      </c>
      <c r="I207" s="10">
        <f t="shared" si="11"/>
        <v>9</v>
      </c>
      <c r="J207" s="9" t="s">
        <v>654</v>
      </c>
      <c r="K207" s="2" t="s">
        <v>64</v>
      </c>
      <c r="L207" s="2">
        <v>329.12</v>
      </c>
      <c r="M207" s="2" t="s">
        <v>122</v>
      </c>
      <c r="N207" s="2" t="s">
        <v>50</v>
      </c>
      <c r="O207" s="2">
        <v>31</v>
      </c>
      <c r="P207" s="2">
        <v>2</v>
      </c>
    </row>
    <row r="208" spans="2:16" ht="21" hidden="1" x14ac:dyDescent="0.55000000000000004">
      <c r="B208" s="2" t="s">
        <v>655</v>
      </c>
      <c r="C208" s="2" t="s">
        <v>656</v>
      </c>
      <c r="D208" s="2" t="s">
        <v>53</v>
      </c>
      <c r="E208" s="2" t="s">
        <v>139</v>
      </c>
      <c r="F208" s="6" t="s">
        <v>198</v>
      </c>
      <c r="G208" s="10">
        <f t="shared" si="9"/>
        <v>2024</v>
      </c>
      <c r="H208" s="10">
        <f t="shared" si="10"/>
        <v>1</v>
      </c>
      <c r="I208" s="10">
        <f t="shared" si="11"/>
        <v>4</v>
      </c>
      <c r="J208" s="9" t="s">
        <v>586</v>
      </c>
      <c r="K208" s="2" t="s">
        <v>91</v>
      </c>
      <c r="L208" s="2">
        <v>342.29</v>
      </c>
      <c r="M208" s="2" t="s">
        <v>49</v>
      </c>
      <c r="N208" s="2" t="s">
        <v>50</v>
      </c>
      <c r="O208" s="2">
        <v>48</v>
      </c>
      <c r="P208" s="2"/>
    </row>
    <row r="209" spans="2:16" ht="21" hidden="1" x14ac:dyDescent="0.55000000000000004">
      <c r="B209" s="2" t="s">
        <v>657</v>
      </c>
      <c r="C209" s="2" t="s">
        <v>658</v>
      </c>
      <c r="D209" s="2" t="s">
        <v>29</v>
      </c>
      <c r="E209" s="2" t="s">
        <v>15</v>
      </c>
      <c r="F209" s="6" t="s">
        <v>24</v>
      </c>
      <c r="G209" s="10">
        <f t="shared" si="9"/>
        <v>2024</v>
      </c>
      <c r="H209" s="10">
        <f t="shared" si="10"/>
        <v>1</v>
      </c>
      <c r="I209" s="10">
        <f t="shared" si="11"/>
        <v>21</v>
      </c>
      <c r="J209" s="9" t="s">
        <v>659</v>
      </c>
      <c r="K209" s="2" t="s">
        <v>57</v>
      </c>
      <c r="L209" s="2">
        <v>301.22000000000003</v>
      </c>
      <c r="M209" s="2" t="s">
        <v>122</v>
      </c>
      <c r="N209" s="2" t="s">
        <v>41</v>
      </c>
      <c r="O209" s="2">
        <v>21</v>
      </c>
      <c r="P209" s="2"/>
    </row>
    <row r="210" spans="2:16" ht="21" hidden="1" x14ac:dyDescent="0.55000000000000004">
      <c r="B210" s="2" t="s">
        <v>660</v>
      </c>
      <c r="C210" s="2" t="s">
        <v>661</v>
      </c>
      <c r="D210" s="2" t="s">
        <v>44</v>
      </c>
      <c r="E210" s="2" t="s">
        <v>89</v>
      </c>
      <c r="F210" s="6" t="s">
        <v>349</v>
      </c>
      <c r="G210" s="10">
        <f t="shared" si="9"/>
        <v>2024</v>
      </c>
      <c r="H210" s="10">
        <f t="shared" si="10"/>
        <v>1</v>
      </c>
      <c r="I210" s="10">
        <f t="shared" si="11"/>
        <v>12</v>
      </c>
      <c r="J210" s="9" t="s">
        <v>662</v>
      </c>
      <c r="K210" s="2" t="s">
        <v>77</v>
      </c>
      <c r="L210" s="2">
        <v>289.14999999999998</v>
      </c>
      <c r="M210" s="2" t="s">
        <v>65</v>
      </c>
      <c r="N210" s="2" t="s">
        <v>41</v>
      </c>
      <c r="O210" s="2">
        <v>65</v>
      </c>
      <c r="P210" s="2"/>
    </row>
    <row r="211" spans="2:16" ht="21" hidden="1" x14ac:dyDescent="0.55000000000000004">
      <c r="B211" s="2" t="s">
        <v>663</v>
      </c>
      <c r="C211" s="2" t="s">
        <v>664</v>
      </c>
      <c r="D211" s="2" t="s">
        <v>44</v>
      </c>
      <c r="E211" s="2" t="s">
        <v>139</v>
      </c>
      <c r="F211" s="6" t="s">
        <v>132</v>
      </c>
      <c r="G211" s="10">
        <f t="shared" si="9"/>
        <v>2024</v>
      </c>
      <c r="H211" s="10">
        <f t="shared" si="10"/>
        <v>1</v>
      </c>
      <c r="I211" s="10">
        <f t="shared" si="11"/>
        <v>6</v>
      </c>
      <c r="J211" s="9" t="s">
        <v>665</v>
      </c>
      <c r="K211" s="2" t="s">
        <v>48</v>
      </c>
      <c r="L211" s="2">
        <v>98.15</v>
      </c>
      <c r="M211" s="2" t="s">
        <v>122</v>
      </c>
      <c r="N211" s="2" t="s">
        <v>26</v>
      </c>
      <c r="O211" s="2">
        <v>18</v>
      </c>
      <c r="P211" s="2">
        <v>3</v>
      </c>
    </row>
    <row r="212" spans="2:16" ht="21" hidden="1" x14ac:dyDescent="0.55000000000000004">
      <c r="B212" s="2" t="s">
        <v>666</v>
      </c>
      <c r="C212" s="2" t="s">
        <v>667</v>
      </c>
      <c r="D212" s="2" t="s">
        <v>117</v>
      </c>
      <c r="E212" s="2" t="s">
        <v>45</v>
      </c>
      <c r="F212" s="6" t="s">
        <v>75</v>
      </c>
      <c r="G212" s="10">
        <f t="shared" si="9"/>
        <v>2024</v>
      </c>
      <c r="H212" s="10">
        <f t="shared" si="10"/>
        <v>1</v>
      </c>
      <c r="I212" s="10">
        <f t="shared" si="11"/>
        <v>25</v>
      </c>
      <c r="J212" s="9" t="s">
        <v>668</v>
      </c>
      <c r="K212" s="2" t="s">
        <v>91</v>
      </c>
      <c r="L212" s="2">
        <v>425.1</v>
      </c>
      <c r="M212" s="2" t="s">
        <v>19</v>
      </c>
      <c r="N212" s="2" t="s">
        <v>26</v>
      </c>
      <c r="O212" s="2">
        <v>66</v>
      </c>
      <c r="P212" s="2">
        <v>2</v>
      </c>
    </row>
    <row r="213" spans="2:16" ht="21" hidden="1" x14ac:dyDescent="0.55000000000000004">
      <c r="B213" s="2" t="s">
        <v>669</v>
      </c>
      <c r="C213" s="2" t="s">
        <v>670</v>
      </c>
      <c r="D213" s="2" t="s">
        <v>68</v>
      </c>
      <c r="E213" s="2" t="s">
        <v>45</v>
      </c>
      <c r="F213" s="6" t="s">
        <v>16</v>
      </c>
      <c r="G213" s="10">
        <f t="shared" si="9"/>
        <v>2024</v>
      </c>
      <c r="H213" s="10">
        <f t="shared" si="10"/>
        <v>1</v>
      </c>
      <c r="I213" s="10">
        <f t="shared" si="11"/>
        <v>9</v>
      </c>
      <c r="J213" s="9" t="s">
        <v>671</v>
      </c>
      <c r="K213" s="2" t="s">
        <v>18</v>
      </c>
      <c r="L213" s="2">
        <v>472.48</v>
      </c>
      <c r="M213" s="2" t="s">
        <v>122</v>
      </c>
      <c r="N213" s="2" t="s">
        <v>20</v>
      </c>
      <c r="O213" s="2">
        <v>29</v>
      </c>
      <c r="P213" s="2">
        <v>2</v>
      </c>
    </row>
    <row r="214" spans="2:16" ht="21" hidden="1" x14ac:dyDescent="0.55000000000000004">
      <c r="B214" s="2" t="s">
        <v>672</v>
      </c>
      <c r="C214" s="2" t="s">
        <v>673</v>
      </c>
      <c r="D214" s="2" t="s">
        <v>29</v>
      </c>
      <c r="E214" s="2" t="s">
        <v>139</v>
      </c>
      <c r="F214" s="6" t="s">
        <v>302</v>
      </c>
      <c r="G214" s="10">
        <f t="shared" si="9"/>
        <v>2024</v>
      </c>
      <c r="H214" s="10">
        <f t="shared" si="10"/>
        <v>1</v>
      </c>
      <c r="I214" s="10">
        <f t="shared" si="11"/>
        <v>2</v>
      </c>
      <c r="J214" s="9" t="s">
        <v>674</v>
      </c>
      <c r="K214" s="2" t="s">
        <v>33</v>
      </c>
      <c r="L214" s="2">
        <v>225.29</v>
      </c>
      <c r="M214" s="2" t="s">
        <v>49</v>
      </c>
      <c r="N214" s="2" t="s">
        <v>50</v>
      </c>
      <c r="O214" s="2">
        <v>23</v>
      </c>
      <c r="P214" s="2">
        <v>2</v>
      </c>
    </row>
    <row r="215" spans="2:16" ht="21" hidden="1" x14ac:dyDescent="0.55000000000000004">
      <c r="B215" s="2" t="s">
        <v>675</v>
      </c>
      <c r="C215" s="2" t="s">
        <v>676</v>
      </c>
      <c r="D215" s="2" t="s">
        <v>117</v>
      </c>
      <c r="E215" s="2" t="s">
        <v>37</v>
      </c>
      <c r="F215" s="6" t="s">
        <v>302</v>
      </c>
      <c r="G215" s="10">
        <f t="shared" si="9"/>
        <v>2024</v>
      </c>
      <c r="H215" s="10">
        <f t="shared" si="10"/>
        <v>1</v>
      </c>
      <c r="I215" s="10">
        <f t="shared" si="11"/>
        <v>2</v>
      </c>
      <c r="J215" s="9" t="s">
        <v>70</v>
      </c>
      <c r="K215" s="2" t="s">
        <v>77</v>
      </c>
      <c r="L215" s="2">
        <v>69.86</v>
      </c>
      <c r="M215" s="2" t="s">
        <v>19</v>
      </c>
      <c r="N215" s="2" t="s">
        <v>20</v>
      </c>
      <c r="O215" s="2">
        <v>63</v>
      </c>
      <c r="P215" s="2">
        <v>3</v>
      </c>
    </row>
    <row r="216" spans="2:16" ht="21" hidden="1" x14ac:dyDescent="0.55000000000000004">
      <c r="B216" s="2" t="s">
        <v>677</v>
      </c>
      <c r="C216" s="2" t="s">
        <v>678</v>
      </c>
      <c r="D216" s="2" t="s">
        <v>68</v>
      </c>
      <c r="E216" s="2" t="s">
        <v>37</v>
      </c>
      <c r="F216" s="6" t="s">
        <v>154</v>
      </c>
      <c r="G216" s="10">
        <f t="shared" si="9"/>
        <v>2024</v>
      </c>
      <c r="H216" s="10">
        <f t="shared" si="10"/>
        <v>1</v>
      </c>
      <c r="I216" s="10">
        <f t="shared" si="11"/>
        <v>22</v>
      </c>
      <c r="J216" s="9" t="s">
        <v>184</v>
      </c>
      <c r="K216" s="2" t="s">
        <v>91</v>
      </c>
      <c r="L216" s="2">
        <v>460.03</v>
      </c>
      <c r="M216" s="2" t="s">
        <v>65</v>
      </c>
      <c r="N216" s="2" t="s">
        <v>50</v>
      </c>
      <c r="O216" s="2">
        <v>16</v>
      </c>
      <c r="P216" s="2">
        <v>2</v>
      </c>
    </row>
    <row r="217" spans="2:16" ht="21" hidden="1" x14ac:dyDescent="0.55000000000000004">
      <c r="B217" s="2" t="s">
        <v>679</v>
      </c>
      <c r="C217" s="2" t="s">
        <v>680</v>
      </c>
      <c r="D217" s="2" t="s">
        <v>29</v>
      </c>
      <c r="E217" s="2" t="s">
        <v>15</v>
      </c>
      <c r="F217" s="6" t="s">
        <v>16</v>
      </c>
      <c r="G217" s="10">
        <f t="shared" si="9"/>
        <v>2024</v>
      </c>
      <c r="H217" s="10">
        <f t="shared" si="10"/>
        <v>1</v>
      </c>
      <c r="I217" s="10">
        <f t="shared" si="11"/>
        <v>9</v>
      </c>
      <c r="J217" s="9" t="s">
        <v>681</v>
      </c>
      <c r="K217" s="2" t="s">
        <v>64</v>
      </c>
      <c r="L217" s="2">
        <v>302.33</v>
      </c>
      <c r="M217" s="2" t="s">
        <v>19</v>
      </c>
      <c r="N217" s="2" t="s">
        <v>20</v>
      </c>
      <c r="O217" s="2">
        <v>46</v>
      </c>
      <c r="P217" s="2">
        <v>3</v>
      </c>
    </row>
    <row r="218" spans="2:16" ht="21" hidden="1" x14ac:dyDescent="0.55000000000000004">
      <c r="B218" s="2" t="s">
        <v>682</v>
      </c>
      <c r="C218" s="2" t="s">
        <v>683</v>
      </c>
      <c r="D218" s="2" t="s">
        <v>53</v>
      </c>
      <c r="E218" s="2" t="s">
        <v>125</v>
      </c>
      <c r="F218" s="6" t="s">
        <v>161</v>
      </c>
      <c r="G218" s="10">
        <f t="shared" si="9"/>
        <v>2024</v>
      </c>
      <c r="H218" s="10">
        <f t="shared" si="10"/>
        <v>1</v>
      </c>
      <c r="I218" s="10">
        <f t="shared" si="11"/>
        <v>5</v>
      </c>
      <c r="J218" s="9" t="s">
        <v>223</v>
      </c>
      <c r="K218" s="2" t="s">
        <v>40</v>
      </c>
      <c r="L218" s="2">
        <v>464.61</v>
      </c>
      <c r="M218" s="2" t="s">
        <v>19</v>
      </c>
      <c r="N218" s="2" t="s">
        <v>41</v>
      </c>
      <c r="O218" s="2">
        <v>89</v>
      </c>
      <c r="P218" s="2">
        <v>1</v>
      </c>
    </row>
    <row r="219" spans="2:16" ht="21" x14ac:dyDescent="0.55000000000000004">
      <c r="B219" s="2" t="s">
        <v>684</v>
      </c>
      <c r="C219" s="2" t="s">
        <v>685</v>
      </c>
      <c r="D219" s="2" t="s">
        <v>60</v>
      </c>
      <c r="E219" s="2" t="s">
        <v>54</v>
      </c>
      <c r="F219" s="6" t="s">
        <v>180</v>
      </c>
      <c r="G219" s="10">
        <f t="shared" si="9"/>
        <v>2024</v>
      </c>
      <c r="H219" s="10">
        <f t="shared" si="10"/>
        <v>1</v>
      </c>
      <c r="I219" s="10">
        <f t="shared" si="11"/>
        <v>28</v>
      </c>
      <c r="J219" s="9" t="s">
        <v>686</v>
      </c>
      <c r="K219" s="2" t="s">
        <v>91</v>
      </c>
      <c r="L219" s="2">
        <v>437.2</v>
      </c>
      <c r="M219" s="2" t="s">
        <v>122</v>
      </c>
      <c r="N219" s="2" t="s">
        <v>50</v>
      </c>
      <c r="O219" s="2">
        <v>34</v>
      </c>
      <c r="P219" s="2">
        <v>2</v>
      </c>
    </row>
    <row r="220" spans="2:16" ht="21" x14ac:dyDescent="0.55000000000000004">
      <c r="B220" s="2" t="s">
        <v>687</v>
      </c>
      <c r="C220" s="2" t="s">
        <v>688</v>
      </c>
      <c r="D220" s="2" t="s">
        <v>14</v>
      </c>
      <c r="E220" s="2" t="s">
        <v>54</v>
      </c>
      <c r="F220" s="6" t="s">
        <v>317</v>
      </c>
      <c r="G220" s="10">
        <f t="shared" si="9"/>
        <v>2024</v>
      </c>
      <c r="H220" s="10">
        <f t="shared" si="10"/>
        <v>1</v>
      </c>
      <c r="I220" s="10">
        <f t="shared" si="11"/>
        <v>3</v>
      </c>
      <c r="J220" s="9" t="s">
        <v>689</v>
      </c>
      <c r="K220" s="2" t="s">
        <v>40</v>
      </c>
      <c r="L220" s="2">
        <v>96.87</v>
      </c>
      <c r="M220" s="2" t="s">
        <v>65</v>
      </c>
      <c r="N220" s="2" t="s">
        <v>26</v>
      </c>
      <c r="O220" s="2">
        <v>82</v>
      </c>
      <c r="P220" s="2">
        <v>2</v>
      </c>
    </row>
    <row r="221" spans="2:16" ht="21" hidden="1" x14ac:dyDescent="0.55000000000000004">
      <c r="B221" s="2" t="s">
        <v>690</v>
      </c>
      <c r="C221" s="2" t="s">
        <v>691</v>
      </c>
      <c r="D221" s="2" t="s">
        <v>106</v>
      </c>
      <c r="E221" s="2" t="s">
        <v>139</v>
      </c>
      <c r="F221" s="6" t="s">
        <v>55</v>
      </c>
      <c r="G221" s="10">
        <f t="shared" si="9"/>
        <v>2024</v>
      </c>
      <c r="H221" s="10">
        <f t="shared" si="10"/>
        <v>1</v>
      </c>
      <c r="I221" s="10">
        <f t="shared" si="11"/>
        <v>8</v>
      </c>
      <c r="J221" s="9" t="s">
        <v>692</v>
      </c>
      <c r="K221" s="2" t="s">
        <v>40</v>
      </c>
      <c r="L221" s="2">
        <v>59.24</v>
      </c>
      <c r="M221" s="2" t="s">
        <v>122</v>
      </c>
      <c r="N221" s="2" t="s">
        <v>26</v>
      </c>
      <c r="O221" s="2">
        <v>90</v>
      </c>
      <c r="P221" s="2">
        <v>5</v>
      </c>
    </row>
    <row r="222" spans="2:16" ht="21" hidden="1" x14ac:dyDescent="0.55000000000000004">
      <c r="B222" s="2" t="s">
        <v>693</v>
      </c>
      <c r="C222" s="2" t="s">
        <v>694</v>
      </c>
      <c r="D222" s="2" t="s">
        <v>23</v>
      </c>
      <c r="E222" s="2" t="s">
        <v>89</v>
      </c>
      <c r="F222" s="6" t="s">
        <v>343</v>
      </c>
      <c r="G222" s="10">
        <f t="shared" si="9"/>
        <v>2024</v>
      </c>
      <c r="H222" s="10">
        <f t="shared" si="10"/>
        <v>1</v>
      </c>
      <c r="I222" s="10">
        <f t="shared" si="11"/>
        <v>13</v>
      </c>
      <c r="J222" s="9" t="s">
        <v>695</v>
      </c>
      <c r="K222" s="2" t="s">
        <v>40</v>
      </c>
      <c r="L222" s="2">
        <v>201.78</v>
      </c>
      <c r="M222" s="2" t="s">
        <v>65</v>
      </c>
      <c r="N222" s="2" t="s">
        <v>26</v>
      </c>
      <c r="O222" s="2">
        <v>74</v>
      </c>
      <c r="P222" s="2">
        <v>3</v>
      </c>
    </row>
    <row r="223" spans="2:16" ht="21" hidden="1" x14ac:dyDescent="0.55000000000000004">
      <c r="B223" s="2" t="s">
        <v>696</v>
      </c>
      <c r="C223" s="2" t="s">
        <v>697</v>
      </c>
      <c r="D223" s="2" t="s">
        <v>44</v>
      </c>
      <c r="E223" s="2" t="s">
        <v>61</v>
      </c>
      <c r="F223" s="6" t="s">
        <v>113</v>
      </c>
      <c r="G223" s="10">
        <f t="shared" si="9"/>
        <v>2024</v>
      </c>
      <c r="H223" s="10">
        <f t="shared" si="10"/>
        <v>1</v>
      </c>
      <c r="I223" s="10">
        <f t="shared" si="11"/>
        <v>15</v>
      </c>
      <c r="J223" s="9" t="s">
        <v>698</v>
      </c>
      <c r="K223" s="2" t="s">
        <v>33</v>
      </c>
      <c r="L223" s="2">
        <v>354.19</v>
      </c>
      <c r="M223" s="2" t="s">
        <v>65</v>
      </c>
      <c r="N223" s="2" t="s">
        <v>50</v>
      </c>
      <c r="O223" s="2">
        <v>34</v>
      </c>
      <c r="P223" s="2">
        <v>4</v>
      </c>
    </row>
    <row r="224" spans="2:16" ht="21" hidden="1" x14ac:dyDescent="0.55000000000000004">
      <c r="B224" s="2" t="s">
        <v>699</v>
      </c>
      <c r="C224" s="2" t="s">
        <v>700</v>
      </c>
      <c r="D224" s="2" t="s">
        <v>117</v>
      </c>
      <c r="E224" s="2" t="s">
        <v>74</v>
      </c>
      <c r="F224" s="6" t="s">
        <v>129</v>
      </c>
      <c r="G224" s="10">
        <f t="shared" si="9"/>
        <v>2024</v>
      </c>
      <c r="H224" s="10">
        <f t="shared" si="10"/>
        <v>1</v>
      </c>
      <c r="I224" s="10">
        <f t="shared" si="11"/>
        <v>19</v>
      </c>
      <c r="J224" s="9" t="s">
        <v>701</v>
      </c>
      <c r="K224" s="2" t="s">
        <v>57</v>
      </c>
      <c r="L224" s="2">
        <v>218.38</v>
      </c>
      <c r="M224" s="2" t="s">
        <v>65</v>
      </c>
      <c r="N224" s="2" t="s">
        <v>20</v>
      </c>
      <c r="O224" s="2">
        <v>45</v>
      </c>
      <c r="P224" s="2">
        <v>2</v>
      </c>
    </row>
    <row r="225" spans="2:16" ht="21" x14ac:dyDescent="0.55000000000000004">
      <c r="B225" s="2" t="s">
        <v>702</v>
      </c>
      <c r="C225" s="2" t="s">
        <v>703</v>
      </c>
      <c r="D225" s="2" t="s">
        <v>29</v>
      </c>
      <c r="E225" s="2" t="s">
        <v>54</v>
      </c>
      <c r="F225" s="6" t="s">
        <v>343</v>
      </c>
      <c r="G225" s="10">
        <f t="shared" si="9"/>
        <v>2024</v>
      </c>
      <c r="H225" s="10">
        <f t="shared" si="10"/>
        <v>1</v>
      </c>
      <c r="I225" s="10">
        <f t="shared" si="11"/>
        <v>13</v>
      </c>
      <c r="J225" s="9" t="s">
        <v>659</v>
      </c>
      <c r="K225" s="2" t="s">
        <v>57</v>
      </c>
      <c r="L225" s="2">
        <v>242.63</v>
      </c>
      <c r="M225" s="2" t="s">
        <v>19</v>
      </c>
      <c r="N225" s="2" t="s">
        <v>41</v>
      </c>
      <c r="O225" s="2">
        <v>52</v>
      </c>
      <c r="P225" s="2">
        <v>2</v>
      </c>
    </row>
    <row r="226" spans="2:16" ht="21" hidden="1" x14ac:dyDescent="0.55000000000000004">
      <c r="B226" s="2" t="s">
        <v>704</v>
      </c>
      <c r="C226" s="2" t="s">
        <v>705</v>
      </c>
      <c r="D226" s="2" t="s">
        <v>14</v>
      </c>
      <c r="E226" s="2" t="s">
        <v>89</v>
      </c>
      <c r="F226" s="6" t="s">
        <v>473</v>
      </c>
      <c r="G226" s="10">
        <f t="shared" si="9"/>
        <v>2024</v>
      </c>
      <c r="H226" s="10">
        <f t="shared" si="10"/>
        <v>1</v>
      </c>
      <c r="I226" s="10">
        <f t="shared" si="11"/>
        <v>30</v>
      </c>
      <c r="J226" s="9" t="s">
        <v>706</v>
      </c>
      <c r="K226" s="2" t="s">
        <v>48</v>
      </c>
      <c r="L226" s="2">
        <v>164.96</v>
      </c>
      <c r="M226" s="2" t="s">
        <v>65</v>
      </c>
      <c r="N226" s="2" t="s">
        <v>20</v>
      </c>
      <c r="O226" s="2">
        <v>75</v>
      </c>
      <c r="P226" s="2">
        <v>2</v>
      </c>
    </row>
    <row r="227" spans="2:16" ht="21" hidden="1" x14ac:dyDescent="0.55000000000000004">
      <c r="B227" s="2" t="s">
        <v>707</v>
      </c>
      <c r="C227" s="2" t="s">
        <v>708</v>
      </c>
      <c r="D227" s="2" t="s">
        <v>44</v>
      </c>
      <c r="E227" s="2" t="s">
        <v>139</v>
      </c>
      <c r="F227" s="6" t="s">
        <v>113</v>
      </c>
      <c r="G227" s="10">
        <f t="shared" si="9"/>
        <v>2024</v>
      </c>
      <c r="H227" s="10">
        <f t="shared" si="10"/>
        <v>1</v>
      </c>
      <c r="I227" s="10">
        <f t="shared" si="11"/>
        <v>15</v>
      </c>
      <c r="J227" s="9" t="s">
        <v>709</v>
      </c>
      <c r="K227" s="2" t="s">
        <v>91</v>
      </c>
      <c r="L227" s="2">
        <v>157.85</v>
      </c>
      <c r="M227" s="2" t="s">
        <v>122</v>
      </c>
      <c r="N227" s="2" t="s">
        <v>26</v>
      </c>
      <c r="O227" s="2">
        <v>66</v>
      </c>
      <c r="P227" s="2"/>
    </row>
    <row r="228" spans="2:16" ht="21" x14ac:dyDescent="0.55000000000000004">
      <c r="B228" s="2" t="s">
        <v>710</v>
      </c>
      <c r="C228" s="2" t="s">
        <v>711</v>
      </c>
      <c r="D228" s="2" t="s">
        <v>14</v>
      </c>
      <c r="E228" s="2" t="s">
        <v>54</v>
      </c>
      <c r="F228" s="6" t="s">
        <v>349</v>
      </c>
      <c r="G228" s="10">
        <f t="shared" si="9"/>
        <v>2024</v>
      </c>
      <c r="H228" s="10">
        <f t="shared" si="10"/>
        <v>1</v>
      </c>
      <c r="I228" s="10">
        <f t="shared" si="11"/>
        <v>12</v>
      </c>
      <c r="J228" s="9" t="s">
        <v>712</v>
      </c>
      <c r="K228" s="2" t="s">
        <v>48</v>
      </c>
      <c r="L228" s="2">
        <v>85.67</v>
      </c>
      <c r="M228" s="2" t="s">
        <v>65</v>
      </c>
      <c r="N228" s="2" t="s">
        <v>26</v>
      </c>
      <c r="O228" s="2">
        <v>54</v>
      </c>
      <c r="P228" s="2">
        <v>4</v>
      </c>
    </row>
    <row r="229" spans="2:16" ht="21" hidden="1" x14ac:dyDescent="0.55000000000000004">
      <c r="B229" s="2" t="s">
        <v>713</v>
      </c>
      <c r="C229" s="2" t="s">
        <v>714</v>
      </c>
      <c r="D229" s="2" t="s">
        <v>60</v>
      </c>
      <c r="E229" s="2" t="s">
        <v>37</v>
      </c>
      <c r="F229" s="6" t="s">
        <v>81</v>
      </c>
      <c r="G229" s="10">
        <f t="shared" si="9"/>
        <v>2024</v>
      </c>
      <c r="H229" s="10">
        <f t="shared" si="10"/>
        <v>1</v>
      </c>
      <c r="I229" s="10">
        <f t="shared" si="11"/>
        <v>18</v>
      </c>
      <c r="J229" s="9" t="s">
        <v>712</v>
      </c>
      <c r="K229" s="2" t="s">
        <v>77</v>
      </c>
      <c r="L229" s="2">
        <v>136.16</v>
      </c>
      <c r="M229" s="2" t="s">
        <v>65</v>
      </c>
      <c r="N229" s="2" t="s">
        <v>26</v>
      </c>
      <c r="O229" s="2">
        <v>71</v>
      </c>
      <c r="P229" s="2">
        <v>3</v>
      </c>
    </row>
    <row r="230" spans="2:16" ht="21" hidden="1" x14ac:dyDescent="0.55000000000000004">
      <c r="B230" s="2" t="s">
        <v>715</v>
      </c>
      <c r="C230" s="2" t="s">
        <v>716</v>
      </c>
      <c r="D230" s="2" t="s">
        <v>14</v>
      </c>
      <c r="E230" s="2" t="s">
        <v>125</v>
      </c>
      <c r="F230" s="6" t="s">
        <v>161</v>
      </c>
      <c r="G230" s="10">
        <f t="shared" si="9"/>
        <v>2024</v>
      </c>
      <c r="H230" s="10">
        <f t="shared" si="10"/>
        <v>1</v>
      </c>
      <c r="I230" s="10">
        <f t="shared" si="11"/>
        <v>5</v>
      </c>
      <c r="J230" s="9" t="s">
        <v>25</v>
      </c>
      <c r="K230" s="2" t="s">
        <v>64</v>
      </c>
      <c r="L230" s="2">
        <v>87.64</v>
      </c>
      <c r="M230" s="2" t="s">
        <v>65</v>
      </c>
      <c r="N230" s="2" t="s">
        <v>50</v>
      </c>
      <c r="O230" s="2">
        <v>82</v>
      </c>
      <c r="P230" s="2">
        <v>2</v>
      </c>
    </row>
    <row r="231" spans="2:16" ht="21" hidden="1" x14ac:dyDescent="0.55000000000000004">
      <c r="B231" s="2" t="s">
        <v>717</v>
      </c>
      <c r="C231" s="2" t="s">
        <v>718</v>
      </c>
      <c r="D231" s="2" t="s">
        <v>53</v>
      </c>
      <c r="E231" s="2" t="s">
        <v>80</v>
      </c>
      <c r="F231" s="6" t="s">
        <v>16</v>
      </c>
      <c r="G231" s="10">
        <f t="shared" si="9"/>
        <v>2024</v>
      </c>
      <c r="H231" s="10">
        <f t="shared" si="10"/>
        <v>1</v>
      </c>
      <c r="I231" s="10">
        <f t="shared" si="11"/>
        <v>9</v>
      </c>
      <c r="J231" s="9" t="s">
        <v>285</v>
      </c>
      <c r="K231" s="2" t="s">
        <v>91</v>
      </c>
      <c r="L231" s="2">
        <v>200.42</v>
      </c>
      <c r="M231" s="2" t="s">
        <v>122</v>
      </c>
      <c r="N231" s="2" t="s">
        <v>41</v>
      </c>
      <c r="O231" s="2">
        <v>67</v>
      </c>
      <c r="P231" s="2">
        <v>5</v>
      </c>
    </row>
    <row r="232" spans="2:16" ht="21" hidden="1" x14ac:dyDescent="0.55000000000000004">
      <c r="B232" s="2" t="s">
        <v>719</v>
      </c>
      <c r="C232" s="2" t="s">
        <v>720</v>
      </c>
      <c r="D232" s="2" t="s">
        <v>29</v>
      </c>
      <c r="E232" s="2" t="s">
        <v>125</v>
      </c>
      <c r="F232" s="6" t="s">
        <v>55</v>
      </c>
      <c r="G232" s="10">
        <f t="shared" si="9"/>
        <v>2024</v>
      </c>
      <c r="H232" s="10">
        <f t="shared" si="10"/>
        <v>1</v>
      </c>
      <c r="I232" s="10">
        <f t="shared" si="11"/>
        <v>8</v>
      </c>
      <c r="J232" s="9" t="s">
        <v>721</v>
      </c>
      <c r="K232" s="2" t="s">
        <v>40</v>
      </c>
      <c r="L232" s="2">
        <v>338.03</v>
      </c>
      <c r="M232" s="2" t="s">
        <v>19</v>
      </c>
      <c r="N232" s="2" t="s">
        <v>20</v>
      </c>
      <c r="O232" s="2">
        <v>17</v>
      </c>
      <c r="P232" s="2">
        <v>1</v>
      </c>
    </row>
    <row r="233" spans="2:16" ht="21" hidden="1" x14ac:dyDescent="0.55000000000000004">
      <c r="B233" s="2" t="s">
        <v>722</v>
      </c>
      <c r="C233" s="2" t="s">
        <v>723</v>
      </c>
      <c r="D233" s="2" t="s">
        <v>106</v>
      </c>
      <c r="E233" s="2" t="s">
        <v>61</v>
      </c>
      <c r="F233" s="6" t="s">
        <v>154</v>
      </c>
      <c r="G233" s="10">
        <f t="shared" si="9"/>
        <v>2024</v>
      </c>
      <c r="H233" s="10">
        <f t="shared" si="10"/>
        <v>1</v>
      </c>
      <c r="I233" s="10">
        <f t="shared" si="11"/>
        <v>22</v>
      </c>
      <c r="J233" s="9" t="s">
        <v>724</v>
      </c>
      <c r="K233" s="2" t="s">
        <v>33</v>
      </c>
      <c r="L233" s="2">
        <v>72.209999999999994</v>
      </c>
      <c r="M233" s="2" t="s">
        <v>65</v>
      </c>
      <c r="N233" s="2" t="s">
        <v>26</v>
      </c>
      <c r="O233" s="2">
        <v>22</v>
      </c>
      <c r="P233" s="2">
        <v>3</v>
      </c>
    </row>
    <row r="234" spans="2:16" ht="21" hidden="1" x14ac:dyDescent="0.55000000000000004">
      <c r="B234" s="2" t="s">
        <v>725</v>
      </c>
      <c r="C234" s="2" t="s">
        <v>726</v>
      </c>
      <c r="D234" s="2" t="s">
        <v>14</v>
      </c>
      <c r="E234" s="2" t="s">
        <v>37</v>
      </c>
      <c r="F234" s="6" t="s">
        <v>257</v>
      </c>
      <c r="G234" s="10">
        <f t="shared" si="9"/>
        <v>2024</v>
      </c>
      <c r="H234" s="10">
        <f t="shared" si="10"/>
        <v>1</v>
      </c>
      <c r="I234" s="10">
        <f t="shared" si="11"/>
        <v>10</v>
      </c>
      <c r="J234" s="9" t="s">
        <v>727</v>
      </c>
      <c r="K234" s="2" t="s">
        <v>64</v>
      </c>
      <c r="L234" s="2">
        <v>138.32</v>
      </c>
      <c r="M234" s="2" t="s">
        <v>19</v>
      </c>
      <c r="N234" s="2" t="s">
        <v>26</v>
      </c>
      <c r="O234" s="2">
        <v>63</v>
      </c>
      <c r="P234" s="2">
        <v>3</v>
      </c>
    </row>
    <row r="235" spans="2:16" ht="21" hidden="1" x14ac:dyDescent="0.55000000000000004">
      <c r="B235" s="2" t="s">
        <v>728</v>
      </c>
      <c r="C235" s="2" t="s">
        <v>729</v>
      </c>
      <c r="D235" s="2" t="s">
        <v>23</v>
      </c>
      <c r="E235" s="2" t="s">
        <v>80</v>
      </c>
      <c r="F235" s="6" t="s">
        <v>198</v>
      </c>
      <c r="G235" s="10">
        <f t="shared" si="9"/>
        <v>2024</v>
      </c>
      <c r="H235" s="10">
        <f t="shared" si="10"/>
        <v>1</v>
      </c>
      <c r="I235" s="10">
        <f t="shared" si="11"/>
        <v>4</v>
      </c>
      <c r="J235" s="9" t="s">
        <v>730</v>
      </c>
      <c r="K235" s="2" t="s">
        <v>77</v>
      </c>
      <c r="L235" s="2">
        <v>316.31</v>
      </c>
      <c r="M235" s="2" t="s">
        <v>122</v>
      </c>
      <c r="N235" s="2" t="s">
        <v>50</v>
      </c>
      <c r="O235" s="2">
        <v>84</v>
      </c>
      <c r="P235" s="2">
        <v>1</v>
      </c>
    </row>
    <row r="236" spans="2:16" ht="21" hidden="1" x14ac:dyDescent="0.55000000000000004">
      <c r="B236" s="2" t="s">
        <v>731</v>
      </c>
      <c r="C236" s="2" t="s">
        <v>732</v>
      </c>
      <c r="D236" s="2" t="s">
        <v>23</v>
      </c>
      <c r="E236" s="2" t="s">
        <v>74</v>
      </c>
      <c r="F236" s="6" t="s">
        <v>302</v>
      </c>
      <c r="G236" s="10">
        <f t="shared" si="9"/>
        <v>2024</v>
      </c>
      <c r="H236" s="10">
        <f t="shared" si="10"/>
        <v>1</v>
      </c>
      <c r="I236" s="10">
        <f t="shared" si="11"/>
        <v>2</v>
      </c>
      <c r="J236" s="9" t="s">
        <v>733</v>
      </c>
      <c r="K236" s="2" t="s">
        <v>91</v>
      </c>
      <c r="L236" s="2">
        <v>431.43</v>
      </c>
      <c r="M236" s="2" t="s">
        <v>122</v>
      </c>
      <c r="N236" s="2" t="s">
        <v>26</v>
      </c>
      <c r="O236" s="2">
        <v>85</v>
      </c>
      <c r="P236" s="2">
        <v>4</v>
      </c>
    </row>
    <row r="237" spans="2:16" ht="21" hidden="1" x14ac:dyDescent="0.55000000000000004">
      <c r="B237" s="2" t="s">
        <v>734</v>
      </c>
      <c r="C237" s="2" t="s">
        <v>735</v>
      </c>
      <c r="D237" s="2" t="s">
        <v>60</v>
      </c>
      <c r="E237" s="2" t="s">
        <v>37</v>
      </c>
      <c r="F237" s="6" t="s">
        <v>16</v>
      </c>
      <c r="G237" s="10">
        <f t="shared" si="9"/>
        <v>2024</v>
      </c>
      <c r="H237" s="10">
        <f t="shared" si="10"/>
        <v>1</v>
      </c>
      <c r="I237" s="10">
        <f t="shared" si="11"/>
        <v>9</v>
      </c>
      <c r="J237" s="9" t="s">
        <v>736</v>
      </c>
      <c r="K237" s="2" t="s">
        <v>91</v>
      </c>
      <c r="L237" s="2">
        <v>400.93</v>
      </c>
      <c r="M237" s="2" t="s">
        <v>122</v>
      </c>
      <c r="N237" s="2" t="s">
        <v>20</v>
      </c>
      <c r="O237" s="2">
        <v>50</v>
      </c>
      <c r="P237" s="2">
        <v>5</v>
      </c>
    </row>
    <row r="238" spans="2:16" ht="21" hidden="1" x14ac:dyDescent="0.55000000000000004">
      <c r="B238" s="2" t="s">
        <v>737</v>
      </c>
      <c r="C238" s="2" t="s">
        <v>738</v>
      </c>
      <c r="D238" s="2" t="s">
        <v>68</v>
      </c>
      <c r="E238" s="2" t="s">
        <v>74</v>
      </c>
      <c r="F238" s="6" t="s">
        <v>272</v>
      </c>
      <c r="G238" s="10">
        <f t="shared" si="9"/>
        <v>2024</v>
      </c>
      <c r="H238" s="10">
        <f t="shared" si="10"/>
        <v>1</v>
      </c>
      <c r="I238" s="10">
        <f t="shared" si="11"/>
        <v>1</v>
      </c>
      <c r="J238" s="9" t="s">
        <v>739</v>
      </c>
      <c r="K238" s="2" t="s">
        <v>48</v>
      </c>
      <c r="L238" s="2">
        <v>133.76</v>
      </c>
      <c r="M238" s="2" t="s">
        <v>49</v>
      </c>
      <c r="N238" s="2" t="s">
        <v>26</v>
      </c>
      <c r="O238" s="2">
        <v>70</v>
      </c>
      <c r="P238" s="2">
        <v>4</v>
      </c>
    </row>
    <row r="239" spans="2:16" ht="21" hidden="1" x14ac:dyDescent="0.55000000000000004">
      <c r="B239" s="2" t="s">
        <v>740</v>
      </c>
      <c r="C239" s="2" t="s">
        <v>741</v>
      </c>
      <c r="D239" s="2" t="s">
        <v>60</v>
      </c>
      <c r="E239" s="2" t="s">
        <v>89</v>
      </c>
      <c r="F239" s="6" t="s">
        <v>132</v>
      </c>
      <c r="G239" s="10">
        <f t="shared" si="9"/>
        <v>2024</v>
      </c>
      <c r="H239" s="10">
        <f t="shared" si="10"/>
        <v>1</v>
      </c>
      <c r="I239" s="10">
        <f t="shared" si="11"/>
        <v>6</v>
      </c>
      <c r="J239" s="9" t="s">
        <v>742</v>
      </c>
      <c r="K239" s="2" t="s">
        <v>91</v>
      </c>
      <c r="L239" s="2">
        <v>387.8</v>
      </c>
      <c r="M239" s="2" t="s">
        <v>65</v>
      </c>
      <c r="N239" s="2" t="s">
        <v>26</v>
      </c>
      <c r="O239" s="2">
        <v>75</v>
      </c>
      <c r="P239" s="2">
        <v>2</v>
      </c>
    </row>
    <row r="240" spans="2:16" ht="21" hidden="1" x14ac:dyDescent="0.55000000000000004">
      <c r="B240" s="2" t="s">
        <v>743</v>
      </c>
      <c r="C240" s="2" t="s">
        <v>744</v>
      </c>
      <c r="D240" s="2" t="s">
        <v>29</v>
      </c>
      <c r="E240" s="2" t="s">
        <v>61</v>
      </c>
      <c r="F240" s="6" t="s">
        <v>349</v>
      </c>
      <c r="G240" s="10">
        <f t="shared" si="9"/>
        <v>2024</v>
      </c>
      <c r="H240" s="10">
        <f t="shared" si="10"/>
        <v>1</v>
      </c>
      <c r="I240" s="10">
        <f t="shared" si="11"/>
        <v>12</v>
      </c>
      <c r="J240" s="9" t="s">
        <v>745</v>
      </c>
      <c r="K240" s="2" t="s">
        <v>77</v>
      </c>
      <c r="L240" s="2">
        <v>337.51</v>
      </c>
      <c r="M240" s="2" t="s">
        <v>122</v>
      </c>
      <c r="N240" s="2" t="s">
        <v>50</v>
      </c>
      <c r="O240" s="2">
        <v>75</v>
      </c>
      <c r="P240" s="2">
        <v>2</v>
      </c>
    </row>
    <row r="241" spans="2:16" ht="21" hidden="1" x14ac:dyDescent="0.55000000000000004">
      <c r="B241" s="2" t="s">
        <v>746</v>
      </c>
      <c r="C241" s="2" t="s">
        <v>747</v>
      </c>
      <c r="D241" s="2" t="s">
        <v>117</v>
      </c>
      <c r="E241" s="2" t="s">
        <v>61</v>
      </c>
      <c r="F241" s="6" t="s">
        <v>31</v>
      </c>
      <c r="G241" s="10">
        <f t="shared" si="9"/>
        <v>2024</v>
      </c>
      <c r="H241" s="10">
        <f t="shared" si="10"/>
        <v>1</v>
      </c>
      <c r="I241" s="10">
        <f t="shared" si="11"/>
        <v>14</v>
      </c>
      <c r="J241" s="9" t="s">
        <v>577</v>
      </c>
      <c r="K241" s="2" t="s">
        <v>33</v>
      </c>
      <c r="L241" s="2">
        <v>278.51</v>
      </c>
      <c r="M241" s="2" t="s">
        <v>65</v>
      </c>
      <c r="N241" s="2" t="s">
        <v>20</v>
      </c>
      <c r="O241" s="2">
        <v>25</v>
      </c>
      <c r="P241" s="2">
        <v>3</v>
      </c>
    </row>
    <row r="242" spans="2:16" ht="21" hidden="1" x14ac:dyDescent="0.55000000000000004">
      <c r="B242" s="2" t="s">
        <v>748</v>
      </c>
      <c r="C242" s="2" t="s">
        <v>729</v>
      </c>
      <c r="D242" s="2" t="s">
        <v>68</v>
      </c>
      <c r="E242" s="2" t="s">
        <v>15</v>
      </c>
      <c r="F242" s="6" t="s">
        <v>75</v>
      </c>
      <c r="G242" s="10">
        <f t="shared" si="9"/>
        <v>2024</v>
      </c>
      <c r="H242" s="10">
        <f t="shared" si="10"/>
        <v>1</v>
      </c>
      <c r="I242" s="10">
        <f t="shared" si="11"/>
        <v>25</v>
      </c>
      <c r="J242" s="9" t="s">
        <v>749</v>
      </c>
      <c r="K242" s="2" t="s">
        <v>40</v>
      </c>
      <c r="L242" s="2">
        <v>138.78</v>
      </c>
      <c r="M242" s="2" t="s">
        <v>49</v>
      </c>
      <c r="N242" s="2" t="s">
        <v>26</v>
      </c>
      <c r="O242" s="2">
        <v>90</v>
      </c>
      <c r="P242" s="2">
        <v>2</v>
      </c>
    </row>
    <row r="243" spans="2:16" ht="21" hidden="1" x14ac:dyDescent="0.55000000000000004">
      <c r="B243" s="2" t="s">
        <v>750</v>
      </c>
      <c r="C243" s="2" t="s">
        <v>751</v>
      </c>
      <c r="D243" s="2" t="s">
        <v>106</v>
      </c>
      <c r="E243" s="2" t="s">
        <v>80</v>
      </c>
      <c r="F243" s="6" t="s">
        <v>69</v>
      </c>
      <c r="G243" s="10">
        <f t="shared" si="9"/>
        <v>2024</v>
      </c>
      <c r="H243" s="10">
        <f t="shared" si="10"/>
        <v>1</v>
      </c>
      <c r="I243" s="10">
        <f t="shared" si="11"/>
        <v>27</v>
      </c>
      <c r="J243" s="9" t="s">
        <v>390</v>
      </c>
      <c r="K243" s="2" t="s">
        <v>91</v>
      </c>
      <c r="L243" s="2">
        <v>342.65</v>
      </c>
      <c r="M243" s="2" t="s">
        <v>19</v>
      </c>
      <c r="N243" s="2" t="s">
        <v>26</v>
      </c>
      <c r="O243" s="2">
        <v>59</v>
      </c>
      <c r="P243" s="2">
        <v>1</v>
      </c>
    </row>
    <row r="244" spans="2:16" ht="21" hidden="1" x14ac:dyDescent="0.55000000000000004">
      <c r="B244" s="2" t="s">
        <v>752</v>
      </c>
      <c r="C244" s="2" t="s">
        <v>753</v>
      </c>
      <c r="D244" s="2" t="s">
        <v>73</v>
      </c>
      <c r="E244" s="2" t="s">
        <v>37</v>
      </c>
      <c r="F244" s="6" t="s">
        <v>272</v>
      </c>
      <c r="G244" s="10">
        <f t="shared" si="9"/>
        <v>2024</v>
      </c>
      <c r="H244" s="10">
        <f t="shared" si="10"/>
        <v>1</v>
      </c>
      <c r="I244" s="10">
        <f t="shared" si="11"/>
        <v>1</v>
      </c>
      <c r="J244" s="9" t="s">
        <v>288</v>
      </c>
      <c r="K244" s="2" t="s">
        <v>57</v>
      </c>
      <c r="L244" s="2">
        <v>238.6</v>
      </c>
      <c r="M244" s="2" t="s">
        <v>19</v>
      </c>
      <c r="N244" s="2" t="s">
        <v>26</v>
      </c>
      <c r="O244" s="2">
        <v>38</v>
      </c>
      <c r="P244" s="2">
        <v>3</v>
      </c>
    </row>
    <row r="245" spans="2:16" ht="21" hidden="1" x14ac:dyDescent="0.55000000000000004">
      <c r="B245" s="2" t="s">
        <v>754</v>
      </c>
      <c r="C245" s="2" t="s">
        <v>755</v>
      </c>
      <c r="D245" s="2" t="s">
        <v>60</v>
      </c>
      <c r="E245" s="2" t="s">
        <v>45</v>
      </c>
      <c r="F245" s="6" t="s">
        <v>24</v>
      </c>
      <c r="G245" s="10">
        <f t="shared" si="9"/>
        <v>2024</v>
      </c>
      <c r="H245" s="10">
        <f t="shared" si="10"/>
        <v>1</v>
      </c>
      <c r="I245" s="10">
        <f t="shared" si="11"/>
        <v>21</v>
      </c>
      <c r="J245" s="9" t="s">
        <v>756</v>
      </c>
      <c r="K245" s="2" t="s">
        <v>48</v>
      </c>
      <c r="L245" s="2">
        <v>221.37</v>
      </c>
      <c r="M245" s="2" t="s">
        <v>49</v>
      </c>
      <c r="N245" s="2" t="s">
        <v>41</v>
      </c>
      <c r="O245" s="2">
        <v>59</v>
      </c>
      <c r="P245" s="2">
        <v>4</v>
      </c>
    </row>
    <row r="246" spans="2:16" ht="21" hidden="1" x14ac:dyDescent="0.55000000000000004">
      <c r="B246" s="2" t="s">
        <v>757</v>
      </c>
      <c r="C246" s="2" t="s">
        <v>758</v>
      </c>
      <c r="D246" s="2" t="s">
        <v>44</v>
      </c>
      <c r="E246" s="2" t="s">
        <v>74</v>
      </c>
      <c r="F246" s="6" t="s">
        <v>55</v>
      </c>
      <c r="G246" s="10">
        <f t="shared" si="9"/>
        <v>2024</v>
      </c>
      <c r="H246" s="10">
        <f t="shared" si="10"/>
        <v>1</v>
      </c>
      <c r="I246" s="10">
        <f t="shared" si="11"/>
        <v>8</v>
      </c>
      <c r="J246" s="9" t="s">
        <v>296</v>
      </c>
      <c r="K246" s="2" t="s">
        <v>91</v>
      </c>
      <c r="L246" s="2">
        <v>421.39</v>
      </c>
      <c r="M246" s="2" t="s">
        <v>65</v>
      </c>
      <c r="N246" s="2" t="s">
        <v>20</v>
      </c>
      <c r="O246" s="2">
        <v>22</v>
      </c>
      <c r="P246" s="2">
        <v>2</v>
      </c>
    </row>
    <row r="247" spans="2:16" ht="21" hidden="1" x14ac:dyDescent="0.55000000000000004">
      <c r="B247" s="2" t="s">
        <v>759</v>
      </c>
      <c r="C247" s="2" t="s">
        <v>760</v>
      </c>
      <c r="D247" s="2" t="s">
        <v>29</v>
      </c>
      <c r="E247" s="2" t="s">
        <v>80</v>
      </c>
      <c r="F247" s="6" t="s">
        <v>102</v>
      </c>
      <c r="G247" s="10">
        <f t="shared" si="9"/>
        <v>2024</v>
      </c>
      <c r="H247" s="10">
        <f t="shared" si="10"/>
        <v>1</v>
      </c>
      <c r="I247" s="10">
        <f t="shared" si="11"/>
        <v>26</v>
      </c>
      <c r="J247" s="9" t="s">
        <v>761</v>
      </c>
      <c r="K247" s="2" t="s">
        <v>48</v>
      </c>
      <c r="L247" s="2">
        <v>299.06</v>
      </c>
      <c r="M247" s="2" t="s">
        <v>122</v>
      </c>
      <c r="N247" s="2" t="s">
        <v>20</v>
      </c>
      <c r="O247" s="2">
        <v>65</v>
      </c>
      <c r="P247" s="2">
        <v>1</v>
      </c>
    </row>
    <row r="248" spans="2:16" ht="21" hidden="1" x14ac:dyDescent="0.55000000000000004">
      <c r="B248" s="2" t="s">
        <v>762</v>
      </c>
      <c r="C248" s="2" t="s">
        <v>763</v>
      </c>
      <c r="D248" s="2" t="s">
        <v>44</v>
      </c>
      <c r="E248" s="2" t="s">
        <v>45</v>
      </c>
      <c r="F248" s="6" t="s">
        <v>69</v>
      </c>
      <c r="G248" s="10">
        <f t="shared" si="9"/>
        <v>2024</v>
      </c>
      <c r="H248" s="10">
        <f t="shared" si="10"/>
        <v>1</v>
      </c>
      <c r="I248" s="10">
        <f t="shared" si="11"/>
        <v>27</v>
      </c>
      <c r="J248" s="9" t="s">
        <v>764</v>
      </c>
      <c r="K248" s="2" t="s">
        <v>33</v>
      </c>
      <c r="L248" s="2">
        <v>90.51</v>
      </c>
      <c r="M248" s="2" t="s">
        <v>49</v>
      </c>
      <c r="N248" s="2" t="s">
        <v>50</v>
      </c>
      <c r="O248" s="2">
        <v>55</v>
      </c>
      <c r="P248" s="2">
        <v>4</v>
      </c>
    </row>
    <row r="249" spans="2:16" ht="21" hidden="1" x14ac:dyDescent="0.55000000000000004">
      <c r="B249" s="2" t="s">
        <v>765</v>
      </c>
      <c r="C249" s="2" t="s">
        <v>766</v>
      </c>
      <c r="D249" s="2" t="s">
        <v>60</v>
      </c>
      <c r="E249" s="2" t="s">
        <v>89</v>
      </c>
      <c r="F249" s="6" t="s">
        <v>161</v>
      </c>
      <c r="G249" s="10">
        <f t="shared" si="9"/>
        <v>2024</v>
      </c>
      <c r="H249" s="10">
        <f t="shared" si="10"/>
        <v>1</v>
      </c>
      <c r="I249" s="10">
        <f t="shared" si="11"/>
        <v>5</v>
      </c>
      <c r="J249" s="9" t="s">
        <v>767</v>
      </c>
      <c r="K249" s="2" t="s">
        <v>91</v>
      </c>
      <c r="L249" s="2">
        <v>116.51</v>
      </c>
      <c r="M249" s="2" t="s">
        <v>19</v>
      </c>
      <c r="N249" s="2" t="s">
        <v>41</v>
      </c>
      <c r="O249" s="2">
        <v>22</v>
      </c>
      <c r="P249" s="2">
        <v>2</v>
      </c>
    </row>
    <row r="250" spans="2:16" ht="21" x14ac:dyDescent="0.55000000000000004">
      <c r="B250" s="2" t="s">
        <v>768</v>
      </c>
      <c r="C250" s="2" t="s">
        <v>769</v>
      </c>
      <c r="D250" s="2" t="s">
        <v>44</v>
      </c>
      <c r="E250" s="2" t="s">
        <v>54</v>
      </c>
      <c r="F250" s="6" t="s">
        <v>180</v>
      </c>
      <c r="G250" s="10">
        <f t="shared" si="9"/>
        <v>2024</v>
      </c>
      <c r="H250" s="10">
        <f t="shared" si="10"/>
        <v>1</v>
      </c>
      <c r="I250" s="10">
        <f t="shared" si="11"/>
        <v>28</v>
      </c>
      <c r="J250" s="9" t="s">
        <v>770</v>
      </c>
      <c r="K250" s="2" t="s">
        <v>48</v>
      </c>
      <c r="L250" s="2">
        <v>281.75</v>
      </c>
      <c r="M250" s="2" t="s">
        <v>49</v>
      </c>
      <c r="N250" s="2" t="s">
        <v>20</v>
      </c>
      <c r="O250" s="2">
        <v>67</v>
      </c>
      <c r="P250" s="2">
        <v>4</v>
      </c>
    </row>
    <row r="251" spans="2:16" ht="21" hidden="1" x14ac:dyDescent="0.55000000000000004">
      <c r="B251" s="2" t="s">
        <v>771</v>
      </c>
      <c r="C251" s="2" t="s">
        <v>772</v>
      </c>
      <c r="D251" s="2" t="s">
        <v>68</v>
      </c>
      <c r="E251" s="2" t="s">
        <v>45</v>
      </c>
      <c r="F251" s="6" t="s">
        <v>102</v>
      </c>
      <c r="G251" s="10">
        <f t="shared" si="9"/>
        <v>2024</v>
      </c>
      <c r="H251" s="10">
        <f t="shared" si="10"/>
        <v>1</v>
      </c>
      <c r="I251" s="10">
        <f t="shared" si="11"/>
        <v>26</v>
      </c>
      <c r="J251" s="9" t="s">
        <v>773</v>
      </c>
      <c r="K251" s="2" t="s">
        <v>77</v>
      </c>
      <c r="L251" s="2">
        <v>250.93</v>
      </c>
      <c r="M251" s="2" t="s">
        <v>49</v>
      </c>
      <c r="N251" s="2" t="s">
        <v>20</v>
      </c>
      <c r="O251" s="2">
        <v>82</v>
      </c>
      <c r="P251" s="2">
        <v>3</v>
      </c>
    </row>
    <row r="252" spans="2:16" ht="21" hidden="1" x14ac:dyDescent="0.55000000000000004">
      <c r="B252" s="2" t="s">
        <v>774</v>
      </c>
      <c r="C252" s="2" t="s">
        <v>775</v>
      </c>
      <c r="D252" s="2" t="s">
        <v>60</v>
      </c>
      <c r="E252" s="2" t="s">
        <v>139</v>
      </c>
      <c r="F252" s="6" t="s">
        <v>349</v>
      </c>
      <c r="G252" s="10">
        <f t="shared" si="9"/>
        <v>2024</v>
      </c>
      <c r="H252" s="10">
        <f t="shared" si="10"/>
        <v>1</v>
      </c>
      <c r="I252" s="10">
        <f t="shared" si="11"/>
        <v>12</v>
      </c>
      <c r="J252" s="9" t="s">
        <v>776</v>
      </c>
      <c r="K252" s="2" t="s">
        <v>77</v>
      </c>
      <c r="L252" s="2">
        <v>329.34</v>
      </c>
      <c r="M252" s="2" t="s">
        <v>65</v>
      </c>
      <c r="N252" s="2" t="s">
        <v>20</v>
      </c>
      <c r="O252" s="2">
        <v>35</v>
      </c>
      <c r="P252" s="2">
        <v>2</v>
      </c>
    </row>
    <row r="253" spans="2:16" ht="21" hidden="1" x14ac:dyDescent="0.55000000000000004">
      <c r="B253" s="2" t="s">
        <v>777</v>
      </c>
      <c r="C253" s="2" t="s">
        <v>778</v>
      </c>
      <c r="D253" s="2" t="s">
        <v>117</v>
      </c>
      <c r="E253" s="2" t="s">
        <v>125</v>
      </c>
      <c r="F253" s="6" t="s">
        <v>198</v>
      </c>
      <c r="G253" s="10">
        <f t="shared" si="9"/>
        <v>2024</v>
      </c>
      <c r="H253" s="10">
        <f t="shared" si="10"/>
        <v>1</v>
      </c>
      <c r="I253" s="10">
        <f t="shared" si="11"/>
        <v>4</v>
      </c>
      <c r="J253" s="9" t="s">
        <v>779</v>
      </c>
      <c r="K253" s="2" t="s">
        <v>64</v>
      </c>
      <c r="L253" s="2">
        <v>266.60000000000002</v>
      </c>
      <c r="M253" s="2" t="s">
        <v>65</v>
      </c>
      <c r="N253" s="2" t="s">
        <v>26</v>
      </c>
      <c r="O253" s="2">
        <v>78</v>
      </c>
      <c r="P253" s="2">
        <v>3</v>
      </c>
    </row>
    <row r="254" spans="2:16" ht="21" hidden="1" x14ac:dyDescent="0.55000000000000004">
      <c r="B254" s="2" t="s">
        <v>780</v>
      </c>
      <c r="C254" s="2" t="s">
        <v>781</v>
      </c>
      <c r="D254" s="2" t="s">
        <v>29</v>
      </c>
      <c r="E254" s="2" t="s">
        <v>45</v>
      </c>
      <c r="F254" s="6" t="s">
        <v>38</v>
      </c>
      <c r="G254" s="10">
        <f t="shared" si="9"/>
        <v>2024</v>
      </c>
      <c r="H254" s="10">
        <f t="shared" si="10"/>
        <v>1</v>
      </c>
      <c r="I254" s="10">
        <f t="shared" si="11"/>
        <v>11</v>
      </c>
      <c r="J254" s="9" t="s">
        <v>782</v>
      </c>
      <c r="K254" s="2" t="s">
        <v>91</v>
      </c>
      <c r="L254" s="2">
        <v>103.55</v>
      </c>
      <c r="M254" s="2" t="s">
        <v>19</v>
      </c>
      <c r="N254" s="2" t="s">
        <v>41</v>
      </c>
      <c r="O254" s="2">
        <v>84</v>
      </c>
      <c r="P254" s="2">
        <v>3</v>
      </c>
    </row>
    <row r="255" spans="2:16" ht="21" hidden="1" x14ac:dyDescent="0.55000000000000004">
      <c r="B255" s="2" t="s">
        <v>783</v>
      </c>
      <c r="C255" s="2" t="s">
        <v>784</v>
      </c>
      <c r="D255" s="2" t="s">
        <v>73</v>
      </c>
      <c r="E255" s="2" t="s">
        <v>61</v>
      </c>
      <c r="F255" s="6" t="s">
        <v>16</v>
      </c>
      <c r="G255" s="10">
        <f t="shared" si="9"/>
        <v>2024</v>
      </c>
      <c r="H255" s="10">
        <f t="shared" si="10"/>
        <v>1</v>
      </c>
      <c r="I255" s="10">
        <f t="shared" si="11"/>
        <v>9</v>
      </c>
      <c r="J255" s="9" t="s">
        <v>785</v>
      </c>
      <c r="K255" s="2" t="s">
        <v>91</v>
      </c>
      <c r="L255" s="2">
        <v>432.3</v>
      </c>
      <c r="M255" s="2" t="s">
        <v>19</v>
      </c>
      <c r="N255" s="2" t="s">
        <v>20</v>
      </c>
      <c r="O255" s="2">
        <v>69</v>
      </c>
      <c r="P255" s="2">
        <v>4</v>
      </c>
    </row>
    <row r="256" spans="2:16" ht="21" hidden="1" x14ac:dyDescent="0.55000000000000004">
      <c r="B256" s="2" t="s">
        <v>786</v>
      </c>
      <c r="C256" s="2" t="s">
        <v>787</v>
      </c>
      <c r="D256" s="2" t="s">
        <v>29</v>
      </c>
      <c r="E256" s="2" t="s">
        <v>37</v>
      </c>
      <c r="F256" s="6" t="s">
        <v>473</v>
      </c>
      <c r="G256" s="10">
        <f t="shared" si="9"/>
        <v>2024</v>
      </c>
      <c r="H256" s="10">
        <f t="shared" si="10"/>
        <v>1</v>
      </c>
      <c r="I256" s="10">
        <f t="shared" si="11"/>
        <v>30</v>
      </c>
      <c r="J256" s="9" t="s">
        <v>681</v>
      </c>
      <c r="K256" s="2" t="s">
        <v>18</v>
      </c>
      <c r="L256" s="2">
        <v>291.62</v>
      </c>
      <c r="M256" s="2" t="s">
        <v>19</v>
      </c>
      <c r="N256" s="2" t="s">
        <v>50</v>
      </c>
      <c r="O256" s="2">
        <v>15</v>
      </c>
      <c r="P256" s="2">
        <v>1</v>
      </c>
    </row>
    <row r="257" spans="2:16" ht="21" hidden="1" x14ac:dyDescent="0.55000000000000004">
      <c r="B257" s="2" t="s">
        <v>788</v>
      </c>
      <c r="C257" s="2" t="s">
        <v>789</v>
      </c>
      <c r="D257" s="2" t="s">
        <v>29</v>
      </c>
      <c r="E257" s="2" t="s">
        <v>61</v>
      </c>
      <c r="F257" s="6" t="s">
        <v>129</v>
      </c>
      <c r="G257" s="10">
        <f t="shared" si="9"/>
        <v>2024</v>
      </c>
      <c r="H257" s="10">
        <f t="shared" si="10"/>
        <v>1</v>
      </c>
      <c r="I257" s="10">
        <f t="shared" si="11"/>
        <v>19</v>
      </c>
      <c r="J257" s="9" t="s">
        <v>790</v>
      </c>
      <c r="K257" s="2" t="s">
        <v>33</v>
      </c>
      <c r="L257" s="2">
        <v>438.3</v>
      </c>
      <c r="M257" s="2" t="s">
        <v>19</v>
      </c>
      <c r="N257" s="2" t="s">
        <v>41</v>
      </c>
      <c r="O257" s="2">
        <v>56</v>
      </c>
      <c r="P257" s="2">
        <v>5</v>
      </c>
    </row>
    <row r="258" spans="2:16" ht="21" hidden="1" x14ac:dyDescent="0.55000000000000004">
      <c r="B258" s="2" t="s">
        <v>791</v>
      </c>
      <c r="C258" s="2" t="s">
        <v>792</v>
      </c>
      <c r="D258" s="2" t="s">
        <v>44</v>
      </c>
      <c r="E258" s="2" t="s">
        <v>89</v>
      </c>
      <c r="F258" s="6" t="s">
        <v>317</v>
      </c>
      <c r="G258" s="10">
        <f t="shared" si="9"/>
        <v>2024</v>
      </c>
      <c r="H258" s="10">
        <f t="shared" si="10"/>
        <v>1</v>
      </c>
      <c r="I258" s="10">
        <f t="shared" si="11"/>
        <v>3</v>
      </c>
      <c r="J258" s="9" t="s">
        <v>340</v>
      </c>
      <c r="K258" s="2" t="s">
        <v>40</v>
      </c>
      <c r="L258" s="2">
        <v>53.35</v>
      </c>
      <c r="M258" s="2" t="s">
        <v>122</v>
      </c>
      <c r="N258" s="2" t="s">
        <v>20</v>
      </c>
      <c r="O258" s="2">
        <v>17</v>
      </c>
      <c r="P258" s="2">
        <v>4</v>
      </c>
    </row>
    <row r="259" spans="2:16" ht="21" hidden="1" x14ac:dyDescent="0.55000000000000004">
      <c r="B259" s="2" t="s">
        <v>793</v>
      </c>
      <c r="C259" s="2" t="s">
        <v>794</v>
      </c>
      <c r="D259" s="2" t="s">
        <v>23</v>
      </c>
      <c r="E259" s="2" t="s">
        <v>37</v>
      </c>
      <c r="F259" s="6" t="s">
        <v>113</v>
      </c>
      <c r="G259" s="10">
        <f t="shared" si="9"/>
        <v>2024</v>
      </c>
      <c r="H259" s="10">
        <f t="shared" si="10"/>
        <v>1</v>
      </c>
      <c r="I259" s="10">
        <f t="shared" si="11"/>
        <v>15</v>
      </c>
      <c r="J259" s="9" t="s">
        <v>795</v>
      </c>
      <c r="K259" s="2" t="s">
        <v>33</v>
      </c>
      <c r="L259" s="2">
        <v>365.58</v>
      </c>
      <c r="M259" s="2" t="s">
        <v>122</v>
      </c>
      <c r="N259" s="2" t="s">
        <v>26</v>
      </c>
      <c r="O259" s="2">
        <v>78</v>
      </c>
      <c r="P259" s="2">
        <v>3</v>
      </c>
    </row>
    <row r="260" spans="2:16" ht="21" hidden="1" x14ac:dyDescent="0.55000000000000004">
      <c r="B260" s="2" t="s">
        <v>796</v>
      </c>
      <c r="C260" s="2" t="s">
        <v>797</v>
      </c>
      <c r="D260" s="2" t="s">
        <v>29</v>
      </c>
      <c r="E260" s="2" t="s">
        <v>74</v>
      </c>
      <c r="F260" s="6" t="s">
        <v>55</v>
      </c>
      <c r="G260" s="10">
        <f t="shared" ref="G260:G323" si="12">YEAR(F260)</f>
        <v>2024</v>
      </c>
      <c r="H260" s="10">
        <f t="shared" ref="H260:H323" si="13">MONTH(F260)</f>
        <v>1</v>
      </c>
      <c r="I260" s="10">
        <f t="shared" ref="I260:I323" si="14">DAY(F260)</f>
        <v>8</v>
      </c>
      <c r="J260" s="9" t="s">
        <v>798</v>
      </c>
      <c r="K260" s="2" t="s">
        <v>33</v>
      </c>
      <c r="L260" s="2">
        <v>192.74</v>
      </c>
      <c r="M260" s="2" t="s">
        <v>49</v>
      </c>
      <c r="N260" s="2" t="s">
        <v>41</v>
      </c>
      <c r="O260" s="2">
        <v>52</v>
      </c>
      <c r="P260" s="2">
        <v>5</v>
      </c>
    </row>
    <row r="261" spans="2:16" ht="21" hidden="1" x14ac:dyDescent="0.55000000000000004">
      <c r="B261" s="2" t="s">
        <v>799</v>
      </c>
      <c r="C261" s="2" t="s">
        <v>800</v>
      </c>
      <c r="D261" s="2" t="s">
        <v>29</v>
      </c>
      <c r="E261" s="2" t="s">
        <v>125</v>
      </c>
      <c r="F261" s="6" t="s">
        <v>140</v>
      </c>
      <c r="G261" s="10">
        <f t="shared" si="12"/>
        <v>2024</v>
      </c>
      <c r="H261" s="10">
        <f t="shared" si="13"/>
        <v>1</v>
      </c>
      <c r="I261" s="10">
        <f t="shared" si="14"/>
        <v>29</v>
      </c>
      <c r="J261" s="9" t="s">
        <v>801</v>
      </c>
      <c r="K261" s="2" t="s">
        <v>91</v>
      </c>
      <c r="L261" s="2">
        <v>288.33999999999997</v>
      </c>
      <c r="M261" s="2" t="s">
        <v>19</v>
      </c>
      <c r="N261" s="2" t="s">
        <v>41</v>
      </c>
      <c r="O261" s="2">
        <v>17</v>
      </c>
      <c r="P261" s="2">
        <v>4</v>
      </c>
    </row>
    <row r="262" spans="2:16" ht="21" hidden="1" x14ac:dyDescent="0.55000000000000004">
      <c r="B262" s="2" t="s">
        <v>802</v>
      </c>
      <c r="C262" s="2" t="s">
        <v>803</v>
      </c>
      <c r="D262" s="2" t="s">
        <v>14</v>
      </c>
      <c r="E262" s="2" t="s">
        <v>125</v>
      </c>
      <c r="F262" s="6" t="s">
        <v>75</v>
      </c>
      <c r="G262" s="10">
        <f t="shared" si="12"/>
        <v>2024</v>
      </c>
      <c r="H262" s="10">
        <f t="shared" si="13"/>
        <v>1</v>
      </c>
      <c r="I262" s="10">
        <f t="shared" si="14"/>
        <v>25</v>
      </c>
      <c r="J262" s="9" t="s">
        <v>353</v>
      </c>
      <c r="K262" s="2" t="s">
        <v>77</v>
      </c>
      <c r="L262" s="2">
        <v>207.67</v>
      </c>
      <c r="M262" s="2" t="s">
        <v>49</v>
      </c>
      <c r="N262" s="2" t="s">
        <v>50</v>
      </c>
      <c r="O262" s="2">
        <v>67</v>
      </c>
      <c r="P262" s="2">
        <v>2</v>
      </c>
    </row>
    <row r="263" spans="2:16" ht="21" hidden="1" x14ac:dyDescent="0.55000000000000004">
      <c r="B263" s="2" t="s">
        <v>804</v>
      </c>
      <c r="C263" s="2" t="s">
        <v>805</v>
      </c>
      <c r="D263" s="2" t="s">
        <v>23</v>
      </c>
      <c r="E263" s="2" t="s">
        <v>125</v>
      </c>
      <c r="F263" s="6" t="s">
        <v>343</v>
      </c>
      <c r="G263" s="10">
        <f t="shared" si="12"/>
        <v>2024</v>
      </c>
      <c r="H263" s="10">
        <f t="shared" si="13"/>
        <v>1</v>
      </c>
      <c r="I263" s="10">
        <f t="shared" si="14"/>
        <v>13</v>
      </c>
      <c r="J263" s="9" t="s">
        <v>806</v>
      </c>
      <c r="K263" s="2" t="s">
        <v>57</v>
      </c>
      <c r="L263" s="2">
        <v>258.2</v>
      </c>
      <c r="M263" s="2" t="s">
        <v>65</v>
      </c>
      <c r="N263" s="2" t="s">
        <v>20</v>
      </c>
      <c r="O263" s="2">
        <v>65</v>
      </c>
      <c r="P263" s="2">
        <v>4</v>
      </c>
    </row>
    <row r="264" spans="2:16" ht="21" hidden="1" x14ac:dyDescent="0.55000000000000004">
      <c r="B264" s="2" t="s">
        <v>807</v>
      </c>
      <c r="C264" s="2" t="s">
        <v>808</v>
      </c>
      <c r="D264" s="2" t="s">
        <v>53</v>
      </c>
      <c r="E264" s="2" t="s">
        <v>89</v>
      </c>
      <c r="F264" s="6" t="s">
        <v>180</v>
      </c>
      <c r="G264" s="10">
        <f t="shared" si="12"/>
        <v>2024</v>
      </c>
      <c r="H264" s="10">
        <f t="shared" si="13"/>
        <v>1</v>
      </c>
      <c r="I264" s="10">
        <f t="shared" si="14"/>
        <v>28</v>
      </c>
      <c r="J264" s="9" t="s">
        <v>63</v>
      </c>
      <c r="K264" s="2" t="s">
        <v>18</v>
      </c>
      <c r="L264" s="2">
        <v>424.24</v>
      </c>
      <c r="M264" s="2" t="s">
        <v>122</v>
      </c>
      <c r="N264" s="2" t="s">
        <v>41</v>
      </c>
      <c r="O264" s="2">
        <v>71</v>
      </c>
      <c r="P264" s="2">
        <v>1</v>
      </c>
    </row>
    <row r="265" spans="2:16" ht="21" hidden="1" x14ac:dyDescent="0.55000000000000004">
      <c r="B265" s="2" t="s">
        <v>809</v>
      </c>
      <c r="C265" s="2" t="s">
        <v>810</v>
      </c>
      <c r="D265" s="2" t="s">
        <v>23</v>
      </c>
      <c r="E265" s="2" t="s">
        <v>89</v>
      </c>
      <c r="F265" s="6" t="s">
        <v>31</v>
      </c>
      <c r="G265" s="10">
        <f t="shared" si="12"/>
        <v>2024</v>
      </c>
      <c r="H265" s="10">
        <f t="shared" si="13"/>
        <v>1</v>
      </c>
      <c r="I265" s="10">
        <f t="shared" si="14"/>
        <v>14</v>
      </c>
      <c r="J265" s="9" t="s">
        <v>811</v>
      </c>
      <c r="K265" s="2" t="s">
        <v>91</v>
      </c>
      <c r="L265" s="2">
        <v>111.67</v>
      </c>
      <c r="M265" s="2" t="s">
        <v>19</v>
      </c>
      <c r="N265" s="2" t="s">
        <v>41</v>
      </c>
      <c r="O265" s="2">
        <v>50</v>
      </c>
      <c r="P265" s="2">
        <v>2</v>
      </c>
    </row>
    <row r="266" spans="2:16" ht="21" hidden="1" x14ac:dyDescent="0.55000000000000004">
      <c r="B266" s="2" t="s">
        <v>812</v>
      </c>
      <c r="C266" s="2" t="s">
        <v>813</v>
      </c>
      <c r="D266" s="2" t="s">
        <v>44</v>
      </c>
      <c r="E266" s="2" t="s">
        <v>74</v>
      </c>
      <c r="F266" s="6" t="s">
        <v>55</v>
      </c>
      <c r="G266" s="10">
        <f t="shared" si="12"/>
        <v>2024</v>
      </c>
      <c r="H266" s="10">
        <f t="shared" si="13"/>
        <v>1</v>
      </c>
      <c r="I266" s="10">
        <f t="shared" si="14"/>
        <v>8</v>
      </c>
      <c r="J266" s="9" t="s">
        <v>814</v>
      </c>
      <c r="K266" s="2" t="s">
        <v>57</v>
      </c>
      <c r="L266" s="2">
        <v>360.85</v>
      </c>
      <c r="M266" s="2" t="s">
        <v>49</v>
      </c>
      <c r="N266" s="2" t="s">
        <v>20</v>
      </c>
      <c r="O266" s="2">
        <v>87</v>
      </c>
      <c r="P266" s="2">
        <v>5</v>
      </c>
    </row>
    <row r="267" spans="2:16" ht="21" hidden="1" x14ac:dyDescent="0.55000000000000004">
      <c r="B267" s="2" t="s">
        <v>815</v>
      </c>
      <c r="C267" s="2" t="s">
        <v>816</v>
      </c>
      <c r="D267" s="2" t="s">
        <v>44</v>
      </c>
      <c r="E267" s="2" t="s">
        <v>139</v>
      </c>
      <c r="F267" s="6" t="s">
        <v>180</v>
      </c>
      <c r="G267" s="10">
        <f t="shared" si="12"/>
        <v>2024</v>
      </c>
      <c r="H267" s="10">
        <f t="shared" si="13"/>
        <v>1</v>
      </c>
      <c r="I267" s="10">
        <f t="shared" si="14"/>
        <v>28</v>
      </c>
      <c r="J267" s="9" t="s">
        <v>817</v>
      </c>
      <c r="K267" s="2" t="s">
        <v>33</v>
      </c>
      <c r="L267" s="2">
        <v>221.96</v>
      </c>
      <c r="M267" s="2" t="s">
        <v>19</v>
      </c>
      <c r="N267" s="2" t="s">
        <v>26</v>
      </c>
      <c r="O267" s="2">
        <v>67</v>
      </c>
      <c r="P267" s="2">
        <v>2</v>
      </c>
    </row>
    <row r="268" spans="2:16" ht="21" hidden="1" x14ac:dyDescent="0.55000000000000004">
      <c r="B268" s="2" t="s">
        <v>818</v>
      </c>
      <c r="C268" s="2" t="s">
        <v>784</v>
      </c>
      <c r="D268" s="2" t="s">
        <v>53</v>
      </c>
      <c r="E268" s="2" t="s">
        <v>89</v>
      </c>
      <c r="F268" s="6" t="s">
        <v>16</v>
      </c>
      <c r="G268" s="10">
        <f t="shared" si="12"/>
        <v>2024</v>
      </c>
      <c r="H268" s="10">
        <f t="shared" si="13"/>
        <v>1</v>
      </c>
      <c r="I268" s="10">
        <f t="shared" si="14"/>
        <v>9</v>
      </c>
      <c r="J268" s="9" t="s">
        <v>819</v>
      </c>
      <c r="K268" s="2" t="s">
        <v>77</v>
      </c>
      <c r="L268" s="2">
        <v>257.98</v>
      </c>
      <c r="M268" s="2" t="s">
        <v>19</v>
      </c>
      <c r="N268" s="2" t="s">
        <v>50</v>
      </c>
      <c r="O268" s="2">
        <v>42</v>
      </c>
      <c r="P268" s="2">
        <v>4</v>
      </c>
    </row>
    <row r="269" spans="2:16" ht="21" x14ac:dyDescent="0.55000000000000004">
      <c r="B269" s="2" t="s">
        <v>820</v>
      </c>
      <c r="C269" s="2" t="s">
        <v>821</v>
      </c>
      <c r="D269" s="2" t="s">
        <v>73</v>
      </c>
      <c r="E269" s="2" t="s">
        <v>54</v>
      </c>
      <c r="F269" s="6" t="s">
        <v>161</v>
      </c>
      <c r="G269" s="10">
        <f t="shared" si="12"/>
        <v>2024</v>
      </c>
      <c r="H269" s="10">
        <f t="shared" si="13"/>
        <v>1</v>
      </c>
      <c r="I269" s="10">
        <f t="shared" si="14"/>
        <v>5</v>
      </c>
      <c r="J269" s="9" t="s">
        <v>580</v>
      </c>
      <c r="K269" s="2" t="s">
        <v>48</v>
      </c>
      <c r="L269" s="2">
        <v>175.03</v>
      </c>
      <c r="M269" s="2" t="s">
        <v>122</v>
      </c>
      <c r="N269" s="2" t="s">
        <v>26</v>
      </c>
      <c r="O269" s="2">
        <v>34</v>
      </c>
      <c r="P269" s="2">
        <v>5</v>
      </c>
    </row>
    <row r="270" spans="2:16" ht="21" hidden="1" x14ac:dyDescent="0.55000000000000004">
      <c r="B270" s="2" t="s">
        <v>822</v>
      </c>
      <c r="C270" s="2" t="s">
        <v>823</v>
      </c>
      <c r="D270" s="2" t="s">
        <v>60</v>
      </c>
      <c r="E270" s="2" t="s">
        <v>74</v>
      </c>
      <c r="F270" s="6" t="s">
        <v>46</v>
      </c>
      <c r="G270" s="10">
        <f t="shared" si="12"/>
        <v>2024</v>
      </c>
      <c r="H270" s="10">
        <f t="shared" si="13"/>
        <v>1</v>
      </c>
      <c r="I270" s="10">
        <f t="shared" si="14"/>
        <v>17</v>
      </c>
      <c r="J270" s="9" t="s">
        <v>824</v>
      </c>
      <c r="K270" s="2" t="s">
        <v>57</v>
      </c>
      <c r="L270" s="2">
        <v>124.54</v>
      </c>
      <c r="M270" s="2" t="s">
        <v>49</v>
      </c>
      <c r="N270" s="2" t="s">
        <v>26</v>
      </c>
      <c r="O270" s="2">
        <v>87</v>
      </c>
      <c r="P270" s="2">
        <v>2</v>
      </c>
    </row>
    <row r="271" spans="2:16" ht="21" hidden="1" x14ac:dyDescent="0.55000000000000004">
      <c r="B271" s="2" t="s">
        <v>825</v>
      </c>
      <c r="C271" s="2" t="s">
        <v>826</v>
      </c>
      <c r="D271" s="2" t="s">
        <v>14</v>
      </c>
      <c r="E271" s="2" t="s">
        <v>125</v>
      </c>
      <c r="F271" s="6" t="s">
        <v>132</v>
      </c>
      <c r="G271" s="10">
        <f t="shared" si="12"/>
        <v>2024</v>
      </c>
      <c r="H271" s="10">
        <f t="shared" si="13"/>
        <v>1</v>
      </c>
      <c r="I271" s="10">
        <f t="shared" si="14"/>
        <v>6</v>
      </c>
      <c r="J271" s="9" t="s">
        <v>403</v>
      </c>
      <c r="K271" s="2" t="s">
        <v>91</v>
      </c>
      <c r="L271" s="2">
        <v>331.25</v>
      </c>
      <c r="M271" s="2" t="s">
        <v>49</v>
      </c>
      <c r="N271" s="2" t="s">
        <v>26</v>
      </c>
      <c r="O271" s="2">
        <v>31</v>
      </c>
      <c r="P271" s="2">
        <v>3</v>
      </c>
    </row>
    <row r="272" spans="2:16" ht="21" hidden="1" x14ac:dyDescent="0.55000000000000004">
      <c r="B272" s="2" t="s">
        <v>827</v>
      </c>
      <c r="C272" s="2" t="s">
        <v>828</v>
      </c>
      <c r="D272" s="2" t="s">
        <v>23</v>
      </c>
      <c r="E272" s="2" t="s">
        <v>61</v>
      </c>
      <c r="F272" s="6" t="s">
        <v>140</v>
      </c>
      <c r="G272" s="10">
        <f t="shared" si="12"/>
        <v>2024</v>
      </c>
      <c r="H272" s="10">
        <f t="shared" si="13"/>
        <v>1</v>
      </c>
      <c r="I272" s="10">
        <f t="shared" si="14"/>
        <v>29</v>
      </c>
      <c r="J272" s="9" t="s">
        <v>829</v>
      </c>
      <c r="K272" s="2" t="s">
        <v>48</v>
      </c>
      <c r="L272" s="2">
        <v>54.92</v>
      </c>
      <c r="M272" s="2" t="s">
        <v>49</v>
      </c>
      <c r="N272" s="2" t="s">
        <v>26</v>
      </c>
      <c r="O272" s="2">
        <v>90</v>
      </c>
      <c r="P272" s="2">
        <v>5</v>
      </c>
    </row>
    <row r="273" spans="2:16" ht="21" x14ac:dyDescent="0.55000000000000004">
      <c r="B273" s="2" t="s">
        <v>830</v>
      </c>
      <c r="C273" s="2" t="s">
        <v>831</v>
      </c>
      <c r="D273" s="2" t="s">
        <v>23</v>
      </c>
      <c r="E273" s="2" t="s">
        <v>54</v>
      </c>
      <c r="F273" s="6" t="s">
        <v>69</v>
      </c>
      <c r="G273" s="10">
        <f t="shared" si="12"/>
        <v>2024</v>
      </c>
      <c r="H273" s="10">
        <f t="shared" si="13"/>
        <v>1</v>
      </c>
      <c r="I273" s="10">
        <f t="shared" si="14"/>
        <v>27</v>
      </c>
      <c r="J273" s="9" t="s">
        <v>223</v>
      </c>
      <c r="K273" s="2" t="s">
        <v>91</v>
      </c>
      <c r="L273" s="2">
        <v>365.63</v>
      </c>
      <c r="M273" s="2" t="s">
        <v>65</v>
      </c>
      <c r="N273" s="2" t="s">
        <v>41</v>
      </c>
      <c r="O273" s="2">
        <v>60</v>
      </c>
      <c r="P273" s="2">
        <v>1</v>
      </c>
    </row>
    <row r="274" spans="2:16" ht="21" hidden="1" x14ac:dyDescent="0.55000000000000004">
      <c r="B274" s="2" t="s">
        <v>832</v>
      </c>
      <c r="C274" s="2" t="s">
        <v>833</v>
      </c>
      <c r="D274" s="2" t="s">
        <v>117</v>
      </c>
      <c r="E274" s="2" t="s">
        <v>125</v>
      </c>
      <c r="F274" s="6" t="s">
        <v>140</v>
      </c>
      <c r="G274" s="10">
        <f t="shared" si="12"/>
        <v>2024</v>
      </c>
      <c r="H274" s="10">
        <f t="shared" si="13"/>
        <v>1</v>
      </c>
      <c r="I274" s="10">
        <f t="shared" si="14"/>
        <v>29</v>
      </c>
      <c r="J274" s="9" t="s">
        <v>583</v>
      </c>
      <c r="K274" s="2" t="s">
        <v>77</v>
      </c>
      <c r="L274" s="2">
        <v>126.44</v>
      </c>
      <c r="M274" s="2" t="s">
        <v>19</v>
      </c>
      <c r="N274" s="2" t="s">
        <v>20</v>
      </c>
      <c r="O274" s="2">
        <v>44</v>
      </c>
      <c r="P274" s="2">
        <v>5</v>
      </c>
    </row>
    <row r="275" spans="2:16" ht="21" hidden="1" x14ac:dyDescent="0.55000000000000004">
      <c r="B275" s="2" t="s">
        <v>834</v>
      </c>
      <c r="C275" s="2" t="s">
        <v>835</v>
      </c>
      <c r="D275" s="2" t="s">
        <v>53</v>
      </c>
      <c r="E275" s="2" t="s">
        <v>139</v>
      </c>
      <c r="F275" s="6" t="s">
        <v>118</v>
      </c>
      <c r="G275" s="10">
        <f t="shared" si="12"/>
        <v>2024</v>
      </c>
      <c r="H275" s="10">
        <f t="shared" si="13"/>
        <v>1</v>
      </c>
      <c r="I275" s="10">
        <f t="shared" si="14"/>
        <v>24</v>
      </c>
      <c r="J275" s="9" t="s">
        <v>654</v>
      </c>
      <c r="K275" s="2" t="s">
        <v>48</v>
      </c>
      <c r="L275" s="2">
        <v>366.33</v>
      </c>
      <c r="M275" s="2" t="s">
        <v>65</v>
      </c>
      <c r="N275" s="2" t="s">
        <v>41</v>
      </c>
      <c r="O275" s="2">
        <v>64</v>
      </c>
      <c r="P275" s="2">
        <v>3</v>
      </c>
    </row>
    <row r="276" spans="2:16" ht="21" hidden="1" x14ac:dyDescent="0.55000000000000004">
      <c r="B276" s="2" t="s">
        <v>836</v>
      </c>
      <c r="C276" s="2" t="s">
        <v>837</v>
      </c>
      <c r="D276" s="2" t="s">
        <v>73</v>
      </c>
      <c r="E276" s="2" t="s">
        <v>89</v>
      </c>
      <c r="F276" s="6" t="s">
        <v>55</v>
      </c>
      <c r="G276" s="10">
        <f t="shared" si="12"/>
        <v>2024</v>
      </c>
      <c r="H276" s="10">
        <f t="shared" si="13"/>
        <v>1</v>
      </c>
      <c r="I276" s="10">
        <f t="shared" si="14"/>
        <v>8</v>
      </c>
      <c r="J276" s="9" t="s">
        <v>457</v>
      </c>
      <c r="K276" s="2" t="s">
        <v>64</v>
      </c>
      <c r="L276" s="2">
        <v>428.94</v>
      </c>
      <c r="M276" s="2" t="s">
        <v>65</v>
      </c>
      <c r="N276" s="2" t="s">
        <v>26</v>
      </c>
      <c r="O276" s="2">
        <v>16</v>
      </c>
      <c r="P276" s="2"/>
    </row>
    <row r="277" spans="2:16" ht="21" hidden="1" x14ac:dyDescent="0.55000000000000004">
      <c r="B277" s="2" t="s">
        <v>838</v>
      </c>
      <c r="C277" s="2" t="s">
        <v>839</v>
      </c>
      <c r="D277" s="2" t="s">
        <v>23</v>
      </c>
      <c r="E277" s="2" t="s">
        <v>61</v>
      </c>
      <c r="F277" s="6" t="s">
        <v>31</v>
      </c>
      <c r="G277" s="10">
        <f t="shared" si="12"/>
        <v>2024</v>
      </c>
      <c r="H277" s="10">
        <f t="shared" si="13"/>
        <v>1</v>
      </c>
      <c r="I277" s="10">
        <f t="shared" si="14"/>
        <v>14</v>
      </c>
      <c r="J277" s="9" t="s">
        <v>840</v>
      </c>
      <c r="K277" s="2" t="s">
        <v>64</v>
      </c>
      <c r="L277" s="2">
        <v>85.63</v>
      </c>
      <c r="M277" s="2" t="s">
        <v>122</v>
      </c>
      <c r="N277" s="2" t="s">
        <v>50</v>
      </c>
      <c r="O277" s="2">
        <v>74</v>
      </c>
      <c r="P277" s="2">
        <v>3</v>
      </c>
    </row>
    <row r="278" spans="2:16" ht="21" hidden="1" x14ac:dyDescent="0.55000000000000004">
      <c r="B278" s="2" t="s">
        <v>841</v>
      </c>
      <c r="C278" s="2" t="s">
        <v>842</v>
      </c>
      <c r="D278" s="2" t="s">
        <v>23</v>
      </c>
      <c r="E278" s="2" t="s">
        <v>37</v>
      </c>
      <c r="F278" s="6" t="s">
        <v>257</v>
      </c>
      <c r="G278" s="10">
        <f t="shared" si="12"/>
        <v>2024</v>
      </c>
      <c r="H278" s="10">
        <f t="shared" si="13"/>
        <v>1</v>
      </c>
      <c r="I278" s="10">
        <f t="shared" si="14"/>
        <v>10</v>
      </c>
      <c r="J278" s="9" t="s">
        <v>843</v>
      </c>
      <c r="K278" s="2" t="s">
        <v>64</v>
      </c>
      <c r="L278" s="2">
        <v>247.39</v>
      </c>
      <c r="M278" s="2" t="s">
        <v>65</v>
      </c>
      <c r="N278" s="2" t="s">
        <v>26</v>
      </c>
      <c r="O278" s="2">
        <v>78</v>
      </c>
      <c r="P278" s="2"/>
    </row>
    <row r="279" spans="2:16" ht="21" hidden="1" x14ac:dyDescent="0.55000000000000004">
      <c r="B279" s="2" t="s">
        <v>844</v>
      </c>
      <c r="C279" s="2" t="s">
        <v>845</v>
      </c>
      <c r="D279" s="2" t="s">
        <v>60</v>
      </c>
      <c r="E279" s="2" t="s">
        <v>61</v>
      </c>
      <c r="F279" s="6" t="s">
        <v>238</v>
      </c>
      <c r="G279" s="10">
        <f t="shared" si="12"/>
        <v>2024</v>
      </c>
      <c r="H279" s="10">
        <f t="shared" si="13"/>
        <v>1</v>
      </c>
      <c r="I279" s="10">
        <f t="shared" si="14"/>
        <v>20</v>
      </c>
      <c r="J279" s="9" t="s">
        <v>846</v>
      </c>
      <c r="K279" s="2" t="s">
        <v>40</v>
      </c>
      <c r="L279" s="2">
        <v>335.26</v>
      </c>
      <c r="M279" s="2" t="s">
        <v>122</v>
      </c>
      <c r="N279" s="2" t="s">
        <v>50</v>
      </c>
      <c r="O279" s="2">
        <v>54</v>
      </c>
      <c r="P279" s="2">
        <v>5</v>
      </c>
    </row>
    <row r="280" spans="2:16" ht="21" hidden="1" x14ac:dyDescent="0.55000000000000004">
      <c r="B280" s="2" t="s">
        <v>847</v>
      </c>
      <c r="C280" s="2" t="s">
        <v>848</v>
      </c>
      <c r="D280" s="2" t="s">
        <v>14</v>
      </c>
      <c r="E280" s="2" t="s">
        <v>80</v>
      </c>
      <c r="F280" s="6" t="s">
        <v>302</v>
      </c>
      <c r="G280" s="10">
        <f t="shared" si="12"/>
        <v>2024</v>
      </c>
      <c r="H280" s="10">
        <f t="shared" si="13"/>
        <v>1</v>
      </c>
      <c r="I280" s="10">
        <f t="shared" si="14"/>
        <v>2</v>
      </c>
      <c r="J280" s="9" t="s">
        <v>849</v>
      </c>
      <c r="K280" s="2" t="s">
        <v>18</v>
      </c>
      <c r="L280" s="2">
        <v>102.94</v>
      </c>
      <c r="M280" s="2" t="s">
        <v>65</v>
      </c>
      <c r="N280" s="2" t="s">
        <v>26</v>
      </c>
      <c r="O280" s="2">
        <v>53</v>
      </c>
      <c r="P280" s="2">
        <v>5</v>
      </c>
    </row>
    <row r="281" spans="2:16" ht="21" hidden="1" x14ac:dyDescent="0.55000000000000004">
      <c r="B281" s="2" t="s">
        <v>850</v>
      </c>
      <c r="C281" s="2" t="s">
        <v>851</v>
      </c>
      <c r="D281" s="2" t="s">
        <v>53</v>
      </c>
      <c r="E281" s="2" t="s">
        <v>89</v>
      </c>
      <c r="F281" s="6" t="s">
        <v>132</v>
      </c>
      <c r="G281" s="10">
        <f t="shared" si="12"/>
        <v>2024</v>
      </c>
      <c r="H281" s="10">
        <f t="shared" si="13"/>
        <v>1</v>
      </c>
      <c r="I281" s="10">
        <f t="shared" si="14"/>
        <v>6</v>
      </c>
      <c r="J281" s="9" t="s">
        <v>98</v>
      </c>
      <c r="K281" s="2" t="s">
        <v>57</v>
      </c>
      <c r="L281" s="2">
        <v>430.34</v>
      </c>
      <c r="M281" s="2" t="s">
        <v>49</v>
      </c>
      <c r="N281" s="2" t="s">
        <v>20</v>
      </c>
      <c r="O281" s="2">
        <v>51</v>
      </c>
      <c r="P281" s="2"/>
    </row>
    <row r="282" spans="2:16" ht="21" hidden="1" x14ac:dyDescent="0.55000000000000004">
      <c r="B282" s="2" t="s">
        <v>852</v>
      </c>
      <c r="C282" s="2" t="s">
        <v>853</v>
      </c>
      <c r="D282" s="2" t="s">
        <v>44</v>
      </c>
      <c r="E282" s="2" t="s">
        <v>61</v>
      </c>
      <c r="F282" s="6" t="s">
        <v>31</v>
      </c>
      <c r="G282" s="10">
        <f t="shared" si="12"/>
        <v>2024</v>
      </c>
      <c r="H282" s="10">
        <f t="shared" si="13"/>
        <v>1</v>
      </c>
      <c r="I282" s="10">
        <f t="shared" si="14"/>
        <v>14</v>
      </c>
      <c r="J282" s="9" t="s">
        <v>854</v>
      </c>
      <c r="K282" s="2" t="s">
        <v>57</v>
      </c>
      <c r="L282" s="2">
        <v>299.7</v>
      </c>
      <c r="M282" s="2" t="s">
        <v>49</v>
      </c>
      <c r="N282" s="2" t="s">
        <v>20</v>
      </c>
      <c r="O282" s="2">
        <v>29</v>
      </c>
      <c r="P282" s="2">
        <v>5</v>
      </c>
    </row>
    <row r="283" spans="2:16" ht="21" hidden="1" x14ac:dyDescent="0.55000000000000004">
      <c r="B283" s="2" t="s">
        <v>855</v>
      </c>
      <c r="C283" s="2" t="s">
        <v>856</v>
      </c>
      <c r="D283" s="2" t="s">
        <v>23</v>
      </c>
      <c r="E283" s="2" t="s">
        <v>45</v>
      </c>
      <c r="F283" s="6" t="s">
        <v>154</v>
      </c>
      <c r="G283" s="10">
        <f t="shared" si="12"/>
        <v>2024</v>
      </c>
      <c r="H283" s="10">
        <f t="shared" si="13"/>
        <v>1</v>
      </c>
      <c r="I283" s="10">
        <f t="shared" si="14"/>
        <v>22</v>
      </c>
      <c r="J283" s="9" t="s">
        <v>857</v>
      </c>
      <c r="K283" s="2" t="s">
        <v>64</v>
      </c>
      <c r="L283" s="2">
        <v>446.52</v>
      </c>
      <c r="M283" s="2" t="s">
        <v>65</v>
      </c>
      <c r="N283" s="2" t="s">
        <v>20</v>
      </c>
      <c r="O283" s="2">
        <v>38</v>
      </c>
      <c r="P283" s="2">
        <v>2</v>
      </c>
    </row>
    <row r="284" spans="2:16" ht="21" hidden="1" x14ac:dyDescent="0.55000000000000004">
      <c r="B284" s="2" t="s">
        <v>858</v>
      </c>
      <c r="C284" s="2" t="s">
        <v>859</v>
      </c>
      <c r="D284" s="2" t="s">
        <v>73</v>
      </c>
      <c r="E284" s="2" t="s">
        <v>37</v>
      </c>
      <c r="F284" s="6" t="s">
        <v>129</v>
      </c>
      <c r="G284" s="10">
        <f t="shared" si="12"/>
        <v>2024</v>
      </c>
      <c r="H284" s="10">
        <f t="shared" si="13"/>
        <v>1</v>
      </c>
      <c r="I284" s="10">
        <f t="shared" si="14"/>
        <v>19</v>
      </c>
      <c r="J284" s="9" t="s">
        <v>860</v>
      </c>
      <c r="K284" s="2" t="s">
        <v>57</v>
      </c>
      <c r="L284" s="2">
        <v>392.04</v>
      </c>
      <c r="M284" s="2" t="s">
        <v>49</v>
      </c>
      <c r="N284" s="2" t="s">
        <v>26</v>
      </c>
      <c r="O284" s="2">
        <v>45</v>
      </c>
      <c r="P284" s="2"/>
    </row>
    <row r="285" spans="2:16" ht="21" hidden="1" x14ac:dyDescent="0.55000000000000004">
      <c r="B285" s="2" t="s">
        <v>861</v>
      </c>
      <c r="C285" s="2" t="s">
        <v>862</v>
      </c>
      <c r="D285" s="2" t="s">
        <v>53</v>
      </c>
      <c r="E285" s="2" t="s">
        <v>74</v>
      </c>
      <c r="F285" s="6" t="s">
        <v>97</v>
      </c>
      <c r="G285" s="10">
        <f t="shared" si="12"/>
        <v>2024</v>
      </c>
      <c r="H285" s="10">
        <f t="shared" si="13"/>
        <v>1</v>
      </c>
      <c r="I285" s="10">
        <f t="shared" si="14"/>
        <v>23</v>
      </c>
      <c r="J285" s="9" t="s">
        <v>863</v>
      </c>
      <c r="K285" s="2" t="s">
        <v>57</v>
      </c>
      <c r="L285" s="2">
        <v>401.06</v>
      </c>
      <c r="M285" s="2" t="s">
        <v>122</v>
      </c>
      <c r="N285" s="2" t="s">
        <v>26</v>
      </c>
      <c r="O285" s="2">
        <v>42</v>
      </c>
      <c r="P285" s="2">
        <v>4</v>
      </c>
    </row>
    <row r="286" spans="2:16" ht="21" hidden="1" x14ac:dyDescent="0.55000000000000004">
      <c r="B286" s="2" t="s">
        <v>864</v>
      </c>
      <c r="C286" s="2" t="s">
        <v>865</v>
      </c>
      <c r="D286" s="2" t="s">
        <v>73</v>
      </c>
      <c r="E286" s="2" t="s">
        <v>80</v>
      </c>
      <c r="F286" s="6" t="s">
        <v>129</v>
      </c>
      <c r="G286" s="10">
        <f t="shared" si="12"/>
        <v>2024</v>
      </c>
      <c r="H286" s="10">
        <f t="shared" si="13"/>
        <v>1</v>
      </c>
      <c r="I286" s="10">
        <f t="shared" si="14"/>
        <v>19</v>
      </c>
      <c r="J286" s="9" t="s">
        <v>866</v>
      </c>
      <c r="K286" s="2" t="s">
        <v>64</v>
      </c>
      <c r="L286" s="2">
        <v>371.11</v>
      </c>
      <c r="M286" s="2" t="s">
        <v>49</v>
      </c>
      <c r="N286" s="2" t="s">
        <v>41</v>
      </c>
      <c r="O286" s="2">
        <v>76</v>
      </c>
      <c r="P286" s="2">
        <v>5</v>
      </c>
    </row>
    <row r="287" spans="2:16" ht="21" hidden="1" x14ac:dyDescent="0.55000000000000004">
      <c r="B287" s="2" t="s">
        <v>867</v>
      </c>
      <c r="C287" s="2" t="s">
        <v>868</v>
      </c>
      <c r="D287" s="2" t="s">
        <v>117</v>
      </c>
      <c r="E287" s="2" t="s">
        <v>15</v>
      </c>
      <c r="F287" s="6" t="s">
        <v>85</v>
      </c>
      <c r="G287" s="10">
        <f t="shared" si="12"/>
        <v>2024</v>
      </c>
      <c r="H287" s="10">
        <f t="shared" si="13"/>
        <v>1</v>
      </c>
      <c r="I287" s="10">
        <f t="shared" si="14"/>
        <v>16</v>
      </c>
      <c r="J287" s="9" t="s">
        <v>869</v>
      </c>
      <c r="K287" s="2" t="s">
        <v>33</v>
      </c>
      <c r="L287" s="2">
        <v>387</v>
      </c>
      <c r="M287" s="2" t="s">
        <v>122</v>
      </c>
      <c r="N287" s="2" t="s">
        <v>20</v>
      </c>
      <c r="O287" s="2">
        <v>76</v>
      </c>
      <c r="P287" s="2">
        <v>3</v>
      </c>
    </row>
    <row r="288" spans="2:16" ht="21" hidden="1" x14ac:dyDescent="0.55000000000000004">
      <c r="B288" s="2" t="s">
        <v>870</v>
      </c>
      <c r="C288" s="2" t="s">
        <v>871</v>
      </c>
      <c r="D288" s="2" t="s">
        <v>68</v>
      </c>
      <c r="E288" s="2" t="s">
        <v>139</v>
      </c>
      <c r="F288" s="6" t="s">
        <v>302</v>
      </c>
      <c r="G288" s="10">
        <f t="shared" si="12"/>
        <v>2024</v>
      </c>
      <c r="H288" s="10">
        <f t="shared" si="13"/>
        <v>1</v>
      </c>
      <c r="I288" s="10">
        <f t="shared" si="14"/>
        <v>2</v>
      </c>
      <c r="J288" s="9" t="s">
        <v>32</v>
      </c>
      <c r="K288" s="2" t="s">
        <v>40</v>
      </c>
      <c r="L288" s="2">
        <v>126.54</v>
      </c>
      <c r="M288" s="2" t="s">
        <v>49</v>
      </c>
      <c r="N288" s="2" t="s">
        <v>41</v>
      </c>
      <c r="O288" s="2">
        <v>85</v>
      </c>
      <c r="P288" s="2">
        <v>5</v>
      </c>
    </row>
    <row r="289" spans="2:16" ht="21" hidden="1" x14ac:dyDescent="0.55000000000000004">
      <c r="B289" s="2" t="s">
        <v>872</v>
      </c>
      <c r="C289" s="2" t="s">
        <v>873</v>
      </c>
      <c r="D289" s="2" t="s">
        <v>44</v>
      </c>
      <c r="E289" s="2" t="s">
        <v>37</v>
      </c>
      <c r="F289" s="6" t="s">
        <v>129</v>
      </c>
      <c r="G289" s="10">
        <f t="shared" si="12"/>
        <v>2024</v>
      </c>
      <c r="H289" s="10">
        <f t="shared" si="13"/>
        <v>1</v>
      </c>
      <c r="I289" s="10">
        <f t="shared" si="14"/>
        <v>19</v>
      </c>
      <c r="J289" s="9" t="s">
        <v>874</v>
      </c>
      <c r="K289" s="2" t="s">
        <v>33</v>
      </c>
      <c r="L289" s="2">
        <v>460.57</v>
      </c>
      <c r="M289" s="2" t="s">
        <v>65</v>
      </c>
      <c r="N289" s="2" t="s">
        <v>41</v>
      </c>
      <c r="O289" s="2">
        <v>40</v>
      </c>
      <c r="P289" s="2"/>
    </row>
    <row r="290" spans="2:16" ht="21" hidden="1" x14ac:dyDescent="0.55000000000000004">
      <c r="B290" s="2" t="s">
        <v>875</v>
      </c>
      <c r="C290" s="2" t="s">
        <v>876</v>
      </c>
      <c r="D290" s="2" t="s">
        <v>68</v>
      </c>
      <c r="E290" s="2" t="s">
        <v>139</v>
      </c>
      <c r="F290" s="6" t="s">
        <v>238</v>
      </c>
      <c r="G290" s="10">
        <f t="shared" si="12"/>
        <v>2024</v>
      </c>
      <c r="H290" s="10">
        <f t="shared" si="13"/>
        <v>1</v>
      </c>
      <c r="I290" s="10">
        <f t="shared" si="14"/>
        <v>20</v>
      </c>
      <c r="J290" s="9" t="s">
        <v>226</v>
      </c>
      <c r="K290" s="2" t="s">
        <v>91</v>
      </c>
      <c r="L290" s="2">
        <v>425</v>
      </c>
      <c r="M290" s="2" t="s">
        <v>122</v>
      </c>
      <c r="N290" s="2" t="s">
        <v>41</v>
      </c>
      <c r="O290" s="2">
        <v>61</v>
      </c>
      <c r="P290" s="2">
        <v>4</v>
      </c>
    </row>
    <row r="291" spans="2:16" ht="21" x14ac:dyDescent="0.55000000000000004">
      <c r="B291" s="2" t="s">
        <v>877</v>
      </c>
      <c r="C291" s="2" t="s">
        <v>878</v>
      </c>
      <c r="D291" s="2" t="s">
        <v>117</v>
      </c>
      <c r="E291" s="2" t="s">
        <v>54</v>
      </c>
      <c r="F291" s="6" t="s">
        <v>302</v>
      </c>
      <c r="G291" s="10">
        <f t="shared" si="12"/>
        <v>2024</v>
      </c>
      <c r="H291" s="10">
        <f t="shared" si="13"/>
        <v>1</v>
      </c>
      <c r="I291" s="10">
        <f t="shared" si="14"/>
        <v>2</v>
      </c>
      <c r="J291" s="9" t="s">
        <v>879</v>
      </c>
      <c r="K291" s="2" t="s">
        <v>91</v>
      </c>
      <c r="L291" s="2">
        <v>66.400000000000006</v>
      </c>
      <c r="M291" s="2" t="s">
        <v>65</v>
      </c>
      <c r="N291" s="2" t="s">
        <v>20</v>
      </c>
      <c r="O291" s="2">
        <v>20</v>
      </c>
      <c r="P291" s="2">
        <v>5</v>
      </c>
    </row>
    <row r="292" spans="2:16" ht="21" hidden="1" x14ac:dyDescent="0.55000000000000004">
      <c r="B292" s="2" t="s">
        <v>880</v>
      </c>
      <c r="C292" s="2" t="s">
        <v>881</v>
      </c>
      <c r="D292" s="2" t="s">
        <v>106</v>
      </c>
      <c r="E292" s="2" t="s">
        <v>80</v>
      </c>
      <c r="F292" s="6" t="s">
        <v>144</v>
      </c>
      <c r="G292" s="10">
        <f t="shared" si="12"/>
        <v>2024</v>
      </c>
      <c r="H292" s="10">
        <f t="shared" si="13"/>
        <v>1</v>
      </c>
      <c r="I292" s="10">
        <f t="shared" si="14"/>
        <v>7</v>
      </c>
      <c r="J292" s="9" t="s">
        <v>882</v>
      </c>
      <c r="K292" s="2" t="s">
        <v>57</v>
      </c>
      <c r="L292" s="2">
        <v>343.16</v>
      </c>
      <c r="M292" s="2" t="s">
        <v>19</v>
      </c>
      <c r="N292" s="2" t="s">
        <v>20</v>
      </c>
      <c r="O292" s="2">
        <v>23</v>
      </c>
      <c r="P292" s="2">
        <v>1</v>
      </c>
    </row>
    <row r="293" spans="2:16" ht="21" hidden="1" x14ac:dyDescent="0.55000000000000004">
      <c r="B293" s="2" t="s">
        <v>883</v>
      </c>
      <c r="C293" s="2" t="s">
        <v>552</v>
      </c>
      <c r="D293" s="2" t="s">
        <v>44</v>
      </c>
      <c r="E293" s="2" t="s">
        <v>139</v>
      </c>
      <c r="F293" s="6" t="s">
        <v>302</v>
      </c>
      <c r="G293" s="10">
        <f t="shared" si="12"/>
        <v>2024</v>
      </c>
      <c r="H293" s="10">
        <f t="shared" si="13"/>
        <v>1</v>
      </c>
      <c r="I293" s="10">
        <f t="shared" si="14"/>
        <v>2</v>
      </c>
      <c r="J293" s="9" t="s">
        <v>843</v>
      </c>
      <c r="K293" s="2" t="s">
        <v>77</v>
      </c>
      <c r="L293" s="2">
        <v>276.95</v>
      </c>
      <c r="M293" s="2" t="s">
        <v>65</v>
      </c>
      <c r="N293" s="2" t="s">
        <v>50</v>
      </c>
      <c r="O293" s="2">
        <v>76</v>
      </c>
      <c r="P293" s="2">
        <v>1</v>
      </c>
    </row>
    <row r="294" spans="2:16" ht="21" hidden="1" x14ac:dyDescent="0.55000000000000004">
      <c r="B294" s="2" t="s">
        <v>884</v>
      </c>
      <c r="C294" s="2" t="s">
        <v>885</v>
      </c>
      <c r="D294" s="2" t="s">
        <v>106</v>
      </c>
      <c r="E294" s="2" t="s">
        <v>80</v>
      </c>
      <c r="F294" s="6" t="s">
        <v>154</v>
      </c>
      <c r="G294" s="10">
        <f t="shared" si="12"/>
        <v>2024</v>
      </c>
      <c r="H294" s="10">
        <f t="shared" si="13"/>
        <v>1</v>
      </c>
      <c r="I294" s="10">
        <f t="shared" si="14"/>
        <v>22</v>
      </c>
      <c r="J294" s="9" t="s">
        <v>886</v>
      </c>
      <c r="K294" s="2" t="s">
        <v>48</v>
      </c>
      <c r="L294" s="2">
        <v>87.06</v>
      </c>
      <c r="M294" s="2" t="s">
        <v>49</v>
      </c>
      <c r="N294" s="2" t="s">
        <v>20</v>
      </c>
      <c r="O294" s="2">
        <v>27</v>
      </c>
      <c r="P294" s="2">
        <v>4</v>
      </c>
    </row>
    <row r="295" spans="2:16" ht="21" x14ac:dyDescent="0.55000000000000004">
      <c r="B295" s="2" t="s">
        <v>887</v>
      </c>
      <c r="C295" s="2" t="s">
        <v>888</v>
      </c>
      <c r="D295" s="2" t="s">
        <v>44</v>
      </c>
      <c r="E295" s="2" t="s">
        <v>54</v>
      </c>
      <c r="F295" s="6" t="s">
        <v>140</v>
      </c>
      <c r="G295" s="10">
        <f t="shared" si="12"/>
        <v>2024</v>
      </c>
      <c r="H295" s="10">
        <f t="shared" si="13"/>
        <v>1</v>
      </c>
      <c r="I295" s="10">
        <f t="shared" si="14"/>
        <v>29</v>
      </c>
      <c r="J295" s="9" t="s">
        <v>889</v>
      </c>
      <c r="K295" s="2" t="s">
        <v>33</v>
      </c>
      <c r="L295" s="2">
        <v>207.28</v>
      </c>
      <c r="M295" s="2" t="s">
        <v>65</v>
      </c>
      <c r="N295" s="2" t="s">
        <v>41</v>
      </c>
      <c r="O295" s="2">
        <v>87</v>
      </c>
      <c r="P295" s="2">
        <v>5</v>
      </c>
    </row>
    <row r="296" spans="2:16" ht="21" hidden="1" x14ac:dyDescent="0.55000000000000004">
      <c r="B296" s="2" t="s">
        <v>890</v>
      </c>
      <c r="C296" s="2" t="s">
        <v>891</v>
      </c>
      <c r="D296" s="2" t="s">
        <v>106</v>
      </c>
      <c r="E296" s="2" t="s">
        <v>80</v>
      </c>
      <c r="F296" s="6" t="s">
        <v>118</v>
      </c>
      <c r="G296" s="10">
        <f t="shared" si="12"/>
        <v>2024</v>
      </c>
      <c r="H296" s="10">
        <f t="shared" si="13"/>
        <v>1</v>
      </c>
      <c r="I296" s="10">
        <f t="shared" si="14"/>
        <v>24</v>
      </c>
      <c r="J296" s="9" t="s">
        <v>892</v>
      </c>
      <c r="K296" s="2" t="s">
        <v>57</v>
      </c>
      <c r="L296" s="2">
        <v>156.06</v>
      </c>
      <c r="M296" s="2" t="s">
        <v>19</v>
      </c>
      <c r="N296" s="2" t="s">
        <v>20</v>
      </c>
      <c r="O296" s="2">
        <v>86</v>
      </c>
      <c r="P296" s="2">
        <v>2</v>
      </c>
    </row>
    <row r="297" spans="2:16" ht="21" hidden="1" x14ac:dyDescent="0.55000000000000004">
      <c r="B297" s="2" t="s">
        <v>893</v>
      </c>
      <c r="C297" s="2" t="s">
        <v>894</v>
      </c>
      <c r="D297" s="2" t="s">
        <v>73</v>
      </c>
      <c r="E297" s="2" t="s">
        <v>139</v>
      </c>
      <c r="F297" s="6" t="s">
        <v>113</v>
      </c>
      <c r="G297" s="10">
        <f t="shared" si="12"/>
        <v>2024</v>
      </c>
      <c r="H297" s="10">
        <f t="shared" si="13"/>
        <v>1</v>
      </c>
      <c r="I297" s="10">
        <f t="shared" si="14"/>
        <v>15</v>
      </c>
      <c r="J297" s="9" t="s">
        <v>434</v>
      </c>
      <c r="K297" s="2" t="s">
        <v>57</v>
      </c>
      <c r="L297" s="2">
        <v>302.89</v>
      </c>
      <c r="M297" s="2" t="s">
        <v>122</v>
      </c>
      <c r="N297" s="2" t="s">
        <v>41</v>
      </c>
      <c r="O297" s="2">
        <v>18</v>
      </c>
      <c r="P297" s="2">
        <v>2</v>
      </c>
    </row>
    <row r="298" spans="2:16" ht="21" hidden="1" x14ac:dyDescent="0.55000000000000004">
      <c r="B298" s="2" t="s">
        <v>895</v>
      </c>
      <c r="C298" s="2" t="s">
        <v>896</v>
      </c>
      <c r="D298" s="2" t="s">
        <v>73</v>
      </c>
      <c r="E298" s="2" t="s">
        <v>74</v>
      </c>
      <c r="F298" s="6" t="s">
        <v>257</v>
      </c>
      <c r="G298" s="10">
        <f t="shared" si="12"/>
        <v>2024</v>
      </c>
      <c r="H298" s="10">
        <f t="shared" si="13"/>
        <v>1</v>
      </c>
      <c r="I298" s="10">
        <f t="shared" si="14"/>
        <v>10</v>
      </c>
      <c r="J298" s="9" t="s">
        <v>502</v>
      </c>
      <c r="K298" s="2" t="s">
        <v>57</v>
      </c>
      <c r="L298" s="2">
        <v>228.44</v>
      </c>
      <c r="M298" s="2" t="s">
        <v>19</v>
      </c>
      <c r="N298" s="2" t="s">
        <v>20</v>
      </c>
      <c r="O298" s="2">
        <v>83</v>
      </c>
      <c r="P298" s="2">
        <v>5</v>
      </c>
    </row>
    <row r="299" spans="2:16" ht="21" hidden="1" x14ac:dyDescent="0.55000000000000004">
      <c r="B299" s="2" t="s">
        <v>897</v>
      </c>
      <c r="C299" s="2" t="s">
        <v>898</v>
      </c>
      <c r="D299" s="2" t="s">
        <v>117</v>
      </c>
      <c r="E299" s="2" t="s">
        <v>61</v>
      </c>
      <c r="F299" s="6" t="s">
        <v>113</v>
      </c>
      <c r="G299" s="10">
        <f t="shared" si="12"/>
        <v>2024</v>
      </c>
      <c r="H299" s="10">
        <f t="shared" si="13"/>
        <v>1</v>
      </c>
      <c r="I299" s="10">
        <f t="shared" si="14"/>
        <v>15</v>
      </c>
      <c r="J299" s="9" t="s">
        <v>574</v>
      </c>
      <c r="K299" s="2" t="s">
        <v>33</v>
      </c>
      <c r="L299" s="2">
        <v>197.32</v>
      </c>
      <c r="M299" s="2" t="s">
        <v>49</v>
      </c>
      <c r="N299" s="2" t="s">
        <v>20</v>
      </c>
      <c r="O299" s="2">
        <v>88</v>
      </c>
      <c r="P299" s="2"/>
    </row>
    <row r="300" spans="2:16" ht="21" hidden="1" x14ac:dyDescent="0.55000000000000004">
      <c r="B300" s="2" t="s">
        <v>899</v>
      </c>
      <c r="C300" s="2" t="s">
        <v>900</v>
      </c>
      <c r="D300" s="2" t="s">
        <v>14</v>
      </c>
      <c r="E300" s="2" t="s">
        <v>15</v>
      </c>
      <c r="F300" s="6" t="s">
        <v>129</v>
      </c>
      <c r="G300" s="10">
        <f t="shared" si="12"/>
        <v>2024</v>
      </c>
      <c r="H300" s="10">
        <f t="shared" si="13"/>
        <v>1</v>
      </c>
      <c r="I300" s="10">
        <f t="shared" si="14"/>
        <v>19</v>
      </c>
      <c r="J300" s="9" t="s">
        <v>901</v>
      </c>
      <c r="K300" s="2" t="s">
        <v>64</v>
      </c>
      <c r="L300" s="2">
        <v>284.83</v>
      </c>
      <c r="M300" s="2" t="s">
        <v>49</v>
      </c>
      <c r="N300" s="2" t="s">
        <v>20</v>
      </c>
      <c r="O300" s="2">
        <v>41</v>
      </c>
      <c r="P300" s="2">
        <v>4</v>
      </c>
    </row>
    <row r="301" spans="2:16" ht="21" hidden="1" x14ac:dyDescent="0.55000000000000004">
      <c r="B301" s="2" t="s">
        <v>902</v>
      </c>
      <c r="C301" s="2" t="s">
        <v>903</v>
      </c>
      <c r="D301" s="2" t="s">
        <v>73</v>
      </c>
      <c r="E301" s="2" t="s">
        <v>125</v>
      </c>
      <c r="F301" s="6" t="s">
        <v>140</v>
      </c>
      <c r="G301" s="10">
        <f t="shared" si="12"/>
        <v>2024</v>
      </c>
      <c r="H301" s="10">
        <f t="shared" si="13"/>
        <v>1</v>
      </c>
      <c r="I301" s="10">
        <f t="shared" si="14"/>
        <v>29</v>
      </c>
      <c r="J301" s="9" t="s">
        <v>378</v>
      </c>
      <c r="K301" s="2" t="s">
        <v>77</v>
      </c>
      <c r="L301" s="2">
        <v>182.7</v>
      </c>
      <c r="M301" s="2" t="s">
        <v>65</v>
      </c>
      <c r="N301" s="2" t="s">
        <v>50</v>
      </c>
      <c r="O301" s="2">
        <v>63</v>
      </c>
      <c r="P301" s="2">
        <v>4</v>
      </c>
    </row>
    <row r="302" spans="2:16" ht="21" hidden="1" x14ac:dyDescent="0.55000000000000004">
      <c r="B302" s="2" t="s">
        <v>904</v>
      </c>
      <c r="C302" s="2" t="s">
        <v>905</v>
      </c>
      <c r="D302" s="2" t="s">
        <v>68</v>
      </c>
      <c r="E302" s="2" t="s">
        <v>139</v>
      </c>
      <c r="F302" s="6" t="s">
        <v>102</v>
      </c>
      <c r="G302" s="10">
        <f t="shared" si="12"/>
        <v>2024</v>
      </c>
      <c r="H302" s="10">
        <f t="shared" si="13"/>
        <v>1</v>
      </c>
      <c r="I302" s="10">
        <f t="shared" si="14"/>
        <v>26</v>
      </c>
      <c r="J302" s="9" t="s">
        <v>906</v>
      </c>
      <c r="K302" s="2" t="s">
        <v>40</v>
      </c>
      <c r="L302" s="2">
        <v>349.97</v>
      </c>
      <c r="M302" s="2" t="s">
        <v>122</v>
      </c>
      <c r="N302" s="2" t="s">
        <v>20</v>
      </c>
      <c r="O302" s="2">
        <v>21</v>
      </c>
      <c r="P302" s="2">
        <v>5</v>
      </c>
    </row>
    <row r="303" spans="2:16" ht="21" hidden="1" x14ac:dyDescent="0.55000000000000004">
      <c r="B303" s="2" t="s">
        <v>907</v>
      </c>
      <c r="C303" s="2" t="s">
        <v>908</v>
      </c>
      <c r="D303" s="2" t="s">
        <v>73</v>
      </c>
      <c r="E303" s="2" t="s">
        <v>61</v>
      </c>
      <c r="F303" s="6" t="s">
        <v>16</v>
      </c>
      <c r="G303" s="10">
        <f t="shared" si="12"/>
        <v>2024</v>
      </c>
      <c r="H303" s="10">
        <f t="shared" si="13"/>
        <v>1</v>
      </c>
      <c r="I303" s="10">
        <f t="shared" si="14"/>
        <v>9</v>
      </c>
      <c r="J303" s="9" t="s">
        <v>909</v>
      </c>
      <c r="K303" s="2" t="s">
        <v>77</v>
      </c>
      <c r="L303" s="2">
        <v>458.23</v>
      </c>
      <c r="M303" s="2" t="s">
        <v>49</v>
      </c>
      <c r="N303" s="2" t="s">
        <v>50</v>
      </c>
      <c r="O303" s="2">
        <v>89</v>
      </c>
      <c r="P303" s="2">
        <v>4</v>
      </c>
    </row>
    <row r="304" spans="2:16" ht="21" hidden="1" x14ac:dyDescent="0.55000000000000004">
      <c r="B304" s="2" t="s">
        <v>910</v>
      </c>
      <c r="C304" s="2" t="s">
        <v>911</v>
      </c>
      <c r="D304" s="2" t="s">
        <v>44</v>
      </c>
      <c r="E304" s="2" t="s">
        <v>15</v>
      </c>
      <c r="F304" s="6" t="s">
        <v>343</v>
      </c>
      <c r="G304" s="10">
        <f t="shared" si="12"/>
        <v>2024</v>
      </c>
      <c r="H304" s="10">
        <f t="shared" si="13"/>
        <v>1</v>
      </c>
      <c r="I304" s="10">
        <f t="shared" si="14"/>
        <v>13</v>
      </c>
      <c r="J304" s="9" t="s">
        <v>303</v>
      </c>
      <c r="K304" s="2" t="s">
        <v>91</v>
      </c>
      <c r="L304" s="2">
        <v>125.19</v>
      </c>
      <c r="M304" s="2" t="s">
        <v>19</v>
      </c>
      <c r="N304" s="2" t="s">
        <v>26</v>
      </c>
      <c r="O304" s="2">
        <v>77</v>
      </c>
      <c r="P304" s="2">
        <v>4</v>
      </c>
    </row>
    <row r="305" spans="2:16" ht="21" hidden="1" x14ac:dyDescent="0.55000000000000004">
      <c r="B305" s="2" t="s">
        <v>912</v>
      </c>
      <c r="C305" s="2" t="s">
        <v>913</v>
      </c>
      <c r="D305" s="2" t="s">
        <v>117</v>
      </c>
      <c r="E305" s="2" t="s">
        <v>61</v>
      </c>
      <c r="F305" s="6" t="s">
        <v>38</v>
      </c>
      <c r="G305" s="10">
        <f t="shared" si="12"/>
        <v>2024</v>
      </c>
      <c r="H305" s="10">
        <f t="shared" si="13"/>
        <v>1</v>
      </c>
      <c r="I305" s="10">
        <f t="shared" si="14"/>
        <v>11</v>
      </c>
      <c r="J305" s="9" t="s">
        <v>914</v>
      </c>
      <c r="K305" s="2" t="s">
        <v>40</v>
      </c>
      <c r="L305" s="2">
        <v>466.54</v>
      </c>
      <c r="M305" s="2" t="s">
        <v>49</v>
      </c>
      <c r="N305" s="2" t="s">
        <v>26</v>
      </c>
      <c r="O305" s="2">
        <v>87</v>
      </c>
      <c r="P305" s="2">
        <v>5</v>
      </c>
    </row>
    <row r="306" spans="2:16" ht="21" hidden="1" x14ac:dyDescent="0.55000000000000004">
      <c r="B306" s="2" t="s">
        <v>915</v>
      </c>
      <c r="C306" s="2" t="s">
        <v>916</v>
      </c>
      <c r="D306" s="2" t="s">
        <v>44</v>
      </c>
      <c r="E306" s="2" t="s">
        <v>139</v>
      </c>
      <c r="F306" s="6" t="s">
        <v>102</v>
      </c>
      <c r="G306" s="10">
        <f t="shared" si="12"/>
        <v>2024</v>
      </c>
      <c r="H306" s="10">
        <f t="shared" si="13"/>
        <v>1</v>
      </c>
      <c r="I306" s="10">
        <f t="shared" si="14"/>
        <v>26</v>
      </c>
      <c r="J306" s="9" t="s">
        <v>917</v>
      </c>
      <c r="K306" s="2" t="s">
        <v>91</v>
      </c>
      <c r="L306" s="2">
        <v>496.55</v>
      </c>
      <c r="M306" s="2" t="s">
        <v>49</v>
      </c>
      <c r="N306" s="2" t="s">
        <v>41</v>
      </c>
      <c r="O306" s="2">
        <v>77</v>
      </c>
      <c r="P306" s="2">
        <v>1</v>
      </c>
    </row>
    <row r="307" spans="2:16" ht="21" hidden="1" x14ac:dyDescent="0.55000000000000004">
      <c r="B307" s="2" t="s">
        <v>918</v>
      </c>
      <c r="C307" s="2" t="s">
        <v>919</v>
      </c>
      <c r="D307" s="2" t="s">
        <v>60</v>
      </c>
      <c r="E307" s="2" t="s">
        <v>15</v>
      </c>
      <c r="F307" s="6" t="s">
        <v>69</v>
      </c>
      <c r="G307" s="10">
        <f t="shared" si="12"/>
        <v>2024</v>
      </c>
      <c r="H307" s="10">
        <f t="shared" si="13"/>
        <v>1</v>
      </c>
      <c r="I307" s="10">
        <f t="shared" si="14"/>
        <v>27</v>
      </c>
      <c r="J307" s="9" t="s">
        <v>920</v>
      </c>
      <c r="K307" s="2" t="s">
        <v>33</v>
      </c>
      <c r="L307" s="2">
        <v>218.5</v>
      </c>
      <c r="M307" s="2" t="s">
        <v>49</v>
      </c>
      <c r="N307" s="2" t="s">
        <v>26</v>
      </c>
      <c r="O307" s="2">
        <v>52</v>
      </c>
      <c r="P307" s="2">
        <v>1</v>
      </c>
    </row>
    <row r="308" spans="2:16" ht="21" hidden="1" x14ac:dyDescent="0.55000000000000004">
      <c r="B308" s="2" t="s">
        <v>921</v>
      </c>
      <c r="C308" s="2" t="s">
        <v>922</v>
      </c>
      <c r="D308" s="2" t="s">
        <v>53</v>
      </c>
      <c r="E308" s="2" t="s">
        <v>125</v>
      </c>
      <c r="F308" s="6" t="s">
        <v>62</v>
      </c>
      <c r="G308" s="10">
        <f t="shared" si="12"/>
        <v>2024</v>
      </c>
      <c r="H308" s="10">
        <f t="shared" si="13"/>
        <v>1</v>
      </c>
      <c r="I308" s="10">
        <f t="shared" si="14"/>
        <v>31</v>
      </c>
      <c r="J308" s="9" t="s">
        <v>773</v>
      </c>
      <c r="K308" s="2" t="s">
        <v>91</v>
      </c>
      <c r="L308" s="2">
        <v>219.78</v>
      </c>
      <c r="M308" s="2" t="s">
        <v>19</v>
      </c>
      <c r="N308" s="2" t="s">
        <v>20</v>
      </c>
      <c r="O308" s="2">
        <v>36</v>
      </c>
      <c r="P308" s="2">
        <v>2</v>
      </c>
    </row>
    <row r="309" spans="2:16" ht="21" hidden="1" x14ac:dyDescent="0.55000000000000004">
      <c r="B309" s="2" t="s">
        <v>923</v>
      </c>
      <c r="C309" s="2" t="s">
        <v>924</v>
      </c>
      <c r="D309" s="2" t="s">
        <v>44</v>
      </c>
      <c r="E309" s="2" t="s">
        <v>89</v>
      </c>
      <c r="F309" s="6" t="s">
        <v>272</v>
      </c>
      <c r="G309" s="10">
        <f t="shared" si="12"/>
        <v>2024</v>
      </c>
      <c r="H309" s="10">
        <f t="shared" si="13"/>
        <v>1</v>
      </c>
      <c r="I309" s="10">
        <f t="shared" si="14"/>
        <v>1</v>
      </c>
      <c r="J309" s="9" t="s">
        <v>925</v>
      </c>
      <c r="K309" s="2" t="s">
        <v>18</v>
      </c>
      <c r="L309" s="2">
        <v>379.71</v>
      </c>
      <c r="M309" s="2" t="s">
        <v>19</v>
      </c>
      <c r="N309" s="2" t="s">
        <v>20</v>
      </c>
      <c r="O309" s="2">
        <v>18</v>
      </c>
      <c r="P309" s="2">
        <v>2</v>
      </c>
    </row>
    <row r="310" spans="2:16" ht="21" hidden="1" x14ac:dyDescent="0.55000000000000004">
      <c r="B310" s="2" t="s">
        <v>926</v>
      </c>
      <c r="C310" s="2" t="s">
        <v>927</v>
      </c>
      <c r="D310" s="2" t="s">
        <v>73</v>
      </c>
      <c r="E310" s="2" t="s">
        <v>45</v>
      </c>
      <c r="F310" s="6" t="s">
        <v>55</v>
      </c>
      <c r="G310" s="10">
        <f t="shared" si="12"/>
        <v>2024</v>
      </c>
      <c r="H310" s="10">
        <f t="shared" si="13"/>
        <v>1</v>
      </c>
      <c r="I310" s="10">
        <f t="shared" si="14"/>
        <v>8</v>
      </c>
      <c r="J310" s="9" t="s">
        <v>928</v>
      </c>
      <c r="K310" s="2" t="s">
        <v>91</v>
      </c>
      <c r="L310" s="2">
        <v>175.86</v>
      </c>
      <c r="M310" s="2" t="s">
        <v>19</v>
      </c>
      <c r="N310" s="2" t="s">
        <v>26</v>
      </c>
      <c r="O310" s="2">
        <v>19</v>
      </c>
      <c r="P310" s="2">
        <v>3</v>
      </c>
    </row>
    <row r="311" spans="2:16" ht="21" hidden="1" x14ac:dyDescent="0.55000000000000004">
      <c r="B311" s="2" t="s">
        <v>929</v>
      </c>
      <c r="C311" s="2" t="s">
        <v>930</v>
      </c>
      <c r="D311" s="2" t="s">
        <v>106</v>
      </c>
      <c r="E311" s="2" t="s">
        <v>125</v>
      </c>
      <c r="F311" s="6" t="s">
        <v>38</v>
      </c>
      <c r="G311" s="10">
        <f t="shared" si="12"/>
        <v>2024</v>
      </c>
      <c r="H311" s="10">
        <f t="shared" si="13"/>
        <v>1</v>
      </c>
      <c r="I311" s="10">
        <f t="shared" si="14"/>
        <v>11</v>
      </c>
      <c r="J311" s="9" t="s">
        <v>931</v>
      </c>
      <c r="K311" s="2" t="s">
        <v>57</v>
      </c>
      <c r="L311" s="2">
        <v>334.78</v>
      </c>
      <c r="M311" s="2" t="s">
        <v>19</v>
      </c>
      <c r="N311" s="2" t="s">
        <v>41</v>
      </c>
      <c r="O311" s="2">
        <v>37</v>
      </c>
      <c r="P311" s="2">
        <v>5</v>
      </c>
    </row>
    <row r="312" spans="2:16" ht="21" hidden="1" x14ac:dyDescent="0.55000000000000004">
      <c r="B312" s="2" t="s">
        <v>932</v>
      </c>
      <c r="C312" s="2" t="s">
        <v>933</v>
      </c>
      <c r="D312" s="2" t="s">
        <v>73</v>
      </c>
      <c r="E312" s="2" t="s">
        <v>89</v>
      </c>
      <c r="F312" s="6" t="s">
        <v>343</v>
      </c>
      <c r="G312" s="10">
        <f t="shared" si="12"/>
        <v>2024</v>
      </c>
      <c r="H312" s="10">
        <f t="shared" si="13"/>
        <v>1</v>
      </c>
      <c r="I312" s="10">
        <f t="shared" si="14"/>
        <v>13</v>
      </c>
      <c r="J312" s="9" t="s">
        <v>162</v>
      </c>
      <c r="K312" s="2" t="s">
        <v>64</v>
      </c>
      <c r="L312" s="2">
        <v>131.79</v>
      </c>
      <c r="M312" s="2" t="s">
        <v>65</v>
      </c>
      <c r="N312" s="2" t="s">
        <v>41</v>
      </c>
      <c r="O312" s="2">
        <v>35</v>
      </c>
      <c r="P312" s="2"/>
    </row>
    <row r="313" spans="2:16" ht="21" hidden="1" x14ac:dyDescent="0.55000000000000004">
      <c r="B313" s="2" t="s">
        <v>934</v>
      </c>
      <c r="C313" s="2" t="s">
        <v>935</v>
      </c>
      <c r="D313" s="2" t="s">
        <v>53</v>
      </c>
      <c r="E313" s="2" t="s">
        <v>45</v>
      </c>
      <c r="F313" s="6" t="s">
        <v>16</v>
      </c>
      <c r="G313" s="10">
        <f t="shared" si="12"/>
        <v>2024</v>
      </c>
      <c r="H313" s="10">
        <f t="shared" si="13"/>
        <v>1</v>
      </c>
      <c r="I313" s="10">
        <f t="shared" si="14"/>
        <v>9</v>
      </c>
      <c r="J313" s="9" t="s">
        <v>936</v>
      </c>
      <c r="K313" s="2" t="s">
        <v>91</v>
      </c>
      <c r="L313" s="2">
        <v>147.05000000000001</v>
      </c>
      <c r="M313" s="2" t="s">
        <v>49</v>
      </c>
      <c r="N313" s="2" t="s">
        <v>26</v>
      </c>
      <c r="O313" s="2">
        <v>15</v>
      </c>
      <c r="P313" s="2">
        <v>3</v>
      </c>
    </row>
    <row r="314" spans="2:16" ht="21" x14ac:dyDescent="0.55000000000000004">
      <c r="B314" s="2" t="s">
        <v>937</v>
      </c>
      <c r="C314" s="2" t="s">
        <v>938</v>
      </c>
      <c r="D314" s="2" t="s">
        <v>117</v>
      </c>
      <c r="E314" s="2" t="s">
        <v>54</v>
      </c>
      <c r="F314" s="6" t="s">
        <v>24</v>
      </c>
      <c r="G314" s="10">
        <f t="shared" si="12"/>
        <v>2024</v>
      </c>
      <c r="H314" s="10">
        <f t="shared" si="13"/>
        <v>1</v>
      </c>
      <c r="I314" s="10">
        <f t="shared" si="14"/>
        <v>21</v>
      </c>
      <c r="J314" s="9" t="s">
        <v>939</v>
      </c>
      <c r="K314" s="2" t="s">
        <v>57</v>
      </c>
      <c r="L314" s="2">
        <v>218.58</v>
      </c>
      <c r="M314" s="2" t="s">
        <v>19</v>
      </c>
      <c r="N314" s="2" t="s">
        <v>41</v>
      </c>
      <c r="O314" s="2">
        <v>53</v>
      </c>
      <c r="P314" s="2">
        <v>5</v>
      </c>
    </row>
    <row r="315" spans="2:16" ht="21" hidden="1" x14ac:dyDescent="0.55000000000000004">
      <c r="B315" s="2" t="s">
        <v>940</v>
      </c>
      <c r="C315" s="2" t="s">
        <v>941</v>
      </c>
      <c r="D315" s="2" t="s">
        <v>29</v>
      </c>
      <c r="E315" s="2" t="s">
        <v>37</v>
      </c>
      <c r="F315" s="6" t="s">
        <v>349</v>
      </c>
      <c r="G315" s="10">
        <f t="shared" si="12"/>
        <v>2024</v>
      </c>
      <c r="H315" s="10">
        <f t="shared" si="13"/>
        <v>1</v>
      </c>
      <c r="I315" s="10">
        <f t="shared" si="14"/>
        <v>12</v>
      </c>
      <c r="J315" s="9" t="s">
        <v>942</v>
      </c>
      <c r="K315" s="2" t="s">
        <v>57</v>
      </c>
      <c r="L315" s="2">
        <v>208.06</v>
      </c>
      <c r="M315" s="2" t="s">
        <v>65</v>
      </c>
      <c r="N315" s="2" t="s">
        <v>50</v>
      </c>
      <c r="O315" s="2">
        <v>81</v>
      </c>
      <c r="P315" s="2">
        <v>3</v>
      </c>
    </row>
    <row r="316" spans="2:16" ht="21" hidden="1" x14ac:dyDescent="0.55000000000000004">
      <c r="B316" s="2" t="s">
        <v>943</v>
      </c>
      <c r="C316" s="2" t="s">
        <v>944</v>
      </c>
      <c r="D316" s="2" t="s">
        <v>73</v>
      </c>
      <c r="E316" s="2" t="s">
        <v>15</v>
      </c>
      <c r="F316" s="6" t="s">
        <v>46</v>
      </c>
      <c r="G316" s="10">
        <f t="shared" si="12"/>
        <v>2024</v>
      </c>
      <c r="H316" s="10">
        <f t="shared" si="13"/>
        <v>1</v>
      </c>
      <c r="I316" s="10">
        <f t="shared" si="14"/>
        <v>17</v>
      </c>
      <c r="J316" s="9" t="s">
        <v>945</v>
      </c>
      <c r="K316" s="2" t="s">
        <v>64</v>
      </c>
      <c r="L316" s="2">
        <v>270.12</v>
      </c>
      <c r="M316" s="2" t="s">
        <v>49</v>
      </c>
      <c r="N316" s="2" t="s">
        <v>41</v>
      </c>
      <c r="O316" s="2">
        <v>71</v>
      </c>
      <c r="P316" s="2">
        <v>4</v>
      </c>
    </row>
    <row r="317" spans="2:16" ht="21" hidden="1" x14ac:dyDescent="0.55000000000000004">
      <c r="B317" s="2" t="s">
        <v>946</v>
      </c>
      <c r="C317" s="2" t="s">
        <v>947</v>
      </c>
      <c r="D317" s="2" t="s">
        <v>117</v>
      </c>
      <c r="E317" s="2" t="s">
        <v>125</v>
      </c>
      <c r="F317" s="6" t="s">
        <v>129</v>
      </c>
      <c r="G317" s="10">
        <f t="shared" si="12"/>
        <v>2024</v>
      </c>
      <c r="H317" s="10">
        <f t="shared" si="13"/>
        <v>1</v>
      </c>
      <c r="I317" s="10">
        <f t="shared" si="14"/>
        <v>19</v>
      </c>
      <c r="J317" s="9" t="s">
        <v>424</v>
      </c>
      <c r="K317" s="2" t="s">
        <v>64</v>
      </c>
      <c r="L317" s="2">
        <v>499.56</v>
      </c>
      <c r="M317" s="2" t="s">
        <v>122</v>
      </c>
      <c r="N317" s="2" t="s">
        <v>26</v>
      </c>
      <c r="O317" s="2">
        <v>28</v>
      </c>
      <c r="P317" s="2">
        <v>1</v>
      </c>
    </row>
    <row r="318" spans="2:16" ht="21" hidden="1" x14ac:dyDescent="0.55000000000000004">
      <c r="B318" s="2" t="s">
        <v>948</v>
      </c>
      <c r="C318" s="2" t="s">
        <v>949</v>
      </c>
      <c r="D318" s="2" t="s">
        <v>106</v>
      </c>
      <c r="E318" s="2" t="s">
        <v>89</v>
      </c>
      <c r="F318" s="6" t="s">
        <v>302</v>
      </c>
      <c r="G318" s="10">
        <f t="shared" si="12"/>
        <v>2024</v>
      </c>
      <c r="H318" s="10">
        <f t="shared" si="13"/>
        <v>1</v>
      </c>
      <c r="I318" s="10">
        <f t="shared" si="14"/>
        <v>2</v>
      </c>
      <c r="J318" s="9" t="s">
        <v>950</v>
      </c>
      <c r="K318" s="2" t="s">
        <v>40</v>
      </c>
      <c r="L318" s="2">
        <v>373.67</v>
      </c>
      <c r="M318" s="2" t="s">
        <v>49</v>
      </c>
      <c r="N318" s="2" t="s">
        <v>41</v>
      </c>
      <c r="O318" s="2">
        <v>21</v>
      </c>
      <c r="P318" s="2">
        <v>3</v>
      </c>
    </row>
    <row r="319" spans="2:16" ht="21" hidden="1" x14ac:dyDescent="0.55000000000000004">
      <c r="B319" s="2" t="s">
        <v>951</v>
      </c>
      <c r="C319" s="2" t="s">
        <v>952</v>
      </c>
      <c r="D319" s="2" t="s">
        <v>68</v>
      </c>
      <c r="E319" s="2" t="s">
        <v>89</v>
      </c>
      <c r="F319" s="6" t="s">
        <v>62</v>
      </c>
      <c r="G319" s="10">
        <f t="shared" si="12"/>
        <v>2024</v>
      </c>
      <c r="H319" s="10">
        <f t="shared" si="13"/>
        <v>1</v>
      </c>
      <c r="I319" s="10">
        <f t="shared" si="14"/>
        <v>31</v>
      </c>
      <c r="J319" s="9" t="s">
        <v>953</v>
      </c>
      <c r="K319" s="2" t="s">
        <v>40</v>
      </c>
      <c r="L319" s="2">
        <v>73.55</v>
      </c>
      <c r="M319" s="2" t="s">
        <v>19</v>
      </c>
      <c r="N319" s="2" t="s">
        <v>50</v>
      </c>
      <c r="O319" s="2">
        <v>77</v>
      </c>
      <c r="P319" s="2">
        <v>4</v>
      </c>
    </row>
    <row r="320" spans="2:16" ht="21" hidden="1" x14ac:dyDescent="0.55000000000000004">
      <c r="B320" s="2" t="s">
        <v>954</v>
      </c>
      <c r="C320" s="2" t="s">
        <v>955</v>
      </c>
      <c r="D320" s="2" t="s">
        <v>73</v>
      </c>
      <c r="E320" s="2" t="s">
        <v>37</v>
      </c>
      <c r="F320" s="6" t="s">
        <v>118</v>
      </c>
      <c r="G320" s="10">
        <f t="shared" si="12"/>
        <v>2024</v>
      </c>
      <c r="H320" s="10">
        <f t="shared" si="13"/>
        <v>1</v>
      </c>
      <c r="I320" s="10">
        <f t="shared" si="14"/>
        <v>24</v>
      </c>
      <c r="J320" s="9" t="s">
        <v>956</v>
      </c>
      <c r="K320" s="2" t="s">
        <v>48</v>
      </c>
      <c r="L320" s="2">
        <v>54.99</v>
      </c>
      <c r="M320" s="2" t="s">
        <v>122</v>
      </c>
      <c r="N320" s="2" t="s">
        <v>41</v>
      </c>
      <c r="O320" s="2">
        <v>29</v>
      </c>
      <c r="P320" s="2">
        <v>3</v>
      </c>
    </row>
    <row r="321" spans="2:16" ht="21" x14ac:dyDescent="0.55000000000000004">
      <c r="B321" s="2" t="s">
        <v>957</v>
      </c>
      <c r="C321" s="2" t="s">
        <v>958</v>
      </c>
      <c r="D321" s="2" t="s">
        <v>44</v>
      </c>
      <c r="E321" s="2" t="s">
        <v>54</v>
      </c>
      <c r="F321" s="6" t="s">
        <v>113</v>
      </c>
      <c r="G321" s="10">
        <f t="shared" si="12"/>
        <v>2024</v>
      </c>
      <c r="H321" s="10">
        <f t="shared" si="13"/>
        <v>1</v>
      </c>
      <c r="I321" s="10">
        <f t="shared" si="14"/>
        <v>15</v>
      </c>
      <c r="J321" s="9" t="s">
        <v>586</v>
      </c>
      <c r="K321" s="2" t="s">
        <v>64</v>
      </c>
      <c r="L321" s="2">
        <v>238.32</v>
      </c>
      <c r="M321" s="2" t="s">
        <v>122</v>
      </c>
      <c r="N321" s="2" t="s">
        <v>50</v>
      </c>
      <c r="O321" s="2">
        <v>80</v>
      </c>
      <c r="P321" s="2">
        <v>5</v>
      </c>
    </row>
    <row r="322" spans="2:16" ht="21" hidden="1" x14ac:dyDescent="0.55000000000000004">
      <c r="B322" s="2" t="s">
        <v>959</v>
      </c>
      <c r="C322" s="2" t="s">
        <v>960</v>
      </c>
      <c r="D322" s="2" t="s">
        <v>106</v>
      </c>
      <c r="E322" s="2" t="s">
        <v>45</v>
      </c>
      <c r="F322" s="6" t="s">
        <v>62</v>
      </c>
      <c r="G322" s="10">
        <f t="shared" si="12"/>
        <v>2024</v>
      </c>
      <c r="H322" s="10">
        <f t="shared" si="13"/>
        <v>1</v>
      </c>
      <c r="I322" s="10">
        <f t="shared" si="14"/>
        <v>31</v>
      </c>
      <c r="J322" s="9" t="s">
        <v>674</v>
      </c>
      <c r="K322" s="2" t="s">
        <v>91</v>
      </c>
      <c r="L322" s="2">
        <v>86.76</v>
      </c>
      <c r="M322" s="2" t="s">
        <v>65</v>
      </c>
      <c r="N322" s="2" t="s">
        <v>26</v>
      </c>
      <c r="O322" s="2">
        <v>46</v>
      </c>
      <c r="P322" s="2"/>
    </row>
    <row r="323" spans="2:16" ht="21" hidden="1" x14ac:dyDescent="0.55000000000000004">
      <c r="B323" s="2" t="s">
        <v>961</v>
      </c>
      <c r="C323" s="2" t="s">
        <v>962</v>
      </c>
      <c r="D323" s="2" t="s">
        <v>73</v>
      </c>
      <c r="E323" s="2" t="s">
        <v>80</v>
      </c>
      <c r="F323" s="6" t="s">
        <v>132</v>
      </c>
      <c r="G323" s="10">
        <f t="shared" si="12"/>
        <v>2024</v>
      </c>
      <c r="H323" s="10">
        <f t="shared" si="13"/>
        <v>1</v>
      </c>
      <c r="I323" s="10">
        <f t="shared" si="14"/>
        <v>6</v>
      </c>
      <c r="J323" s="9" t="s">
        <v>600</v>
      </c>
      <c r="K323" s="2" t="s">
        <v>64</v>
      </c>
      <c r="L323" s="2">
        <v>92.87</v>
      </c>
      <c r="M323" s="2" t="s">
        <v>122</v>
      </c>
      <c r="N323" s="2" t="s">
        <v>26</v>
      </c>
      <c r="O323" s="2">
        <v>30</v>
      </c>
      <c r="P323" s="2">
        <v>1</v>
      </c>
    </row>
    <row r="324" spans="2:16" ht="21" hidden="1" x14ac:dyDescent="0.55000000000000004">
      <c r="B324" s="2" t="s">
        <v>963</v>
      </c>
      <c r="C324" s="2" t="s">
        <v>964</v>
      </c>
      <c r="D324" s="2" t="s">
        <v>106</v>
      </c>
      <c r="E324" s="2" t="s">
        <v>74</v>
      </c>
      <c r="F324" s="6" t="s">
        <v>132</v>
      </c>
      <c r="G324" s="10">
        <f t="shared" ref="G324:G387" si="15">YEAR(F324)</f>
        <v>2024</v>
      </c>
      <c r="H324" s="10">
        <f t="shared" ref="H324:H387" si="16">MONTH(F324)</f>
        <v>1</v>
      </c>
      <c r="I324" s="10">
        <f t="shared" ref="I324:I387" si="17">DAY(F324)</f>
        <v>6</v>
      </c>
      <c r="J324" s="9" t="s">
        <v>365</v>
      </c>
      <c r="K324" s="2" t="s">
        <v>57</v>
      </c>
      <c r="L324" s="2">
        <v>344.02</v>
      </c>
      <c r="M324" s="2" t="s">
        <v>65</v>
      </c>
      <c r="N324" s="2" t="s">
        <v>41</v>
      </c>
      <c r="O324" s="2">
        <v>88</v>
      </c>
      <c r="P324" s="2"/>
    </row>
    <row r="325" spans="2:16" ht="21" hidden="1" x14ac:dyDescent="0.55000000000000004">
      <c r="B325" s="2" t="s">
        <v>965</v>
      </c>
      <c r="C325" s="2" t="s">
        <v>966</v>
      </c>
      <c r="D325" s="2" t="s">
        <v>60</v>
      </c>
      <c r="E325" s="2" t="s">
        <v>45</v>
      </c>
      <c r="F325" s="6" t="s">
        <v>132</v>
      </c>
      <c r="G325" s="10">
        <f t="shared" si="15"/>
        <v>2024</v>
      </c>
      <c r="H325" s="10">
        <f t="shared" si="16"/>
        <v>1</v>
      </c>
      <c r="I325" s="10">
        <f t="shared" si="17"/>
        <v>6</v>
      </c>
      <c r="J325" s="9" t="s">
        <v>967</v>
      </c>
      <c r="K325" s="2" t="s">
        <v>64</v>
      </c>
      <c r="L325" s="2">
        <v>417.57</v>
      </c>
      <c r="M325" s="2" t="s">
        <v>49</v>
      </c>
      <c r="N325" s="2" t="s">
        <v>41</v>
      </c>
      <c r="O325" s="2">
        <v>61</v>
      </c>
      <c r="P325" s="2">
        <v>1</v>
      </c>
    </row>
    <row r="326" spans="2:16" ht="21" hidden="1" x14ac:dyDescent="0.55000000000000004">
      <c r="B326" s="2" t="s">
        <v>968</v>
      </c>
      <c r="C326" s="2" t="s">
        <v>969</v>
      </c>
      <c r="D326" s="2" t="s">
        <v>14</v>
      </c>
      <c r="E326" s="2" t="s">
        <v>74</v>
      </c>
      <c r="F326" s="6" t="s">
        <v>180</v>
      </c>
      <c r="G326" s="10">
        <f t="shared" si="15"/>
        <v>2024</v>
      </c>
      <c r="H326" s="10">
        <f t="shared" si="16"/>
        <v>1</v>
      </c>
      <c r="I326" s="10">
        <f t="shared" si="17"/>
        <v>28</v>
      </c>
      <c r="J326" s="9" t="s">
        <v>970</v>
      </c>
      <c r="K326" s="2" t="s">
        <v>40</v>
      </c>
      <c r="L326" s="2">
        <v>138.80000000000001</v>
      </c>
      <c r="M326" s="2" t="s">
        <v>65</v>
      </c>
      <c r="N326" s="2" t="s">
        <v>41</v>
      </c>
      <c r="O326" s="2">
        <v>57</v>
      </c>
      <c r="P326" s="2">
        <v>5</v>
      </c>
    </row>
    <row r="327" spans="2:16" ht="21" hidden="1" x14ac:dyDescent="0.55000000000000004">
      <c r="B327" s="2" t="s">
        <v>971</v>
      </c>
      <c r="C327" s="2" t="s">
        <v>972</v>
      </c>
      <c r="D327" s="2" t="s">
        <v>53</v>
      </c>
      <c r="E327" s="2" t="s">
        <v>139</v>
      </c>
      <c r="F327" s="6" t="s">
        <v>46</v>
      </c>
      <c r="G327" s="10">
        <f t="shared" si="15"/>
        <v>2024</v>
      </c>
      <c r="H327" s="10">
        <f t="shared" si="16"/>
        <v>1</v>
      </c>
      <c r="I327" s="10">
        <f t="shared" si="17"/>
        <v>17</v>
      </c>
      <c r="J327" s="9" t="s">
        <v>973</v>
      </c>
      <c r="K327" s="2" t="s">
        <v>33</v>
      </c>
      <c r="L327" s="2">
        <v>88.86</v>
      </c>
      <c r="M327" s="2" t="s">
        <v>49</v>
      </c>
      <c r="N327" s="2" t="s">
        <v>20</v>
      </c>
      <c r="O327" s="2">
        <v>53</v>
      </c>
      <c r="P327" s="2">
        <v>5</v>
      </c>
    </row>
    <row r="328" spans="2:16" ht="21" hidden="1" x14ac:dyDescent="0.55000000000000004">
      <c r="B328" s="2" t="s">
        <v>974</v>
      </c>
      <c r="C328" s="2" t="s">
        <v>975</v>
      </c>
      <c r="D328" s="2" t="s">
        <v>53</v>
      </c>
      <c r="E328" s="2" t="s">
        <v>37</v>
      </c>
      <c r="F328" s="6" t="s">
        <v>62</v>
      </c>
      <c r="G328" s="10">
        <f t="shared" si="15"/>
        <v>2024</v>
      </c>
      <c r="H328" s="10">
        <f t="shared" si="16"/>
        <v>1</v>
      </c>
      <c r="I328" s="10">
        <f t="shared" si="17"/>
        <v>31</v>
      </c>
      <c r="J328" s="9" t="s">
        <v>94</v>
      </c>
      <c r="K328" s="2" t="s">
        <v>64</v>
      </c>
      <c r="L328" s="2">
        <v>60.51</v>
      </c>
      <c r="M328" s="2" t="s">
        <v>19</v>
      </c>
      <c r="N328" s="2" t="s">
        <v>20</v>
      </c>
      <c r="O328" s="2">
        <v>39</v>
      </c>
      <c r="P328" s="2"/>
    </row>
    <row r="329" spans="2:16" ht="21" hidden="1" x14ac:dyDescent="0.55000000000000004">
      <c r="B329" s="2" t="s">
        <v>976</v>
      </c>
      <c r="C329" s="2" t="s">
        <v>977</v>
      </c>
      <c r="D329" s="2" t="s">
        <v>23</v>
      </c>
      <c r="E329" s="2" t="s">
        <v>80</v>
      </c>
      <c r="F329" s="6" t="s">
        <v>161</v>
      </c>
      <c r="G329" s="10">
        <f t="shared" si="15"/>
        <v>2024</v>
      </c>
      <c r="H329" s="10">
        <f t="shared" si="16"/>
        <v>1</v>
      </c>
      <c r="I329" s="10">
        <f t="shared" si="17"/>
        <v>5</v>
      </c>
      <c r="J329" s="9" t="s">
        <v>978</v>
      </c>
      <c r="K329" s="2" t="s">
        <v>33</v>
      </c>
      <c r="L329" s="2">
        <v>399.28</v>
      </c>
      <c r="M329" s="2" t="s">
        <v>49</v>
      </c>
      <c r="N329" s="2" t="s">
        <v>20</v>
      </c>
      <c r="O329" s="2">
        <v>86</v>
      </c>
      <c r="P329" s="2">
        <v>2</v>
      </c>
    </row>
    <row r="330" spans="2:16" ht="21" x14ac:dyDescent="0.55000000000000004">
      <c r="B330" s="2" t="s">
        <v>979</v>
      </c>
      <c r="C330" s="2" t="s">
        <v>392</v>
      </c>
      <c r="D330" s="2" t="s">
        <v>23</v>
      </c>
      <c r="E330" s="2" t="s">
        <v>54</v>
      </c>
      <c r="F330" s="6" t="s">
        <v>102</v>
      </c>
      <c r="G330" s="10">
        <f t="shared" si="15"/>
        <v>2024</v>
      </c>
      <c r="H330" s="10">
        <f t="shared" si="16"/>
        <v>1</v>
      </c>
      <c r="I330" s="10">
        <f t="shared" si="17"/>
        <v>26</v>
      </c>
      <c r="J330" s="9" t="s">
        <v>223</v>
      </c>
      <c r="K330" s="2" t="s">
        <v>91</v>
      </c>
      <c r="L330" s="2">
        <v>201.11</v>
      </c>
      <c r="M330" s="2" t="s">
        <v>19</v>
      </c>
      <c r="N330" s="2" t="s">
        <v>26</v>
      </c>
      <c r="O330" s="2">
        <v>53</v>
      </c>
      <c r="P330" s="2">
        <v>5</v>
      </c>
    </row>
    <row r="331" spans="2:16" ht="21" hidden="1" x14ac:dyDescent="0.55000000000000004">
      <c r="B331" s="2" t="s">
        <v>980</v>
      </c>
      <c r="C331" s="2" t="s">
        <v>981</v>
      </c>
      <c r="D331" s="2" t="s">
        <v>60</v>
      </c>
      <c r="E331" s="2" t="s">
        <v>139</v>
      </c>
      <c r="F331" s="6" t="s">
        <v>97</v>
      </c>
      <c r="G331" s="10">
        <f t="shared" si="15"/>
        <v>2024</v>
      </c>
      <c r="H331" s="10">
        <f t="shared" si="16"/>
        <v>1</v>
      </c>
      <c r="I331" s="10">
        <f t="shared" si="17"/>
        <v>23</v>
      </c>
      <c r="J331" s="9" t="s">
        <v>409</v>
      </c>
      <c r="K331" s="2" t="s">
        <v>18</v>
      </c>
      <c r="L331" s="2">
        <v>253.79</v>
      </c>
      <c r="M331" s="2" t="s">
        <v>65</v>
      </c>
      <c r="N331" s="2" t="s">
        <v>41</v>
      </c>
      <c r="O331" s="2">
        <v>81</v>
      </c>
      <c r="P331" s="2">
        <v>1</v>
      </c>
    </row>
    <row r="332" spans="2:16" ht="21" hidden="1" x14ac:dyDescent="0.55000000000000004">
      <c r="B332" s="2" t="s">
        <v>982</v>
      </c>
      <c r="C332" s="2" t="s">
        <v>983</v>
      </c>
      <c r="D332" s="2" t="s">
        <v>14</v>
      </c>
      <c r="E332" s="2" t="s">
        <v>139</v>
      </c>
      <c r="F332" s="6" t="s">
        <v>140</v>
      </c>
      <c r="G332" s="10">
        <f t="shared" si="15"/>
        <v>2024</v>
      </c>
      <c r="H332" s="10">
        <f t="shared" si="16"/>
        <v>1</v>
      </c>
      <c r="I332" s="10">
        <f t="shared" si="17"/>
        <v>29</v>
      </c>
      <c r="J332" s="9" t="s">
        <v>681</v>
      </c>
      <c r="K332" s="2" t="s">
        <v>57</v>
      </c>
      <c r="L332" s="2">
        <v>171.66</v>
      </c>
      <c r="M332" s="2" t="s">
        <v>65</v>
      </c>
      <c r="N332" s="2" t="s">
        <v>20</v>
      </c>
      <c r="O332" s="2">
        <v>41</v>
      </c>
      <c r="P332" s="2">
        <v>2</v>
      </c>
    </row>
    <row r="333" spans="2:16" ht="21" hidden="1" x14ac:dyDescent="0.55000000000000004">
      <c r="B333" s="2" t="s">
        <v>984</v>
      </c>
      <c r="C333" s="2" t="s">
        <v>985</v>
      </c>
      <c r="D333" s="2" t="s">
        <v>117</v>
      </c>
      <c r="E333" s="2" t="s">
        <v>45</v>
      </c>
      <c r="F333" s="6" t="s">
        <v>102</v>
      </c>
      <c r="G333" s="10">
        <f t="shared" si="15"/>
        <v>2024</v>
      </c>
      <c r="H333" s="10">
        <f t="shared" si="16"/>
        <v>1</v>
      </c>
      <c r="I333" s="10">
        <f t="shared" si="17"/>
        <v>26</v>
      </c>
      <c r="J333" s="9" t="s">
        <v>70</v>
      </c>
      <c r="K333" s="2" t="s">
        <v>64</v>
      </c>
      <c r="L333" s="2">
        <v>375.15</v>
      </c>
      <c r="M333" s="2" t="s">
        <v>65</v>
      </c>
      <c r="N333" s="2" t="s">
        <v>50</v>
      </c>
      <c r="O333" s="2">
        <v>52</v>
      </c>
      <c r="P333" s="2">
        <v>1</v>
      </c>
    </row>
    <row r="334" spans="2:16" ht="21" hidden="1" x14ac:dyDescent="0.55000000000000004">
      <c r="B334" s="2" t="s">
        <v>986</v>
      </c>
      <c r="C334" s="2" t="s">
        <v>987</v>
      </c>
      <c r="D334" s="2" t="s">
        <v>73</v>
      </c>
      <c r="E334" s="2" t="s">
        <v>139</v>
      </c>
      <c r="F334" s="6" t="s">
        <v>473</v>
      </c>
      <c r="G334" s="10">
        <f t="shared" si="15"/>
        <v>2024</v>
      </c>
      <c r="H334" s="10">
        <f t="shared" si="16"/>
        <v>1</v>
      </c>
      <c r="I334" s="10">
        <f t="shared" si="17"/>
        <v>30</v>
      </c>
      <c r="J334" s="9" t="s">
        <v>988</v>
      </c>
      <c r="K334" s="2" t="s">
        <v>57</v>
      </c>
      <c r="L334" s="2">
        <v>368.41</v>
      </c>
      <c r="M334" s="2" t="s">
        <v>122</v>
      </c>
      <c r="N334" s="2" t="s">
        <v>20</v>
      </c>
      <c r="O334" s="2">
        <v>75</v>
      </c>
      <c r="P334" s="2">
        <v>2</v>
      </c>
    </row>
    <row r="335" spans="2:16" ht="21" hidden="1" x14ac:dyDescent="0.55000000000000004">
      <c r="B335" s="2" t="s">
        <v>989</v>
      </c>
      <c r="C335" s="2" t="s">
        <v>990</v>
      </c>
      <c r="D335" s="2" t="s">
        <v>29</v>
      </c>
      <c r="E335" s="2" t="s">
        <v>139</v>
      </c>
      <c r="F335" s="6" t="s">
        <v>161</v>
      </c>
      <c r="G335" s="10">
        <f t="shared" si="15"/>
        <v>2024</v>
      </c>
      <c r="H335" s="10">
        <f t="shared" si="16"/>
        <v>1</v>
      </c>
      <c r="I335" s="10">
        <f t="shared" si="17"/>
        <v>5</v>
      </c>
      <c r="J335" s="9" t="s">
        <v>597</v>
      </c>
      <c r="K335" s="2" t="s">
        <v>91</v>
      </c>
      <c r="L335" s="2">
        <v>403.58</v>
      </c>
      <c r="M335" s="2" t="s">
        <v>65</v>
      </c>
      <c r="N335" s="2" t="s">
        <v>41</v>
      </c>
      <c r="O335" s="2">
        <v>73</v>
      </c>
      <c r="P335" s="2">
        <v>2</v>
      </c>
    </row>
    <row r="336" spans="2:16" ht="21" x14ac:dyDescent="0.55000000000000004">
      <c r="B336" s="2" t="s">
        <v>991</v>
      </c>
      <c r="C336" s="2" t="s">
        <v>992</v>
      </c>
      <c r="D336" s="2" t="s">
        <v>68</v>
      </c>
      <c r="E336" s="2" t="s">
        <v>54</v>
      </c>
      <c r="F336" s="6" t="s">
        <v>198</v>
      </c>
      <c r="G336" s="10">
        <f t="shared" si="15"/>
        <v>2024</v>
      </c>
      <c r="H336" s="10">
        <f t="shared" si="16"/>
        <v>1</v>
      </c>
      <c r="I336" s="10">
        <f t="shared" si="17"/>
        <v>4</v>
      </c>
      <c r="J336" s="9" t="s">
        <v>764</v>
      </c>
      <c r="K336" s="2" t="s">
        <v>77</v>
      </c>
      <c r="L336" s="2">
        <v>124.08</v>
      </c>
      <c r="M336" s="2" t="s">
        <v>122</v>
      </c>
      <c r="N336" s="2" t="s">
        <v>41</v>
      </c>
      <c r="O336" s="2">
        <v>38</v>
      </c>
      <c r="P336" s="2">
        <v>3</v>
      </c>
    </row>
    <row r="337" spans="2:16" ht="21" hidden="1" x14ac:dyDescent="0.55000000000000004">
      <c r="B337" s="2" t="s">
        <v>993</v>
      </c>
      <c r="C337" s="2" t="s">
        <v>994</v>
      </c>
      <c r="D337" s="2" t="s">
        <v>117</v>
      </c>
      <c r="E337" s="2" t="s">
        <v>45</v>
      </c>
      <c r="F337" s="6" t="s">
        <v>46</v>
      </c>
      <c r="G337" s="10">
        <f t="shared" si="15"/>
        <v>2024</v>
      </c>
      <c r="H337" s="10">
        <f t="shared" si="16"/>
        <v>1</v>
      </c>
      <c r="I337" s="10">
        <f t="shared" si="17"/>
        <v>17</v>
      </c>
      <c r="J337" s="9" t="s">
        <v>510</v>
      </c>
      <c r="K337" s="2" t="s">
        <v>33</v>
      </c>
      <c r="L337" s="2">
        <v>422.06</v>
      </c>
      <c r="M337" s="2" t="s">
        <v>49</v>
      </c>
      <c r="N337" s="2" t="s">
        <v>50</v>
      </c>
      <c r="O337" s="2">
        <v>33</v>
      </c>
      <c r="P337" s="2">
        <v>5</v>
      </c>
    </row>
    <row r="338" spans="2:16" ht="21" hidden="1" x14ac:dyDescent="0.55000000000000004">
      <c r="B338" s="2" t="s">
        <v>995</v>
      </c>
      <c r="C338" s="2" t="s">
        <v>996</v>
      </c>
      <c r="D338" s="2" t="s">
        <v>106</v>
      </c>
      <c r="E338" s="2" t="s">
        <v>74</v>
      </c>
      <c r="F338" s="6" t="s">
        <v>55</v>
      </c>
      <c r="G338" s="10">
        <f t="shared" si="15"/>
        <v>2024</v>
      </c>
      <c r="H338" s="10">
        <f t="shared" si="16"/>
        <v>1</v>
      </c>
      <c r="I338" s="10">
        <f t="shared" si="17"/>
        <v>8</v>
      </c>
      <c r="J338" s="9" t="s">
        <v>997</v>
      </c>
      <c r="K338" s="2" t="s">
        <v>18</v>
      </c>
      <c r="L338" s="2">
        <v>254.25</v>
      </c>
      <c r="M338" s="2" t="s">
        <v>122</v>
      </c>
      <c r="N338" s="2" t="s">
        <v>41</v>
      </c>
      <c r="O338" s="2">
        <v>29</v>
      </c>
      <c r="P338" s="2">
        <v>4</v>
      </c>
    </row>
    <row r="339" spans="2:16" ht="21" hidden="1" x14ac:dyDescent="0.55000000000000004">
      <c r="B339" s="2" t="s">
        <v>998</v>
      </c>
      <c r="C339" s="2" t="s">
        <v>999</v>
      </c>
      <c r="D339" s="2" t="s">
        <v>68</v>
      </c>
      <c r="E339" s="2" t="s">
        <v>15</v>
      </c>
      <c r="F339" s="6" t="s">
        <v>62</v>
      </c>
      <c r="G339" s="10">
        <f t="shared" si="15"/>
        <v>2024</v>
      </c>
      <c r="H339" s="10">
        <f t="shared" si="16"/>
        <v>1</v>
      </c>
      <c r="I339" s="10">
        <f t="shared" si="17"/>
        <v>31</v>
      </c>
      <c r="J339" s="9" t="s">
        <v>1000</v>
      </c>
      <c r="K339" s="2" t="s">
        <v>18</v>
      </c>
      <c r="L339" s="2">
        <v>495.61</v>
      </c>
      <c r="M339" s="2" t="s">
        <v>49</v>
      </c>
      <c r="N339" s="2" t="s">
        <v>41</v>
      </c>
      <c r="O339" s="2">
        <v>75</v>
      </c>
      <c r="P339" s="2">
        <v>3</v>
      </c>
    </row>
    <row r="340" spans="2:16" ht="21" hidden="1" x14ac:dyDescent="0.55000000000000004">
      <c r="B340" s="2" t="s">
        <v>1001</v>
      </c>
      <c r="C340" s="2" t="s">
        <v>1002</v>
      </c>
      <c r="D340" s="2" t="s">
        <v>60</v>
      </c>
      <c r="E340" s="2" t="s">
        <v>139</v>
      </c>
      <c r="F340" s="6" t="s">
        <v>257</v>
      </c>
      <c r="G340" s="10">
        <f t="shared" si="15"/>
        <v>2024</v>
      </c>
      <c r="H340" s="10">
        <f t="shared" si="16"/>
        <v>1</v>
      </c>
      <c r="I340" s="10">
        <f t="shared" si="17"/>
        <v>10</v>
      </c>
      <c r="J340" s="9" t="s">
        <v>776</v>
      </c>
      <c r="K340" s="2" t="s">
        <v>64</v>
      </c>
      <c r="L340" s="2">
        <v>53.64</v>
      </c>
      <c r="M340" s="2" t="s">
        <v>122</v>
      </c>
      <c r="N340" s="2" t="s">
        <v>20</v>
      </c>
      <c r="O340" s="2">
        <v>61</v>
      </c>
      <c r="P340" s="2">
        <v>1</v>
      </c>
    </row>
    <row r="341" spans="2:16" ht="21" hidden="1" x14ac:dyDescent="0.55000000000000004">
      <c r="B341" s="2" t="s">
        <v>1003</v>
      </c>
      <c r="C341" s="2" t="s">
        <v>1004</v>
      </c>
      <c r="D341" s="2" t="s">
        <v>73</v>
      </c>
      <c r="E341" s="2" t="s">
        <v>80</v>
      </c>
      <c r="F341" s="6" t="s">
        <v>69</v>
      </c>
      <c r="G341" s="10">
        <f t="shared" si="15"/>
        <v>2024</v>
      </c>
      <c r="H341" s="10">
        <f t="shared" si="16"/>
        <v>1</v>
      </c>
      <c r="I341" s="10">
        <f t="shared" si="17"/>
        <v>27</v>
      </c>
      <c r="J341" s="9" t="s">
        <v>1005</v>
      </c>
      <c r="K341" s="2" t="s">
        <v>48</v>
      </c>
      <c r="L341" s="2">
        <v>175.36</v>
      </c>
      <c r="M341" s="2" t="s">
        <v>49</v>
      </c>
      <c r="N341" s="2" t="s">
        <v>20</v>
      </c>
      <c r="O341" s="2">
        <v>77</v>
      </c>
      <c r="P341" s="2">
        <v>1</v>
      </c>
    </row>
    <row r="342" spans="2:16" ht="21" hidden="1" x14ac:dyDescent="0.55000000000000004">
      <c r="B342" s="2" t="s">
        <v>1006</v>
      </c>
      <c r="C342" s="2" t="s">
        <v>828</v>
      </c>
      <c r="D342" s="2" t="s">
        <v>14</v>
      </c>
      <c r="E342" s="2" t="s">
        <v>37</v>
      </c>
      <c r="F342" s="6" t="s">
        <v>46</v>
      </c>
      <c r="G342" s="10">
        <f t="shared" si="15"/>
        <v>2024</v>
      </c>
      <c r="H342" s="10">
        <f t="shared" si="16"/>
        <v>1</v>
      </c>
      <c r="I342" s="10">
        <f t="shared" si="17"/>
        <v>17</v>
      </c>
      <c r="J342" s="9" t="s">
        <v>1007</v>
      </c>
      <c r="K342" s="2" t="s">
        <v>33</v>
      </c>
      <c r="L342" s="2">
        <v>430.51</v>
      </c>
      <c r="M342" s="2" t="s">
        <v>65</v>
      </c>
      <c r="N342" s="2" t="s">
        <v>26</v>
      </c>
      <c r="O342" s="2">
        <v>77</v>
      </c>
      <c r="P342" s="2"/>
    </row>
    <row r="343" spans="2:16" ht="21" hidden="1" x14ac:dyDescent="0.55000000000000004">
      <c r="B343" s="2" t="s">
        <v>1008</v>
      </c>
      <c r="C343" s="2" t="s">
        <v>1009</v>
      </c>
      <c r="D343" s="2" t="s">
        <v>14</v>
      </c>
      <c r="E343" s="2" t="s">
        <v>37</v>
      </c>
      <c r="F343" s="6" t="s">
        <v>113</v>
      </c>
      <c r="G343" s="10">
        <f t="shared" si="15"/>
        <v>2024</v>
      </c>
      <c r="H343" s="10">
        <f t="shared" si="16"/>
        <v>1</v>
      </c>
      <c r="I343" s="10">
        <f t="shared" si="17"/>
        <v>15</v>
      </c>
      <c r="J343" s="9" t="s">
        <v>1010</v>
      </c>
      <c r="K343" s="2" t="s">
        <v>48</v>
      </c>
      <c r="L343" s="2">
        <v>240.85</v>
      </c>
      <c r="M343" s="2" t="s">
        <v>49</v>
      </c>
      <c r="N343" s="2" t="s">
        <v>41</v>
      </c>
      <c r="O343" s="2">
        <v>21</v>
      </c>
      <c r="P343" s="2">
        <v>1</v>
      </c>
    </row>
    <row r="344" spans="2:16" ht="21" hidden="1" x14ac:dyDescent="0.55000000000000004">
      <c r="B344" s="2" t="s">
        <v>1011</v>
      </c>
      <c r="C344" s="2" t="s">
        <v>1012</v>
      </c>
      <c r="D344" s="2" t="s">
        <v>68</v>
      </c>
      <c r="E344" s="2" t="s">
        <v>74</v>
      </c>
      <c r="F344" s="6" t="s">
        <v>38</v>
      </c>
      <c r="G344" s="10">
        <f t="shared" si="15"/>
        <v>2024</v>
      </c>
      <c r="H344" s="10">
        <f t="shared" si="16"/>
        <v>1</v>
      </c>
      <c r="I344" s="10">
        <f t="shared" si="17"/>
        <v>11</v>
      </c>
      <c r="J344" s="9" t="s">
        <v>586</v>
      </c>
      <c r="K344" s="2" t="s">
        <v>18</v>
      </c>
      <c r="L344" s="2">
        <v>169.5</v>
      </c>
      <c r="M344" s="2" t="s">
        <v>19</v>
      </c>
      <c r="N344" s="2" t="s">
        <v>50</v>
      </c>
      <c r="O344" s="2">
        <v>47</v>
      </c>
      <c r="P344" s="2">
        <v>3</v>
      </c>
    </row>
    <row r="345" spans="2:16" ht="21" hidden="1" x14ac:dyDescent="0.55000000000000004">
      <c r="B345" s="2" t="s">
        <v>1013</v>
      </c>
      <c r="C345" s="2" t="s">
        <v>1014</v>
      </c>
      <c r="D345" s="2" t="s">
        <v>73</v>
      </c>
      <c r="E345" s="2" t="s">
        <v>15</v>
      </c>
      <c r="F345" s="6" t="s">
        <v>118</v>
      </c>
      <c r="G345" s="10">
        <f t="shared" si="15"/>
        <v>2024</v>
      </c>
      <c r="H345" s="10">
        <f t="shared" si="16"/>
        <v>1</v>
      </c>
      <c r="I345" s="10">
        <f t="shared" si="17"/>
        <v>24</v>
      </c>
      <c r="J345" s="9" t="s">
        <v>1015</v>
      </c>
      <c r="K345" s="2" t="s">
        <v>77</v>
      </c>
      <c r="L345" s="2">
        <v>130.30000000000001</v>
      </c>
      <c r="M345" s="2" t="s">
        <v>65</v>
      </c>
      <c r="N345" s="2" t="s">
        <v>20</v>
      </c>
      <c r="O345" s="2">
        <v>37</v>
      </c>
      <c r="P345" s="2"/>
    </row>
    <row r="346" spans="2:16" ht="21" hidden="1" x14ac:dyDescent="0.55000000000000004">
      <c r="B346" s="2" t="s">
        <v>1016</v>
      </c>
      <c r="C346" s="2" t="s">
        <v>1017</v>
      </c>
      <c r="D346" s="2" t="s">
        <v>29</v>
      </c>
      <c r="E346" s="2" t="s">
        <v>80</v>
      </c>
      <c r="F346" s="6" t="s">
        <v>16</v>
      </c>
      <c r="G346" s="10">
        <f t="shared" si="15"/>
        <v>2024</v>
      </c>
      <c r="H346" s="10">
        <f t="shared" si="16"/>
        <v>1</v>
      </c>
      <c r="I346" s="10">
        <f t="shared" si="17"/>
        <v>9</v>
      </c>
      <c r="J346" s="9" t="s">
        <v>1018</v>
      </c>
      <c r="K346" s="2" t="s">
        <v>91</v>
      </c>
      <c r="L346" s="2">
        <v>184.81</v>
      </c>
      <c r="M346" s="2" t="s">
        <v>65</v>
      </c>
      <c r="N346" s="2" t="s">
        <v>41</v>
      </c>
      <c r="O346" s="2">
        <v>72</v>
      </c>
      <c r="P346" s="2">
        <v>5</v>
      </c>
    </row>
    <row r="347" spans="2:16" ht="21" hidden="1" x14ac:dyDescent="0.55000000000000004">
      <c r="B347" s="2" t="s">
        <v>1019</v>
      </c>
      <c r="C347" s="2" t="s">
        <v>1020</v>
      </c>
      <c r="D347" s="2" t="s">
        <v>60</v>
      </c>
      <c r="E347" s="2" t="s">
        <v>15</v>
      </c>
      <c r="F347" s="6" t="s">
        <v>69</v>
      </c>
      <c r="G347" s="10">
        <f t="shared" si="15"/>
        <v>2024</v>
      </c>
      <c r="H347" s="10">
        <f t="shared" si="16"/>
        <v>1</v>
      </c>
      <c r="I347" s="10">
        <f t="shared" si="17"/>
        <v>27</v>
      </c>
      <c r="J347" s="9" t="s">
        <v>443</v>
      </c>
      <c r="K347" s="2" t="s">
        <v>48</v>
      </c>
      <c r="L347" s="2">
        <v>209.5</v>
      </c>
      <c r="M347" s="2" t="s">
        <v>49</v>
      </c>
      <c r="N347" s="2" t="s">
        <v>26</v>
      </c>
      <c r="O347" s="2">
        <v>67</v>
      </c>
      <c r="P347" s="2">
        <v>3</v>
      </c>
    </row>
    <row r="348" spans="2:16" ht="21" hidden="1" x14ac:dyDescent="0.55000000000000004">
      <c r="B348" s="2" t="s">
        <v>1021</v>
      </c>
      <c r="C348" s="2" t="s">
        <v>1022</v>
      </c>
      <c r="D348" s="2" t="s">
        <v>53</v>
      </c>
      <c r="E348" s="2" t="s">
        <v>37</v>
      </c>
      <c r="F348" s="6" t="s">
        <v>31</v>
      </c>
      <c r="G348" s="10">
        <f t="shared" si="15"/>
        <v>2024</v>
      </c>
      <c r="H348" s="10">
        <f t="shared" si="16"/>
        <v>1</v>
      </c>
      <c r="I348" s="10">
        <f t="shared" si="17"/>
        <v>14</v>
      </c>
      <c r="J348" s="9" t="s">
        <v>1023</v>
      </c>
      <c r="K348" s="2" t="s">
        <v>57</v>
      </c>
      <c r="L348" s="2">
        <v>193.82</v>
      </c>
      <c r="M348" s="2" t="s">
        <v>49</v>
      </c>
      <c r="N348" s="2" t="s">
        <v>50</v>
      </c>
      <c r="O348" s="2">
        <v>15</v>
      </c>
      <c r="P348" s="2">
        <v>5</v>
      </c>
    </row>
    <row r="349" spans="2:16" ht="21" hidden="1" x14ac:dyDescent="0.55000000000000004">
      <c r="B349" s="2" t="s">
        <v>1024</v>
      </c>
      <c r="C349" s="2" t="s">
        <v>1025</v>
      </c>
      <c r="D349" s="2" t="s">
        <v>60</v>
      </c>
      <c r="E349" s="2" t="s">
        <v>139</v>
      </c>
      <c r="F349" s="6" t="s">
        <v>55</v>
      </c>
      <c r="G349" s="10">
        <f t="shared" si="15"/>
        <v>2024</v>
      </c>
      <c r="H349" s="10">
        <f t="shared" si="16"/>
        <v>1</v>
      </c>
      <c r="I349" s="10">
        <f t="shared" si="17"/>
        <v>8</v>
      </c>
      <c r="J349" s="9" t="s">
        <v>110</v>
      </c>
      <c r="K349" s="2" t="s">
        <v>33</v>
      </c>
      <c r="L349" s="2">
        <v>329.57</v>
      </c>
      <c r="M349" s="2" t="s">
        <v>122</v>
      </c>
      <c r="N349" s="2" t="s">
        <v>26</v>
      </c>
      <c r="O349" s="2">
        <v>34</v>
      </c>
      <c r="P349" s="2">
        <v>3</v>
      </c>
    </row>
    <row r="350" spans="2:16" ht="21" hidden="1" x14ac:dyDescent="0.55000000000000004">
      <c r="B350" s="2" t="s">
        <v>1026</v>
      </c>
      <c r="C350" s="2" t="s">
        <v>1027</v>
      </c>
      <c r="D350" s="2" t="s">
        <v>29</v>
      </c>
      <c r="E350" s="2" t="s">
        <v>74</v>
      </c>
      <c r="F350" s="6" t="s">
        <v>24</v>
      </c>
      <c r="G350" s="10">
        <f t="shared" si="15"/>
        <v>2024</v>
      </c>
      <c r="H350" s="10">
        <f t="shared" si="16"/>
        <v>1</v>
      </c>
      <c r="I350" s="10">
        <f t="shared" si="17"/>
        <v>21</v>
      </c>
      <c r="J350" s="9" t="s">
        <v>1028</v>
      </c>
      <c r="K350" s="2" t="s">
        <v>77</v>
      </c>
      <c r="L350" s="2">
        <v>469.32</v>
      </c>
      <c r="M350" s="2" t="s">
        <v>19</v>
      </c>
      <c r="N350" s="2" t="s">
        <v>20</v>
      </c>
      <c r="O350" s="2">
        <v>66</v>
      </c>
      <c r="P350" s="2">
        <v>2</v>
      </c>
    </row>
    <row r="351" spans="2:16" ht="21" hidden="1" x14ac:dyDescent="0.55000000000000004">
      <c r="B351" s="2" t="s">
        <v>1029</v>
      </c>
      <c r="C351" s="2" t="s">
        <v>1030</v>
      </c>
      <c r="D351" s="2" t="s">
        <v>23</v>
      </c>
      <c r="E351" s="2" t="s">
        <v>74</v>
      </c>
      <c r="F351" s="6" t="s">
        <v>473</v>
      </c>
      <c r="G351" s="10">
        <f t="shared" si="15"/>
        <v>2024</v>
      </c>
      <c r="H351" s="10">
        <f t="shared" si="16"/>
        <v>1</v>
      </c>
      <c r="I351" s="10">
        <f t="shared" si="17"/>
        <v>30</v>
      </c>
      <c r="J351" s="9" t="s">
        <v>1031</v>
      </c>
      <c r="K351" s="2" t="s">
        <v>91</v>
      </c>
      <c r="L351" s="2">
        <v>159.47999999999999</v>
      </c>
      <c r="M351" s="2" t="s">
        <v>122</v>
      </c>
      <c r="N351" s="2" t="s">
        <v>20</v>
      </c>
      <c r="O351" s="2">
        <v>51</v>
      </c>
      <c r="P351" s="2">
        <v>2</v>
      </c>
    </row>
    <row r="352" spans="2:16" ht="21" hidden="1" x14ac:dyDescent="0.55000000000000004">
      <c r="B352" s="2" t="s">
        <v>1032</v>
      </c>
      <c r="C352" s="2" t="s">
        <v>1033</v>
      </c>
      <c r="D352" s="2" t="s">
        <v>117</v>
      </c>
      <c r="E352" s="2" t="s">
        <v>125</v>
      </c>
      <c r="F352" s="6" t="s">
        <v>198</v>
      </c>
      <c r="G352" s="10">
        <f t="shared" si="15"/>
        <v>2024</v>
      </c>
      <c r="H352" s="10">
        <f t="shared" si="16"/>
        <v>1</v>
      </c>
      <c r="I352" s="10">
        <f t="shared" si="17"/>
        <v>4</v>
      </c>
      <c r="J352" s="9" t="s">
        <v>362</v>
      </c>
      <c r="K352" s="2" t="s">
        <v>33</v>
      </c>
      <c r="L352" s="2">
        <v>190.67</v>
      </c>
      <c r="M352" s="2" t="s">
        <v>65</v>
      </c>
      <c r="N352" s="2" t="s">
        <v>20</v>
      </c>
      <c r="O352" s="2">
        <v>82</v>
      </c>
      <c r="P352" s="2">
        <v>1</v>
      </c>
    </row>
    <row r="353" spans="2:16" ht="21" hidden="1" x14ac:dyDescent="0.55000000000000004">
      <c r="B353" s="2" t="s">
        <v>1034</v>
      </c>
      <c r="C353" s="2" t="s">
        <v>1035</v>
      </c>
      <c r="D353" s="2" t="s">
        <v>68</v>
      </c>
      <c r="E353" s="2" t="s">
        <v>125</v>
      </c>
      <c r="F353" s="6" t="s">
        <v>144</v>
      </c>
      <c r="G353" s="10">
        <f t="shared" si="15"/>
        <v>2024</v>
      </c>
      <c r="H353" s="10">
        <f t="shared" si="16"/>
        <v>1</v>
      </c>
      <c r="I353" s="10">
        <f t="shared" si="17"/>
        <v>7</v>
      </c>
      <c r="J353" s="9" t="s">
        <v>1036</v>
      </c>
      <c r="K353" s="2" t="s">
        <v>33</v>
      </c>
      <c r="L353" s="2">
        <v>178.34</v>
      </c>
      <c r="M353" s="2" t="s">
        <v>49</v>
      </c>
      <c r="N353" s="2" t="s">
        <v>50</v>
      </c>
      <c r="O353" s="2">
        <v>50</v>
      </c>
      <c r="P353" s="2">
        <v>2</v>
      </c>
    </row>
    <row r="354" spans="2:16" ht="21" hidden="1" x14ac:dyDescent="0.55000000000000004">
      <c r="B354" s="2" t="s">
        <v>1037</v>
      </c>
      <c r="C354" s="2" t="s">
        <v>1038</v>
      </c>
      <c r="D354" s="2" t="s">
        <v>106</v>
      </c>
      <c r="E354" s="2" t="s">
        <v>61</v>
      </c>
      <c r="F354" s="6" t="s">
        <v>349</v>
      </c>
      <c r="G354" s="10">
        <f t="shared" si="15"/>
        <v>2024</v>
      </c>
      <c r="H354" s="10">
        <f t="shared" si="16"/>
        <v>1</v>
      </c>
      <c r="I354" s="10">
        <f t="shared" si="17"/>
        <v>12</v>
      </c>
      <c r="J354" s="9" t="s">
        <v>1039</v>
      </c>
      <c r="K354" s="2" t="s">
        <v>18</v>
      </c>
      <c r="L354" s="2">
        <v>236.07</v>
      </c>
      <c r="M354" s="2" t="s">
        <v>122</v>
      </c>
      <c r="N354" s="2" t="s">
        <v>26</v>
      </c>
      <c r="O354" s="2">
        <v>63</v>
      </c>
      <c r="P354" s="2">
        <v>5</v>
      </c>
    </row>
    <row r="355" spans="2:16" ht="21" hidden="1" x14ac:dyDescent="0.55000000000000004">
      <c r="B355" s="2" t="s">
        <v>1040</v>
      </c>
      <c r="C355" s="2" t="s">
        <v>1041</v>
      </c>
      <c r="D355" s="2" t="s">
        <v>73</v>
      </c>
      <c r="E355" s="2" t="s">
        <v>80</v>
      </c>
      <c r="F355" s="6" t="s">
        <v>75</v>
      </c>
      <c r="G355" s="10">
        <f t="shared" si="15"/>
        <v>2024</v>
      </c>
      <c r="H355" s="10">
        <f t="shared" si="16"/>
        <v>1</v>
      </c>
      <c r="I355" s="10">
        <f t="shared" si="17"/>
        <v>25</v>
      </c>
      <c r="J355" s="9" t="s">
        <v>63</v>
      </c>
      <c r="K355" s="2" t="s">
        <v>48</v>
      </c>
      <c r="L355" s="2">
        <v>430.36</v>
      </c>
      <c r="M355" s="2" t="s">
        <v>65</v>
      </c>
      <c r="N355" s="2" t="s">
        <v>20</v>
      </c>
      <c r="O355" s="2">
        <v>46</v>
      </c>
      <c r="P355" s="2">
        <v>5</v>
      </c>
    </row>
    <row r="356" spans="2:16" ht="21" hidden="1" x14ac:dyDescent="0.55000000000000004">
      <c r="B356" s="2" t="s">
        <v>1042</v>
      </c>
      <c r="C356" s="2" t="s">
        <v>1043</v>
      </c>
      <c r="D356" s="2" t="s">
        <v>53</v>
      </c>
      <c r="E356" s="2" t="s">
        <v>74</v>
      </c>
      <c r="F356" s="6" t="s">
        <v>272</v>
      </c>
      <c r="G356" s="10">
        <f t="shared" si="15"/>
        <v>2024</v>
      </c>
      <c r="H356" s="10">
        <f t="shared" si="16"/>
        <v>1</v>
      </c>
      <c r="I356" s="10">
        <f t="shared" si="17"/>
        <v>1</v>
      </c>
      <c r="J356" s="9" t="s">
        <v>764</v>
      </c>
      <c r="K356" s="2" t="s">
        <v>33</v>
      </c>
      <c r="L356" s="2">
        <v>167.86</v>
      </c>
      <c r="M356" s="2" t="s">
        <v>19</v>
      </c>
      <c r="N356" s="2" t="s">
        <v>41</v>
      </c>
      <c r="O356" s="2">
        <v>22</v>
      </c>
      <c r="P356" s="2">
        <v>4</v>
      </c>
    </row>
    <row r="357" spans="2:16" ht="21" hidden="1" x14ac:dyDescent="0.55000000000000004">
      <c r="B357" s="2" t="s">
        <v>1044</v>
      </c>
      <c r="C357" s="2" t="s">
        <v>1045</v>
      </c>
      <c r="D357" s="2" t="s">
        <v>73</v>
      </c>
      <c r="E357" s="2" t="s">
        <v>15</v>
      </c>
      <c r="F357" s="6" t="s">
        <v>161</v>
      </c>
      <c r="G357" s="10">
        <f t="shared" si="15"/>
        <v>2024</v>
      </c>
      <c r="H357" s="10">
        <f t="shared" si="16"/>
        <v>1</v>
      </c>
      <c r="I357" s="10">
        <f t="shared" si="17"/>
        <v>5</v>
      </c>
      <c r="J357" s="9" t="s">
        <v>1046</v>
      </c>
      <c r="K357" s="2" t="s">
        <v>40</v>
      </c>
      <c r="L357" s="2">
        <v>412.38</v>
      </c>
      <c r="M357" s="2" t="s">
        <v>122</v>
      </c>
      <c r="N357" s="2" t="s">
        <v>20</v>
      </c>
      <c r="O357" s="2">
        <v>46</v>
      </c>
      <c r="P357" s="2">
        <v>3</v>
      </c>
    </row>
    <row r="358" spans="2:16" ht="21" x14ac:dyDescent="0.55000000000000004">
      <c r="B358" s="2" t="s">
        <v>1047</v>
      </c>
      <c r="C358" s="2" t="s">
        <v>1048</v>
      </c>
      <c r="D358" s="2" t="s">
        <v>106</v>
      </c>
      <c r="E358" s="2" t="s">
        <v>54</v>
      </c>
      <c r="F358" s="6" t="s">
        <v>62</v>
      </c>
      <c r="G358" s="10">
        <f t="shared" si="15"/>
        <v>2024</v>
      </c>
      <c r="H358" s="10">
        <f t="shared" si="16"/>
        <v>1</v>
      </c>
      <c r="I358" s="10">
        <f t="shared" si="17"/>
        <v>31</v>
      </c>
      <c r="J358" s="9" t="s">
        <v>701</v>
      </c>
      <c r="K358" s="2" t="s">
        <v>33</v>
      </c>
      <c r="L358" s="2">
        <v>247.33</v>
      </c>
      <c r="M358" s="2" t="s">
        <v>65</v>
      </c>
      <c r="N358" s="2" t="s">
        <v>20</v>
      </c>
      <c r="O358" s="2">
        <v>61</v>
      </c>
      <c r="P358" s="2">
        <v>2</v>
      </c>
    </row>
    <row r="359" spans="2:16" ht="21" hidden="1" x14ac:dyDescent="0.55000000000000004">
      <c r="B359" s="2" t="s">
        <v>1049</v>
      </c>
      <c r="C359" s="2" t="s">
        <v>1050</v>
      </c>
      <c r="D359" s="2" t="s">
        <v>44</v>
      </c>
      <c r="E359" s="2" t="s">
        <v>61</v>
      </c>
      <c r="F359" s="6" t="s">
        <v>302</v>
      </c>
      <c r="G359" s="10">
        <f t="shared" si="15"/>
        <v>2024</v>
      </c>
      <c r="H359" s="10">
        <f t="shared" si="16"/>
        <v>1</v>
      </c>
      <c r="I359" s="10">
        <f t="shared" si="17"/>
        <v>2</v>
      </c>
      <c r="J359" s="9" t="s">
        <v>1051</v>
      </c>
      <c r="K359" s="2" t="s">
        <v>64</v>
      </c>
      <c r="L359" s="2">
        <v>332.92</v>
      </c>
      <c r="M359" s="2" t="s">
        <v>19</v>
      </c>
      <c r="N359" s="2" t="s">
        <v>20</v>
      </c>
      <c r="O359" s="2">
        <v>81</v>
      </c>
      <c r="P359" s="2"/>
    </row>
    <row r="360" spans="2:16" ht="21" hidden="1" x14ac:dyDescent="0.55000000000000004">
      <c r="B360" s="2" t="s">
        <v>1052</v>
      </c>
      <c r="C360" s="2" t="s">
        <v>1053</v>
      </c>
      <c r="D360" s="2" t="s">
        <v>53</v>
      </c>
      <c r="E360" s="2" t="s">
        <v>74</v>
      </c>
      <c r="F360" s="6" t="s">
        <v>81</v>
      </c>
      <c r="G360" s="10">
        <f t="shared" si="15"/>
        <v>2024</v>
      </c>
      <c r="H360" s="10">
        <f t="shared" si="16"/>
        <v>1</v>
      </c>
      <c r="I360" s="10">
        <f t="shared" si="17"/>
        <v>18</v>
      </c>
      <c r="J360" s="9" t="s">
        <v>1054</v>
      </c>
      <c r="K360" s="2" t="s">
        <v>91</v>
      </c>
      <c r="L360" s="2">
        <v>112.1</v>
      </c>
      <c r="M360" s="2" t="s">
        <v>65</v>
      </c>
      <c r="N360" s="2" t="s">
        <v>26</v>
      </c>
      <c r="O360" s="2">
        <v>22</v>
      </c>
      <c r="P360" s="2"/>
    </row>
    <row r="361" spans="2:16" ht="21" hidden="1" x14ac:dyDescent="0.55000000000000004">
      <c r="B361" s="2" t="s">
        <v>1055</v>
      </c>
      <c r="C361" s="2" t="s">
        <v>1056</v>
      </c>
      <c r="D361" s="2" t="s">
        <v>53</v>
      </c>
      <c r="E361" s="2" t="s">
        <v>74</v>
      </c>
      <c r="F361" s="6" t="s">
        <v>75</v>
      </c>
      <c r="G361" s="10">
        <f t="shared" si="15"/>
        <v>2024</v>
      </c>
      <c r="H361" s="10">
        <f t="shared" si="16"/>
        <v>1</v>
      </c>
      <c r="I361" s="10">
        <f t="shared" si="17"/>
        <v>25</v>
      </c>
      <c r="J361" s="9" t="s">
        <v>1057</v>
      </c>
      <c r="K361" s="2" t="s">
        <v>57</v>
      </c>
      <c r="L361" s="2">
        <v>360.14</v>
      </c>
      <c r="M361" s="2" t="s">
        <v>122</v>
      </c>
      <c r="N361" s="2" t="s">
        <v>50</v>
      </c>
      <c r="O361" s="2">
        <v>82</v>
      </c>
      <c r="P361" s="2"/>
    </row>
    <row r="362" spans="2:16" ht="21" hidden="1" x14ac:dyDescent="0.55000000000000004">
      <c r="B362" s="2" t="s">
        <v>1058</v>
      </c>
      <c r="C362" s="2" t="s">
        <v>1059</v>
      </c>
      <c r="D362" s="2" t="s">
        <v>73</v>
      </c>
      <c r="E362" s="2" t="s">
        <v>89</v>
      </c>
      <c r="F362" s="6" t="s">
        <v>257</v>
      </c>
      <c r="G362" s="10">
        <f t="shared" si="15"/>
        <v>2024</v>
      </c>
      <c r="H362" s="10">
        <f t="shared" si="16"/>
        <v>1</v>
      </c>
      <c r="I362" s="10">
        <f t="shared" si="17"/>
        <v>10</v>
      </c>
      <c r="J362" s="9" t="s">
        <v>709</v>
      </c>
      <c r="K362" s="2" t="s">
        <v>91</v>
      </c>
      <c r="L362" s="2">
        <v>138.56</v>
      </c>
      <c r="M362" s="2" t="s">
        <v>122</v>
      </c>
      <c r="N362" s="2" t="s">
        <v>26</v>
      </c>
      <c r="O362" s="2">
        <v>61</v>
      </c>
      <c r="P362" s="2"/>
    </row>
    <row r="363" spans="2:16" ht="21" hidden="1" x14ac:dyDescent="0.55000000000000004">
      <c r="B363" s="2" t="s">
        <v>1060</v>
      </c>
      <c r="C363" s="2" t="s">
        <v>1061</v>
      </c>
      <c r="D363" s="2" t="s">
        <v>23</v>
      </c>
      <c r="E363" s="2" t="s">
        <v>61</v>
      </c>
      <c r="F363" s="6" t="s">
        <v>97</v>
      </c>
      <c r="G363" s="10">
        <f t="shared" si="15"/>
        <v>2024</v>
      </c>
      <c r="H363" s="10">
        <f t="shared" si="16"/>
        <v>1</v>
      </c>
      <c r="I363" s="10">
        <f t="shared" si="17"/>
        <v>23</v>
      </c>
      <c r="J363" s="9" t="s">
        <v>1062</v>
      </c>
      <c r="K363" s="2" t="s">
        <v>64</v>
      </c>
      <c r="L363" s="2">
        <v>149.47999999999999</v>
      </c>
      <c r="M363" s="2" t="s">
        <v>19</v>
      </c>
      <c r="N363" s="2" t="s">
        <v>26</v>
      </c>
      <c r="O363" s="2">
        <v>24</v>
      </c>
      <c r="P363" s="2">
        <v>2</v>
      </c>
    </row>
    <row r="364" spans="2:16" ht="21" hidden="1" x14ac:dyDescent="0.55000000000000004">
      <c r="B364" s="2" t="s">
        <v>1063</v>
      </c>
      <c r="C364" s="2" t="s">
        <v>1064</v>
      </c>
      <c r="D364" s="2" t="s">
        <v>68</v>
      </c>
      <c r="E364" s="2" t="s">
        <v>89</v>
      </c>
      <c r="F364" s="6" t="s">
        <v>473</v>
      </c>
      <c r="G364" s="10">
        <f t="shared" si="15"/>
        <v>2024</v>
      </c>
      <c r="H364" s="10">
        <f t="shared" si="16"/>
        <v>1</v>
      </c>
      <c r="I364" s="10">
        <f t="shared" si="17"/>
        <v>30</v>
      </c>
      <c r="J364" s="9" t="s">
        <v>1065</v>
      </c>
      <c r="K364" s="2" t="s">
        <v>33</v>
      </c>
      <c r="L364" s="2">
        <v>400.1</v>
      </c>
      <c r="M364" s="2" t="s">
        <v>122</v>
      </c>
      <c r="N364" s="2" t="s">
        <v>41</v>
      </c>
      <c r="O364" s="2">
        <v>30</v>
      </c>
      <c r="P364" s="2">
        <v>2</v>
      </c>
    </row>
    <row r="365" spans="2:16" ht="21" hidden="1" x14ac:dyDescent="0.55000000000000004">
      <c r="B365" s="2" t="s">
        <v>1066</v>
      </c>
      <c r="C365" s="2" t="s">
        <v>1067</v>
      </c>
      <c r="D365" s="2" t="s">
        <v>68</v>
      </c>
      <c r="E365" s="2" t="s">
        <v>45</v>
      </c>
      <c r="F365" s="6" t="s">
        <v>129</v>
      </c>
      <c r="G365" s="10">
        <f t="shared" si="15"/>
        <v>2024</v>
      </c>
      <c r="H365" s="10">
        <f t="shared" si="16"/>
        <v>1</v>
      </c>
      <c r="I365" s="10">
        <f t="shared" si="17"/>
        <v>19</v>
      </c>
      <c r="J365" s="9" t="s">
        <v>110</v>
      </c>
      <c r="K365" s="2" t="s">
        <v>77</v>
      </c>
      <c r="L365" s="2">
        <v>109.32</v>
      </c>
      <c r="M365" s="2" t="s">
        <v>19</v>
      </c>
      <c r="N365" s="2" t="s">
        <v>26</v>
      </c>
      <c r="O365" s="2">
        <v>90</v>
      </c>
      <c r="P365" s="2">
        <v>3</v>
      </c>
    </row>
    <row r="366" spans="2:16" ht="21" hidden="1" x14ac:dyDescent="0.55000000000000004">
      <c r="B366" s="2" t="s">
        <v>1068</v>
      </c>
      <c r="C366" s="2" t="s">
        <v>1069</v>
      </c>
      <c r="D366" s="2" t="s">
        <v>117</v>
      </c>
      <c r="E366" s="2" t="s">
        <v>74</v>
      </c>
      <c r="F366" s="6" t="s">
        <v>349</v>
      </c>
      <c r="G366" s="10">
        <f t="shared" si="15"/>
        <v>2024</v>
      </c>
      <c r="H366" s="10">
        <f t="shared" si="16"/>
        <v>1</v>
      </c>
      <c r="I366" s="10">
        <f t="shared" si="17"/>
        <v>12</v>
      </c>
      <c r="J366" s="9" t="s">
        <v>939</v>
      </c>
      <c r="K366" s="2" t="s">
        <v>18</v>
      </c>
      <c r="L366" s="2">
        <v>322.77999999999997</v>
      </c>
      <c r="M366" s="2" t="s">
        <v>49</v>
      </c>
      <c r="N366" s="2" t="s">
        <v>20</v>
      </c>
      <c r="O366" s="2">
        <v>66</v>
      </c>
      <c r="P366" s="2">
        <v>2</v>
      </c>
    </row>
    <row r="367" spans="2:16" ht="21" hidden="1" x14ac:dyDescent="0.55000000000000004">
      <c r="B367" s="2" t="s">
        <v>1070</v>
      </c>
      <c r="C367" s="2" t="s">
        <v>1071</v>
      </c>
      <c r="D367" s="2" t="s">
        <v>117</v>
      </c>
      <c r="E367" s="2" t="s">
        <v>80</v>
      </c>
      <c r="F367" s="6" t="s">
        <v>272</v>
      </c>
      <c r="G367" s="10">
        <f t="shared" si="15"/>
        <v>2024</v>
      </c>
      <c r="H367" s="10">
        <f t="shared" si="16"/>
        <v>1</v>
      </c>
      <c r="I367" s="10">
        <f t="shared" si="17"/>
        <v>1</v>
      </c>
      <c r="J367" s="9" t="s">
        <v>840</v>
      </c>
      <c r="K367" s="2" t="s">
        <v>48</v>
      </c>
      <c r="L367" s="2">
        <v>339.54</v>
      </c>
      <c r="M367" s="2" t="s">
        <v>19</v>
      </c>
      <c r="N367" s="2" t="s">
        <v>26</v>
      </c>
      <c r="O367" s="2">
        <v>60</v>
      </c>
      <c r="P367" s="2">
        <v>3</v>
      </c>
    </row>
    <row r="368" spans="2:16" ht="21" hidden="1" x14ac:dyDescent="0.55000000000000004">
      <c r="B368" s="2" t="s">
        <v>1072</v>
      </c>
      <c r="C368" s="2" t="s">
        <v>1073</v>
      </c>
      <c r="D368" s="2" t="s">
        <v>44</v>
      </c>
      <c r="E368" s="2" t="s">
        <v>45</v>
      </c>
      <c r="F368" s="6" t="s">
        <v>317</v>
      </c>
      <c r="G368" s="10">
        <f t="shared" si="15"/>
        <v>2024</v>
      </c>
      <c r="H368" s="10">
        <f t="shared" si="16"/>
        <v>1</v>
      </c>
      <c r="I368" s="10">
        <f t="shared" si="17"/>
        <v>3</v>
      </c>
      <c r="J368" s="9" t="s">
        <v>1074</v>
      </c>
      <c r="K368" s="2" t="s">
        <v>91</v>
      </c>
      <c r="L368" s="2">
        <v>67.680000000000007</v>
      </c>
      <c r="M368" s="2" t="s">
        <v>19</v>
      </c>
      <c r="N368" s="2" t="s">
        <v>41</v>
      </c>
      <c r="O368" s="2">
        <v>88</v>
      </c>
      <c r="P368" s="2">
        <v>4</v>
      </c>
    </row>
    <row r="369" spans="2:16" ht="21" hidden="1" x14ac:dyDescent="0.55000000000000004">
      <c r="B369" s="2" t="s">
        <v>1075</v>
      </c>
      <c r="C369" s="2" t="s">
        <v>1076</v>
      </c>
      <c r="D369" s="2" t="s">
        <v>14</v>
      </c>
      <c r="E369" s="2" t="s">
        <v>139</v>
      </c>
      <c r="F369" s="6" t="s">
        <v>302</v>
      </c>
      <c r="G369" s="10">
        <f t="shared" si="15"/>
        <v>2024</v>
      </c>
      <c r="H369" s="10">
        <f t="shared" si="16"/>
        <v>1</v>
      </c>
      <c r="I369" s="10">
        <f t="shared" si="17"/>
        <v>2</v>
      </c>
      <c r="J369" s="9" t="s">
        <v>1077</v>
      </c>
      <c r="K369" s="2" t="s">
        <v>77</v>
      </c>
      <c r="L369" s="2">
        <v>319.70999999999998</v>
      </c>
      <c r="M369" s="2" t="s">
        <v>122</v>
      </c>
      <c r="N369" s="2" t="s">
        <v>41</v>
      </c>
      <c r="O369" s="2">
        <v>66</v>
      </c>
      <c r="P369" s="2">
        <v>4</v>
      </c>
    </row>
    <row r="370" spans="2:16" ht="21" hidden="1" x14ac:dyDescent="0.55000000000000004">
      <c r="B370" s="2" t="s">
        <v>1078</v>
      </c>
      <c r="C370" s="2" t="s">
        <v>1079</v>
      </c>
      <c r="D370" s="2" t="s">
        <v>53</v>
      </c>
      <c r="E370" s="2" t="s">
        <v>37</v>
      </c>
      <c r="F370" s="6" t="s">
        <v>140</v>
      </c>
      <c r="G370" s="10">
        <f t="shared" si="15"/>
        <v>2024</v>
      </c>
      <c r="H370" s="10">
        <f t="shared" si="16"/>
        <v>1</v>
      </c>
      <c r="I370" s="10">
        <f t="shared" si="17"/>
        <v>29</v>
      </c>
      <c r="J370" s="9" t="s">
        <v>190</v>
      </c>
      <c r="K370" s="2" t="s">
        <v>33</v>
      </c>
      <c r="L370" s="2">
        <v>175.01</v>
      </c>
      <c r="M370" s="2" t="s">
        <v>65</v>
      </c>
      <c r="N370" s="2" t="s">
        <v>20</v>
      </c>
      <c r="O370" s="2">
        <v>49</v>
      </c>
      <c r="P370" s="2"/>
    </row>
    <row r="371" spans="2:16" ht="21" hidden="1" x14ac:dyDescent="0.55000000000000004">
      <c r="B371" s="2" t="s">
        <v>1080</v>
      </c>
      <c r="C371" s="2" t="s">
        <v>1081</v>
      </c>
      <c r="D371" s="2" t="s">
        <v>106</v>
      </c>
      <c r="E371" s="2" t="s">
        <v>139</v>
      </c>
      <c r="F371" s="6" t="s">
        <v>31</v>
      </c>
      <c r="G371" s="10">
        <f t="shared" si="15"/>
        <v>2024</v>
      </c>
      <c r="H371" s="10">
        <f t="shared" si="16"/>
        <v>1</v>
      </c>
      <c r="I371" s="10">
        <f t="shared" si="17"/>
        <v>14</v>
      </c>
      <c r="J371" s="9" t="s">
        <v>1082</v>
      </c>
      <c r="K371" s="2" t="s">
        <v>48</v>
      </c>
      <c r="L371" s="2">
        <v>445.24</v>
      </c>
      <c r="M371" s="2" t="s">
        <v>65</v>
      </c>
      <c r="N371" s="2" t="s">
        <v>26</v>
      </c>
      <c r="O371" s="2">
        <v>60</v>
      </c>
      <c r="P371" s="2">
        <v>3</v>
      </c>
    </row>
    <row r="372" spans="2:16" ht="21" x14ac:dyDescent="0.55000000000000004">
      <c r="B372" s="2" t="s">
        <v>1083</v>
      </c>
      <c r="C372" s="2" t="s">
        <v>1084</v>
      </c>
      <c r="D372" s="2" t="s">
        <v>68</v>
      </c>
      <c r="E372" s="2" t="s">
        <v>54</v>
      </c>
      <c r="F372" s="6" t="s">
        <v>272</v>
      </c>
      <c r="G372" s="10">
        <f t="shared" si="15"/>
        <v>2024</v>
      </c>
      <c r="H372" s="10">
        <f t="shared" si="16"/>
        <v>1</v>
      </c>
      <c r="I372" s="10">
        <f t="shared" si="17"/>
        <v>1</v>
      </c>
      <c r="J372" s="9" t="s">
        <v>1085</v>
      </c>
      <c r="K372" s="2" t="s">
        <v>57</v>
      </c>
      <c r="L372" s="2">
        <v>141.44999999999999</v>
      </c>
      <c r="M372" s="2" t="s">
        <v>65</v>
      </c>
      <c r="N372" s="2" t="s">
        <v>20</v>
      </c>
      <c r="O372" s="2">
        <v>40</v>
      </c>
      <c r="P372" s="2">
        <v>2</v>
      </c>
    </row>
    <row r="373" spans="2:16" ht="21" hidden="1" x14ac:dyDescent="0.55000000000000004">
      <c r="B373" s="2" t="s">
        <v>1086</v>
      </c>
      <c r="C373" s="2" t="s">
        <v>1087</v>
      </c>
      <c r="D373" s="2" t="s">
        <v>60</v>
      </c>
      <c r="E373" s="2" t="s">
        <v>125</v>
      </c>
      <c r="F373" s="6" t="s">
        <v>55</v>
      </c>
      <c r="G373" s="10">
        <f t="shared" si="15"/>
        <v>2024</v>
      </c>
      <c r="H373" s="10">
        <f t="shared" si="16"/>
        <v>1</v>
      </c>
      <c r="I373" s="10">
        <f t="shared" si="17"/>
        <v>8</v>
      </c>
      <c r="J373" s="9" t="s">
        <v>849</v>
      </c>
      <c r="K373" s="2" t="s">
        <v>33</v>
      </c>
      <c r="L373" s="2">
        <v>396.51</v>
      </c>
      <c r="M373" s="2" t="s">
        <v>19</v>
      </c>
      <c r="N373" s="2" t="s">
        <v>50</v>
      </c>
      <c r="O373" s="2">
        <v>32</v>
      </c>
      <c r="P373" s="2">
        <v>3</v>
      </c>
    </row>
    <row r="374" spans="2:16" ht="21" x14ac:dyDescent="0.55000000000000004">
      <c r="B374" s="2" t="s">
        <v>1088</v>
      </c>
      <c r="C374" s="2" t="s">
        <v>1089</v>
      </c>
      <c r="D374" s="2" t="s">
        <v>44</v>
      </c>
      <c r="E374" s="2" t="s">
        <v>54</v>
      </c>
      <c r="F374" s="6" t="s">
        <v>16</v>
      </c>
      <c r="G374" s="10">
        <f t="shared" si="15"/>
        <v>2024</v>
      </c>
      <c r="H374" s="10">
        <f t="shared" si="16"/>
        <v>1</v>
      </c>
      <c r="I374" s="10">
        <f t="shared" si="17"/>
        <v>9</v>
      </c>
      <c r="J374" s="9" t="s">
        <v>229</v>
      </c>
      <c r="K374" s="2" t="s">
        <v>48</v>
      </c>
      <c r="L374" s="2">
        <v>227.17</v>
      </c>
      <c r="M374" s="2" t="s">
        <v>122</v>
      </c>
      <c r="N374" s="2" t="s">
        <v>50</v>
      </c>
      <c r="O374" s="2">
        <v>27</v>
      </c>
      <c r="P374" s="2">
        <v>3</v>
      </c>
    </row>
    <row r="375" spans="2:16" ht="21" hidden="1" x14ac:dyDescent="0.55000000000000004">
      <c r="B375" s="2" t="s">
        <v>1090</v>
      </c>
      <c r="C375" s="2" t="s">
        <v>1091</v>
      </c>
      <c r="D375" s="2" t="s">
        <v>73</v>
      </c>
      <c r="E375" s="2" t="s">
        <v>125</v>
      </c>
      <c r="F375" s="6" t="s">
        <v>102</v>
      </c>
      <c r="G375" s="10">
        <f t="shared" si="15"/>
        <v>2024</v>
      </c>
      <c r="H375" s="10">
        <f t="shared" si="16"/>
        <v>1</v>
      </c>
      <c r="I375" s="10">
        <f t="shared" si="17"/>
        <v>26</v>
      </c>
      <c r="J375" s="9" t="s">
        <v>767</v>
      </c>
      <c r="K375" s="2" t="s">
        <v>57</v>
      </c>
      <c r="L375" s="2">
        <v>446.67</v>
      </c>
      <c r="M375" s="2" t="s">
        <v>122</v>
      </c>
      <c r="N375" s="2" t="s">
        <v>20</v>
      </c>
      <c r="O375" s="2">
        <v>70</v>
      </c>
      <c r="P375" s="2">
        <v>1</v>
      </c>
    </row>
    <row r="376" spans="2:16" ht="21" hidden="1" x14ac:dyDescent="0.55000000000000004">
      <c r="B376" s="2" t="s">
        <v>1092</v>
      </c>
      <c r="C376" s="2" t="s">
        <v>1093</v>
      </c>
      <c r="D376" s="2" t="s">
        <v>53</v>
      </c>
      <c r="E376" s="2" t="s">
        <v>37</v>
      </c>
      <c r="F376" s="6" t="s">
        <v>257</v>
      </c>
      <c r="G376" s="10">
        <f t="shared" si="15"/>
        <v>2024</v>
      </c>
      <c r="H376" s="10">
        <f t="shared" si="16"/>
        <v>1</v>
      </c>
      <c r="I376" s="10">
        <f t="shared" si="17"/>
        <v>10</v>
      </c>
      <c r="J376" s="9" t="s">
        <v>17</v>
      </c>
      <c r="K376" s="2" t="s">
        <v>48</v>
      </c>
      <c r="L376" s="2">
        <v>63.96</v>
      </c>
      <c r="M376" s="2" t="s">
        <v>65</v>
      </c>
      <c r="N376" s="2" t="s">
        <v>26</v>
      </c>
      <c r="O376" s="2">
        <v>76</v>
      </c>
      <c r="P376" s="2">
        <v>5</v>
      </c>
    </row>
    <row r="377" spans="2:16" ht="21" hidden="1" x14ac:dyDescent="0.55000000000000004">
      <c r="B377" s="2" t="s">
        <v>1094</v>
      </c>
      <c r="C377" s="2" t="s">
        <v>1095</v>
      </c>
      <c r="D377" s="2" t="s">
        <v>44</v>
      </c>
      <c r="E377" s="2" t="s">
        <v>15</v>
      </c>
      <c r="F377" s="6" t="s">
        <v>113</v>
      </c>
      <c r="G377" s="10">
        <f t="shared" si="15"/>
        <v>2024</v>
      </c>
      <c r="H377" s="10">
        <f t="shared" si="16"/>
        <v>1</v>
      </c>
      <c r="I377" s="10">
        <f t="shared" si="17"/>
        <v>15</v>
      </c>
      <c r="J377" s="9" t="s">
        <v>1096</v>
      </c>
      <c r="K377" s="2" t="s">
        <v>40</v>
      </c>
      <c r="L377" s="2">
        <v>139.78</v>
      </c>
      <c r="M377" s="2" t="s">
        <v>122</v>
      </c>
      <c r="N377" s="2" t="s">
        <v>26</v>
      </c>
      <c r="O377" s="2">
        <v>44</v>
      </c>
      <c r="P377" s="2">
        <v>5</v>
      </c>
    </row>
    <row r="378" spans="2:16" ht="21" hidden="1" x14ac:dyDescent="0.55000000000000004">
      <c r="B378" s="2" t="s">
        <v>1097</v>
      </c>
      <c r="C378" s="2" t="s">
        <v>1098</v>
      </c>
      <c r="D378" s="2" t="s">
        <v>73</v>
      </c>
      <c r="E378" s="2" t="s">
        <v>61</v>
      </c>
      <c r="F378" s="6" t="s">
        <v>473</v>
      </c>
      <c r="G378" s="10">
        <f t="shared" si="15"/>
        <v>2024</v>
      </c>
      <c r="H378" s="10">
        <f t="shared" si="16"/>
        <v>1</v>
      </c>
      <c r="I378" s="10">
        <f t="shared" si="17"/>
        <v>30</v>
      </c>
      <c r="J378" s="9" t="s">
        <v>1099</v>
      </c>
      <c r="K378" s="2" t="s">
        <v>57</v>
      </c>
      <c r="L378" s="2">
        <v>423.93</v>
      </c>
      <c r="M378" s="2" t="s">
        <v>49</v>
      </c>
      <c r="N378" s="2" t="s">
        <v>50</v>
      </c>
      <c r="O378" s="2">
        <v>71</v>
      </c>
      <c r="P378" s="2">
        <v>4</v>
      </c>
    </row>
    <row r="379" spans="2:16" ht="21" hidden="1" x14ac:dyDescent="0.55000000000000004">
      <c r="B379" s="2" t="s">
        <v>1100</v>
      </c>
      <c r="C379" s="2" t="s">
        <v>1101</v>
      </c>
      <c r="D379" s="2" t="s">
        <v>68</v>
      </c>
      <c r="E379" s="2" t="s">
        <v>15</v>
      </c>
      <c r="F379" s="6" t="s">
        <v>302</v>
      </c>
      <c r="G379" s="10">
        <f t="shared" si="15"/>
        <v>2024</v>
      </c>
      <c r="H379" s="10">
        <f t="shared" si="16"/>
        <v>1</v>
      </c>
      <c r="I379" s="10">
        <f t="shared" si="17"/>
        <v>2</v>
      </c>
      <c r="J379" s="9" t="s">
        <v>1102</v>
      </c>
      <c r="K379" s="2" t="s">
        <v>77</v>
      </c>
      <c r="L379" s="2">
        <v>286.39999999999998</v>
      </c>
      <c r="M379" s="2" t="s">
        <v>65</v>
      </c>
      <c r="N379" s="2" t="s">
        <v>26</v>
      </c>
      <c r="O379" s="2">
        <v>85</v>
      </c>
      <c r="P379" s="2">
        <v>5</v>
      </c>
    </row>
    <row r="380" spans="2:16" ht="21" hidden="1" x14ac:dyDescent="0.55000000000000004">
      <c r="B380" s="2" t="s">
        <v>1103</v>
      </c>
      <c r="C380" s="2" t="s">
        <v>1104</v>
      </c>
      <c r="D380" s="2" t="s">
        <v>73</v>
      </c>
      <c r="E380" s="2" t="s">
        <v>74</v>
      </c>
      <c r="F380" s="6" t="s">
        <v>102</v>
      </c>
      <c r="G380" s="10">
        <f t="shared" si="15"/>
        <v>2024</v>
      </c>
      <c r="H380" s="10">
        <f t="shared" si="16"/>
        <v>1</v>
      </c>
      <c r="I380" s="10">
        <f t="shared" si="17"/>
        <v>26</v>
      </c>
      <c r="J380" s="9" t="s">
        <v>1105</v>
      </c>
      <c r="K380" s="2" t="s">
        <v>48</v>
      </c>
      <c r="L380" s="2">
        <v>158.83000000000001</v>
      </c>
      <c r="M380" s="2" t="s">
        <v>65</v>
      </c>
      <c r="N380" s="2" t="s">
        <v>41</v>
      </c>
      <c r="O380" s="2">
        <v>59</v>
      </c>
      <c r="P380" s="2">
        <v>1</v>
      </c>
    </row>
    <row r="381" spans="2:16" ht="21" x14ac:dyDescent="0.55000000000000004">
      <c r="B381" s="2" t="s">
        <v>1106</v>
      </c>
      <c r="C381" s="2" t="s">
        <v>1107</v>
      </c>
      <c r="D381" s="2" t="s">
        <v>44</v>
      </c>
      <c r="E381" s="2" t="s">
        <v>54</v>
      </c>
      <c r="F381" s="6" t="s">
        <v>140</v>
      </c>
      <c r="G381" s="10">
        <f t="shared" si="15"/>
        <v>2024</v>
      </c>
      <c r="H381" s="10">
        <f t="shared" si="16"/>
        <v>1</v>
      </c>
      <c r="I381" s="10">
        <f t="shared" si="17"/>
        <v>29</v>
      </c>
      <c r="J381" s="9" t="s">
        <v>254</v>
      </c>
      <c r="K381" s="2" t="s">
        <v>40</v>
      </c>
      <c r="L381" s="2">
        <v>88.17</v>
      </c>
      <c r="M381" s="2" t="s">
        <v>49</v>
      </c>
      <c r="N381" s="2" t="s">
        <v>41</v>
      </c>
      <c r="O381" s="2">
        <v>86</v>
      </c>
      <c r="P381" s="2">
        <v>1</v>
      </c>
    </row>
    <row r="382" spans="2:16" ht="21" hidden="1" x14ac:dyDescent="0.55000000000000004">
      <c r="B382" s="2" t="s">
        <v>1108</v>
      </c>
      <c r="C382" s="2" t="s">
        <v>1109</v>
      </c>
      <c r="D382" s="2" t="s">
        <v>29</v>
      </c>
      <c r="E382" s="2" t="s">
        <v>80</v>
      </c>
      <c r="F382" s="6" t="s">
        <v>129</v>
      </c>
      <c r="G382" s="10">
        <f t="shared" si="15"/>
        <v>2024</v>
      </c>
      <c r="H382" s="10">
        <f t="shared" si="16"/>
        <v>1</v>
      </c>
      <c r="I382" s="10">
        <f t="shared" si="17"/>
        <v>19</v>
      </c>
      <c r="J382" s="9" t="s">
        <v>1110</v>
      </c>
      <c r="K382" s="2" t="s">
        <v>40</v>
      </c>
      <c r="L382" s="2">
        <v>176.05</v>
      </c>
      <c r="M382" s="2" t="s">
        <v>122</v>
      </c>
      <c r="N382" s="2" t="s">
        <v>50</v>
      </c>
      <c r="O382" s="2">
        <v>70</v>
      </c>
      <c r="P382" s="2">
        <v>2</v>
      </c>
    </row>
    <row r="383" spans="2:16" ht="21" hidden="1" x14ac:dyDescent="0.55000000000000004">
      <c r="B383" s="2" t="s">
        <v>1111</v>
      </c>
      <c r="C383" s="2" t="s">
        <v>1112</v>
      </c>
      <c r="D383" s="2" t="s">
        <v>44</v>
      </c>
      <c r="E383" s="2" t="s">
        <v>45</v>
      </c>
      <c r="F383" s="6" t="s">
        <v>31</v>
      </c>
      <c r="G383" s="10">
        <f t="shared" si="15"/>
        <v>2024</v>
      </c>
      <c r="H383" s="10">
        <f t="shared" si="16"/>
        <v>1</v>
      </c>
      <c r="I383" s="10">
        <f t="shared" si="17"/>
        <v>14</v>
      </c>
      <c r="J383" s="9" t="s">
        <v>1113</v>
      </c>
      <c r="K383" s="2" t="s">
        <v>33</v>
      </c>
      <c r="L383" s="2">
        <v>431.42</v>
      </c>
      <c r="M383" s="2" t="s">
        <v>19</v>
      </c>
      <c r="N383" s="2" t="s">
        <v>26</v>
      </c>
      <c r="O383" s="2">
        <v>43</v>
      </c>
      <c r="P383" s="2">
        <v>2</v>
      </c>
    </row>
    <row r="384" spans="2:16" ht="21" hidden="1" x14ac:dyDescent="0.55000000000000004">
      <c r="B384" s="2" t="s">
        <v>1114</v>
      </c>
      <c r="C384" s="2" t="s">
        <v>1115</v>
      </c>
      <c r="D384" s="2" t="s">
        <v>29</v>
      </c>
      <c r="E384" s="2" t="s">
        <v>15</v>
      </c>
      <c r="F384" s="6" t="s">
        <v>46</v>
      </c>
      <c r="G384" s="10">
        <f t="shared" si="15"/>
        <v>2024</v>
      </c>
      <c r="H384" s="10">
        <f t="shared" si="16"/>
        <v>1</v>
      </c>
      <c r="I384" s="10">
        <f t="shared" si="17"/>
        <v>17</v>
      </c>
      <c r="J384" s="9" t="s">
        <v>1116</v>
      </c>
      <c r="K384" s="2" t="s">
        <v>77</v>
      </c>
      <c r="L384" s="2">
        <v>443.78</v>
      </c>
      <c r="M384" s="2" t="s">
        <v>49</v>
      </c>
      <c r="N384" s="2" t="s">
        <v>50</v>
      </c>
      <c r="O384" s="2">
        <v>87</v>
      </c>
      <c r="P384" s="2">
        <v>5</v>
      </c>
    </row>
    <row r="385" spans="2:16" ht="21" hidden="1" x14ac:dyDescent="0.55000000000000004">
      <c r="B385" s="2" t="s">
        <v>1117</v>
      </c>
      <c r="C385" s="2" t="s">
        <v>1118</v>
      </c>
      <c r="D385" s="2" t="s">
        <v>68</v>
      </c>
      <c r="E385" s="2" t="s">
        <v>80</v>
      </c>
      <c r="F385" s="6" t="s">
        <v>140</v>
      </c>
      <c r="G385" s="10">
        <f t="shared" si="15"/>
        <v>2024</v>
      </c>
      <c r="H385" s="10">
        <f t="shared" si="16"/>
        <v>1</v>
      </c>
      <c r="I385" s="10">
        <f t="shared" si="17"/>
        <v>29</v>
      </c>
      <c r="J385" s="9" t="s">
        <v>513</v>
      </c>
      <c r="K385" s="2" t="s">
        <v>33</v>
      </c>
      <c r="L385" s="2">
        <v>250.2</v>
      </c>
      <c r="M385" s="2" t="s">
        <v>122</v>
      </c>
      <c r="N385" s="2" t="s">
        <v>50</v>
      </c>
      <c r="O385" s="2">
        <v>90</v>
      </c>
      <c r="P385" s="2">
        <v>3</v>
      </c>
    </row>
    <row r="386" spans="2:16" ht="21" x14ac:dyDescent="0.55000000000000004">
      <c r="B386" s="2" t="s">
        <v>1119</v>
      </c>
      <c r="C386" s="2" t="s">
        <v>1120</v>
      </c>
      <c r="D386" s="2" t="s">
        <v>44</v>
      </c>
      <c r="E386" s="2" t="s">
        <v>54</v>
      </c>
      <c r="F386" s="6" t="s">
        <v>317</v>
      </c>
      <c r="G386" s="10">
        <f t="shared" si="15"/>
        <v>2024</v>
      </c>
      <c r="H386" s="10">
        <f t="shared" si="16"/>
        <v>1</v>
      </c>
      <c r="I386" s="10">
        <f t="shared" si="17"/>
        <v>3</v>
      </c>
      <c r="J386" s="9" t="s">
        <v>1121</v>
      </c>
      <c r="K386" s="2" t="s">
        <v>33</v>
      </c>
      <c r="L386" s="2">
        <v>366.26</v>
      </c>
      <c r="M386" s="2" t="s">
        <v>122</v>
      </c>
      <c r="N386" s="2" t="s">
        <v>50</v>
      </c>
      <c r="O386" s="2">
        <v>76</v>
      </c>
      <c r="P386" s="2"/>
    </row>
    <row r="387" spans="2:16" ht="21" hidden="1" x14ac:dyDescent="0.55000000000000004">
      <c r="B387" s="2" t="s">
        <v>1122</v>
      </c>
      <c r="C387" s="2" t="s">
        <v>1123</v>
      </c>
      <c r="D387" s="2" t="s">
        <v>106</v>
      </c>
      <c r="E387" s="2" t="s">
        <v>89</v>
      </c>
      <c r="F387" s="6" t="s">
        <v>198</v>
      </c>
      <c r="G387" s="10">
        <f t="shared" si="15"/>
        <v>2024</v>
      </c>
      <c r="H387" s="10">
        <f t="shared" si="16"/>
        <v>1</v>
      </c>
      <c r="I387" s="10">
        <f t="shared" si="17"/>
        <v>4</v>
      </c>
      <c r="J387" s="9" t="s">
        <v>618</v>
      </c>
      <c r="K387" s="2" t="s">
        <v>48</v>
      </c>
      <c r="L387" s="2">
        <v>193.23</v>
      </c>
      <c r="M387" s="2" t="s">
        <v>19</v>
      </c>
      <c r="N387" s="2" t="s">
        <v>20</v>
      </c>
      <c r="O387" s="2">
        <v>63</v>
      </c>
      <c r="P387" s="2"/>
    </row>
    <row r="388" spans="2:16" ht="21" hidden="1" x14ac:dyDescent="0.55000000000000004">
      <c r="B388" s="2" t="s">
        <v>1124</v>
      </c>
      <c r="C388" s="2" t="s">
        <v>1125</v>
      </c>
      <c r="D388" s="2" t="s">
        <v>29</v>
      </c>
      <c r="E388" s="2" t="s">
        <v>74</v>
      </c>
      <c r="F388" s="6" t="s">
        <v>154</v>
      </c>
      <c r="G388" s="10">
        <f t="shared" ref="G388:G451" si="18">YEAR(F388)</f>
        <v>2024</v>
      </c>
      <c r="H388" s="10">
        <f t="shared" ref="H388:H451" si="19">MONTH(F388)</f>
        <v>1</v>
      </c>
      <c r="I388" s="10">
        <f t="shared" ref="I388:I451" si="20">DAY(F388)</f>
        <v>22</v>
      </c>
      <c r="J388" s="9" t="s">
        <v>17</v>
      </c>
      <c r="K388" s="2" t="s">
        <v>33</v>
      </c>
      <c r="L388" s="2">
        <v>343.52</v>
      </c>
      <c r="M388" s="2" t="s">
        <v>49</v>
      </c>
      <c r="N388" s="2" t="s">
        <v>41</v>
      </c>
      <c r="O388" s="2">
        <v>39</v>
      </c>
      <c r="P388" s="2">
        <v>2</v>
      </c>
    </row>
    <row r="389" spans="2:16" ht="21" hidden="1" x14ac:dyDescent="0.55000000000000004">
      <c r="B389" s="2" t="s">
        <v>1126</v>
      </c>
      <c r="C389" s="2" t="s">
        <v>1127</v>
      </c>
      <c r="D389" s="2" t="s">
        <v>14</v>
      </c>
      <c r="E389" s="2" t="s">
        <v>139</v>
      </c>
      <c r="F389" s="6" t="s">
        <v>24</v>
      </c>
      <c r="G389" s="10">
        <f t="shared" si="18"/>
        <v>2024</v>
      </c>
      <c r="H389" s="10">
        <f t="shared" si="19"/>
        <v>1</v>
      </c>
      <c r="I389" s="10">
        <f t="shared" si="20"/>
        <v>21</v>
      </c>
      <c r="J389" s="9" t="s">
        <v>1128</v>
      </c>
      <c r="K389" s="2" t="s">
        <v>57</v>
      </c>
      <c r="L389" s="2">
        <v>126.55</v>
      </c>
      <c r="M389" s="2" t="s">
        <v>19</v>
      </c>
      <c r="N389" s="2" t="s">
        <v>26</v>
      </c>
      <c r="O389" s="2">
        <v>39</v>
      </c>
      <c r="P389" s="2">
        <v>1</v>
      </c>
    </row>
    <row r="390" spans="2:16" ht="21" hidden="1" x14ac:dyDescent="0.55000000000000004">
      <c r="B390" s="2" t="s">
        <v>1129</v>
      </c>
      <c r="C390" s="2" t="s">
        <v>1130</v>
      </c>
      <c r="D390" s="2" t="s">
        <v>117</v>
      </c>
      <c r="E390" s="2" t="s">
        <v>45</v>
      </c>
      <c r="F390" s="6" t="s">
        <v>118</v>
      </c>
      <c r="G390" s="10">
        <f t="shared" si="18"/>
        <v>2024</v>
      </c>
      <c r="H390" s="10">
        <f t="shared" si="19"/>
        <v>1</v>
      </c>
      <c r="I390" s="10">
        <f t="shared" si="20"/>
        <v>24</v>
      </c>
      <c r="J390" s="9" t="s">
        <v>1131</v>
      </c>
      <c r="K390" s="2" t="s">
        <v>57</v>
      </c>
      <c r="L390" s="2">
        <v>387.65</v>
      </c>
      <c r="M390" s="2" t="s">
        <v>65</v>
      </c>
      <c r="N390" s="2" t="s">
        <v>41</v>
      </c>
      <c r="O390" s="2">
        <v>29</v>
      </c>
      <c r="P390" s="2"/>
    </row>
    <row r="391" spans="2:16" ht="21" hidden="1" x14ac:dyDescent="0.55000000000000004">
      <c r="B391" s="2" t="s">
        <v>1132</v>
      </c>
      <c r="C391" s="2" t="s">
        <v>1133</v>
      </c>
      <c r="D391" s="2" t="s">
        <v>53</v>
      </c>
      <c r="E391" s="2" t="s">
        <v>80</v>
      </c>
      <c r="F391" s="6" t="s">
        <v>85</v>
      </c>
      <c r="G391" s="10">
        <f t="shared" si="18"/>
        <v>2024</v>
      </c>
      <c r="H391" s="10">
        <f t="shared" si="19"/>
        <v>1</v>
      </c>
      <c r="I391" s="10">
        <f t="shared" si="20"/>
        <v>16</v>
      </c>
      <c r="J391" s="9" t="s">
        <v>519</v>
      </c>
      <c r="K391" s="2" t="s">
        <v>77</v>
      </c>
      <c r="L391" s="2">
        <v>480.71</v>
      </c>
      <c r="M391" s="2" t="s">
        <v>122</v>
      </c>
      <c r="N391" s="2" t="s">
        <v>41</v>
      </c>
      <c r="O391" s="2">
        <v>52</v>
      </c>
      <c r="P391" s="2">
        <v>4</v>
      </c>
    </row>
    <row r="392" spans="2:16" ht="21" hidden="1" x14ac:dyDescent="0.55000000000000004">
      <c r="B392" s="2" t="s">
        <v>1134</v>
      </c>
      <c r="C392" s="2" t="s">
        <v>1135</v>
      </c>
      <c r="D392" s="2" t="s">
        <v>14</v>
      </c>
      <c r="E392" s="2" t="s">
        <v>89</v>
      </c>
      <c r="F392" s="6" t="s">
        <v>272</v>
      </c>
      <c r="G392" s="10">
        <f t="shared" si="18"/>
        <v>2024</v>
      </c>
      <c r="H392" s="10">
        <f t="shared" si="19"/>
        <v>1</v>
      </c>
      <c r="I392" s="10">
        <f t="shared" si="20"/>
        <v>1</v>
      </c>
      <c r="J392" s="9" t="s">
        <v>1136</v>
      </c>
      <c r="K392" s="2" t="s">
        <v>64</v>
      </c>
      <c r="L392" s="2">
        <v>308.61</v>
      </c>
      <c r="M392" s="2" t="s">
        <v>65</v>
      </c>
      <c r="N392" s="2" t="s">
        <v>41</v>
      </c>
      <c r="O392" s="2">
        <v>21</v>
      </c>
      <c r="P392" s="2">
        <v>2</v>
      </c>
    </row>
    <row r="393" spans="2:16" ht="21" hidden="1" x14ac:dyDescent="0.55000000000000004">
      <c r="B393" s="2" t="s">
        <v>1137</v>
      </c>
      <c r="C393" s="2" t="s">
        <v>1138</v>
      </c>
      <c r="D393" s="2" t="s">
        <v>73</v>
      </c>
      <c r="E393" s="2" t="s">
        <v>125</v>
      </c>
      <c r="F393" s="6" t="s">
        <v>118</v>
      </c>
      <c r="G393" s="10">
        <f t="shared" si="18"/>
        <v>2024</v>
      </c>
      <c r="H393" s="10">
        <f t="shared" si="19"/>
        <v>1</v>
      </c>
      <c r="I393" s="10">
        <f t="shared" si="20"/>
        <v>24</v>
      </c>
      <c r="J393" s="9" t="s">
        <v>1139</v>
      </c>
      <c r="K393" s="2" t="s">
        <v>40</v>
      </c>
      <c r="L393" s="2">
        <v>167.11</v>
      </c>
      <c r="M393" s="2" t="s">
        <v>122</v>
      </c>
      <c r="N393" s="2" t="s">
        <v>26</v>
      </c>
      <c r="O393" s="2">
        <v>21</v>
      </c>
      <c r="P393" s="2"/>
    </row>
    <row r="394" spans="2:16" ht="21" hidden="1" x14ac:dyDescent="0.55000000000000004">
      <c r="B394" s="2" t="s">
        <v>1140</v>
      </c>
      <c r="C394" s="2" t="s">
        <v>1141</v>
      </c>
      <c r="D394" s="2" t="s">
        <v>106</v>
      </c>
      <c r="E394" s="2" t="s">
        <v>80</v>
      </c>
      <c r="F394" s="6" t="s">
        <v>85</v>
      </c>
      <c r="G394" s="10">
        <f t="shared" si="18"/>
        <v>2024</v>
      </c>
      <c r="H394" s="10">
        <f t="shared" si="19"/>
        <v>1</v>
      </c>
      <c r="I394" s="10">
        <f t="shared" si="20"/>
        <v>16</v>
      </c>
      <c r="J394" s="9" t="s">
        <v>1142</v>
      </c>
      <c r="K394" s="2" t="s">
        <v>18</v>
      </c>
      <c r="L394" s="2">
        <v>359.96</v>
      </c>
      <c r="M394" s="2" t="s">
        <v>65</v>
      </c>
      <c r="N394" s="2" t="s">
        <v>26</v>
      </c>
      <c r="O394" s="2">
        <v>81</v>
      </c>
      <c r="P394" s="2"/>
    </row>
    <row r="395" spans="2:16" ht="21" hidden="1" x14ac:dyDescent="0.55000000000000004">
      <c r="B395" s="2" t="s">
        <v>1143</v>
      </c>
      <c r="C395" s="2" t="s">
        <v>1144</v>
      </c>
      <c r="D395" s="2" t="s">
        <v>60</v>
      </c>
      <c r="E395" s="2" t="s">
        <v>89</v>
      </c>
      <c r="F395" s="6" t="s">
        <v>85</v>
      </c>
      <c r="G395" s="10">
        <f t="shared" si="18"/>
        <v>2024</v>
      </c>
      <c r="H395" s="10">
        <f t="shared" si="19"/>
        <v>1</v>
      </c>
      <c r="I395" s="10">
        <f t="shared" si="20"/>
        <v>16</v>
      </c>
      <c r="J395" s="9" t="s">
        <v>1145</v>
      </c>
      <c r="K395" s="2" t="s">
        <v>18</v>
      </c>
      <c r="L395" s="2">
        <v>233.28</v>
      </c>
      <c r="M395" s="2" t="s">
        <v>65</v>
      </c>
      <c r="N395" s="2" t="s">
        <v>41</v>
      </c>
      <c r="O395" s="2">
        <v>39</v>
      </c>
      <c r="P395" s="2">
        <v>3</v>
      </c>
    </row>
    <row r="396" spans="2:16" ht="21" hidden="1" x14ac:dyDescent="0.55000000000000004">
      <c r="B396" s="2" t="s">
        <v>1146</v>
      </c>
      <c r="C396" s="2" t="s">
        <v>1147</v>
      </c>
      <c r="D396" s="2" t="s">
        <v>117</v>
      </c>
      <c r="E396" s="2" t="s">
        <v>37</v>
      </c>
      <c r="F396" s="6" t="s">
        <v>302</v>
      </c>
      <c r="G396" s="10">
        <f t="shared" si="18"/>
        <v>2024</v>
      </c>
      <c r="H396" s="10">
        <f t="shared" si="19"/>
        <v>1</v>
      </c>
      <c r="I396" s="10">
        <f t="shared" si="20"/>
        <v>2</v>
      </c>
      <c r="J396" s="9" t="s">
        <v>854</v>
      </c>
      <c r="K396" s="2" t="s">
        <v>77</v>
      </c>
      <c r="L396" s="2">
        <v>210.4</v>
      </c>
      <c r="M396" s="2" t="s">
        <v>122</v>
      </c>
      <c r="N396" s="2" t="s">
        <v>20</v>
      </c>
      <c r="O396" s="2">
        <v>89</v>
      </c>
      <c r="P396" s="2"/>
    </row>
    <row r="397" spans="2:16" ht="21" hidden="1" x14ac:dyDescent="0.55000000000000004">
      <c r="B397" s="2" t="s">
        <v>1148</v>
      </c>
      <c r="C397" s="2" t="s">
        <v>1149</v>
      </c>
      <c r="D397" s="2" t="s">
        <v>23</v>
      </c>
      <c r="E397" s="2" t="s">
        <v>125</v>
      </c>
      <c r="F397" s="6" t="s">
        <v>144</v>
      </c>
      <c r="G397" s="10">
        <f t="shared" si="18"/>
        <v>2024</v>
      </c>
      <c r="H397" s="10">
        <f t="shared" si="19"/>
        <v>1</v>
      </c>
      <c r="I397" s="10">
        <f t="shared" si="20"/>
        <v>7</v>
      </c>
      <c r="J397" s="9" t="s">
        <v>1150</v>
      </c>
      <c r="K397" s="2" t="s">
        <v>33</v>
      </c>
      <c r="L397" s="2">
        <v>371.29</v>
      </c>
      <c r="M397" s="2" t="s">
        <v>122</v>
      </c>
      <c r="N397" s="2" t="s">
        <v>26</v>
      </c>
      <c r="O397" s="2">
        <v>18</v>
      </c>
      <c r="P397" s="2">
        <v>1</v>
      </c>
    </row>
    <row r="398" spans="2:16" ht="21" hidden="1" x14ac:dyDescent="0.55000000000000004">
      <c r="B398" s="2" t="s">
        <v>1151</v>
      </c>
      <c r="C398" s="2" t="s">
        <v>1152</v>
      </c>
      <c r="D398" s="2" t="s">
        <v>68</v>
      </c>
      <c r="E398" s="2" t="s">
        <v>74</v>
      </c>
      <c r="F398" s="6" t="s">
        <v>154</v>
      </c>
      <c r="G398" s="10">
        <f t="shared" si="18"/>
        <v>2024</v>
      </c>
      <c r="H398" s="10">
        <f t="shared" si="19"/>
        <v>1</v>
      </c>
      <c r="I398" s="10">
        <f t="shared" si="20"/>
        <v>22</v>
      </c>
      <c r="J398" s="9" t="s">
        <v>1010</v>
      </c>
      <c r="K398" s="2" t="s">
        <v>40</v>
      </c>
      <c r="L398" s="2">
        <v>442.09</v>
      </c>
      <c r="M398" s="2" t="s">
        <v>65</v>
      </c>
      <c r="N398" s="2" t="s">
        <v>26</v>
      </c>
      <c r="O398" s="2">
        <v>32</v>
      </c>
      <c r="P398" s="2">
        <v>2</v>
      </c>
    </row>
    <row r="399" spans="2:16" ht="21" hidden="1" x14ac:dyDescent="0.55000000000000004">
      <c r="B399" s="2" t="s">
        <v>1153</v>
      </c>
      <c r="C399" s="2" t="s">
        <v>1154</v>
      </c>
      <c r="D399" s="2" t="s">
        <v>23</v>
      </c>
      <c r="E399" s="2" t="s">
        <v>74</v>
      </c>
      <c r="F399" s="6" t="s">
        <v>349</v>
      </c>
      <c r="G399" s="10">
        <f t="shared" si="18"/>
        <v>2024</v>
      </c>
      <c r="H399" s="10">
        <f t="shared" si="19"/>
        <v>1</v>
      </c>
      <c r="I399" s="10">
        <f t="shared" si="20"/>
        <v>12</v>
      </c>
      <c r="J399" s="9" t="s">
        <v>403</v>
      </c>
      <c r="K399" s="2" t="s">
        <v>57</v>
      </c>
      <c r="L399" s="2">
        <v>453.92</v>
      </c>
      <c r="M399" s="2" t="s">
        <v>65</v>
      </c>
      <c r="N399" s="2" t="s">
        <v>50</v>
      </c>
      <c r="O399" s="2">
        <v>69</v>
      </c>
      <c r="P399" s="2">
        <v>3</v>
      </c>
    </row>
    <row r="400" spans="2:16" ht="21" hidden="1" x14ac:dyDescent="0.55000000000000004">
      <c r="B400" s="2" t="s">
        <v>1155</v>
      </c>
      <c r="C400" s="2" t="s">
        <v>1156</v>
      </c>
      <c r="D400" s="2" t="s">
        <v>44</v>
      </c>
      <c r="E400" s="2" t="s">
        <v>61</v>
      </c>
      <c r="F400" s="6" t="s">
        <v>132</v>
      </c>
      <c r="G400" s="10">
        <f t="shared" si="18"/>
        <v>2024</v>
      </c>
      <c r="H400" s="10">
        <f t="shared" si="19"/>
        <v>1</v>
      </c>
      <c r="I400" s="10">
        <f t="shared" si="20"/>
        <v>6</v>
      </c>
      <c r="J400" s="9" t="s">
        <v>1157</v>
      </c>
      <c r="K400" s="2" t="s">
        <v>18</v>
      </c>
      <c r="L400" s="2">
        <v>279.67</v>
      </c>
      <c r="M400" s="2" t="s">
        <v>19</v>
      </c>
      <c r="N400" s="2" t="s">
        <v>50</v>
      </c>
      <c r="O400" s="2">
        <v>53</v>
      </c>
      <c r="P400" s="2">
        <v>5</v>
      </c>
    </row>
    <row r="401" spans="2:16" ht="21" hidden="1" x14ac:dyDescent="0.55000000000000004">
      <c r="B401" s="2" t="s">
        <v>1158</v>
      </c>
      <c r="C401" s="2" t="s">
        <v>1159</v>
      </c>
      <c r="D401" s="2" t="s">
        <v>14</v>
      </c>
      <c r="E401" s="2" t="s">
        <v>37</v>
      </c>
      <c r="F401" s="6" t="s">
        <v>118</v>
      </c>
      <c r="G401" s="10">
        <f t="shared" si="18"/>
        <v>2024</v>
      </c>
      <c r="H401" s="10">
        <f t="shared" si="19"/>
        <v>1</v>
      </c>
      <c r="I401" s="10">
        <f t="shared" si="20"/>
        <v>24</v>
      </c>
      <c r="J401" s="9" t="s">
        <v>1160</v>
      </c>
      <c r="K401" s="2" t="s">
        <v>48</v>
      </c>
      <c r="L401" s="2">
        <v>175.33</v>
      </c>
      <c r="M401" s="2" t="s">
        <v>49</v>
      </c>
      <c r="N401" s="2" t="s">
        <v>41</v>
      </c>
      <c r="O401" s="2">
        <v>20</v>
      </c>
      <c r="P401" s="2">
        <v>4</v>
      </c>
    </row>
    <row r="402" spans="2:16" ht="21" hidden="1" x14ac:dyDescent="0.55000000000000004">
      <c r="B402" s="2" t="s">
        <v>1161</v>
      </c>
      <c r="C402" s="2" t="s">
        <v>201</v>
      </c>
      <c r="D402" s="2" t="s">
        <v>60</v>
      </c>
      <c r="E402" s="2" t="s">
        <v>15</v>
      </c>
      <c r="F402" s="6" t="s">
        <v>55</v>
      </c>
      <c r="G402" s="10">
        <f t="shared" si="18"/>
        <v>2024</v>
      </c>
      <c r="H402" s="10">
        <f t="shared" si="19"/>
        <v>1</v>
      </c>
      <c r="I402" s="10">
        <f t="shared" si="20"/>
        <v>8</v>
      </c>
      <c r="J402" s="9" t="s">
        <v>846</v>
      </c>
      <c r="K402" s="2" t="s">
        <v>57</v>
      </c>
      <c r="L402" s="2">
        <v>203.19</v>
      </c>
      <c r="M402" s="2" t="s">
        <v>122</v>
      </c>
      <c r="N402" s="2" t="s">
        <v>41</v>
      </c>
      <c r="O402" s="2">
        <v>40</v>
      </c>
      <c r="P402" s="2">
        <v>5</v>
      </c>
    </row>
    <row r="403" spans="2:16" ht="21" hidden="1" x14ac:dyDescent="0.55000000000000004">
      <c r="B403" s="2" t="s">
        <v>1162</v>
      </c>
      <c r="C403" s="2" t="s">
        <v>1163</v>
      </c>
      <c r="D403" s="2" t="s">
        <v>117</v>
      </c>
      <c r="E403" s="2" t="s">
        <v>74</v>
      </c>
      <c r="F403" s="6" t="s">
        <v>238</v>
      </c>
      <c r="G403" s="10">
        <f t="shared" si="18"/>
        <v>2024</v>
      </c>
      <c r="H403" s="10">
        <f t="shared" si="19"/>
        <v>1</v>
      </c>
      <c r="I403" s="10">
        <f t="shared" si="20"/>
        <v>20</v>
      </c>
      <c r="J403" s="9" t="s">
        <v>1164</v>
      </c>
      <c r="K403" s="2" t="s">
        <v>91</v>
      </c>
      <c r="L403" s="2">
        <v>283.70999999999998</v>
      </c>
      <c r="M403" s="2" t="s">
        <v>19</v>
      </c>
      <c r="N403" s="2" t="s">
        <v>50</v>
      </c>
      <c r="O403" s="2">
        <v>59</v>
      </c>
      <c r="P403" s="2">
        <v>4</v>
      </c>
    </row>
    <row r="404" spans="2:16" ht="21" hidden="1" x14ac:dyDescent="0.55000000000000004">
      <c r="B404" s="2" t="s">
        <v>1165</v>
      </c>
      <c r="C404" s="2" t="s">
        <v>1166</v>
      </c>
      <c r="D404" s="2" t="s">
        <v>60</v>
      </c>
      <c r="E404" s="2" t="s">
        <v>80</v>
      </c>
      <c r="F404" s="6" t="s">
        <v>81</v>
      </c>
      <c r="G404" s="10">
        <f t="shared" si="18"/>
        <v>2024</v>
      </c>
      <c r="H404" s="10">
        <f t="shared" si="19"/>
        <v>1</v>
      </c>
      <c r="I404" s="10">
        <f t="shared" si="20"/>
        <v>18</v>
      </c>
      <c r="J404" s="9" t="s">
        <v>1167</v>
      </c>
      <c r="K404" s="2" t="s">
        <v>91</v>
      </c>
      <c r="L404" s="2">
        <v>283.89</v>
      </c>
      <c r="M404" s="2" t="s">
        <v>49</v>
      </c>
      <c r="N404" s="2" t="s">
        <v>20</v>
      </c>
      <c r="O404" s="2">
        <v>35</v>
      </c>
      <c r="P404" s="2">
        <v>5</v>
      </c>
    </row>
    <row r="405" spans="2:16" ht="21" hidden="1" x14ac:dyDescent="0.55000000000000004">
      <c r="B405" s="2" t="s">
        <v>1168</v>
      </c>
      <c r="C405" s="2" t="s">
        <v>1169</v>
      </c>
      <c r="D405" s="2" t="s">
        <v>53</v>
      </c>
      <c r="E405" s="2" t="s">
        <v>80</v>
      </c>
      <c r="F405" s="6" t="s">
        <v>198</v>
      </c>
      <c r="G405" s="10">
        <f t="shared" si="18"/>
        <v>2024</v>
      </c>
      <c r="H405" s="10">
        <f t="shared" si="19"/>
        <v>1</v>
      </c>
      <c r="I405" s="10">
        <f t="shared" si="20"/>
        <v>4</v>
      </c>
      <c r="J405" s="9" t="s">
        <v>390</v>
      </c>
      <c r="K405" s="2" t="s">
        <v>48</v>
      </c>
      <c r="L405" s="2">
        <v>438.91</v>
      </c>
      <c r="M405" s="2" t="s">
        <v>49</v>
      </c>
      <c r="N405" s="2" t="s">
        <v>41</v>
      </c>
      <c r="O405" s="2">
        <v>35</v>
      </c>
      <c r="P405" s="2">
        <v>2</v>
      </c>
    </row>
    <row r="406" spans="2:16" ht="21" hidden="1" x14ac:dyDescent="0.55000000000000004">
      <c r="B406" s="2" t="s">
        <v>1170</v>
      </c>
      <c r="C406" s="2" t="s">
        <v>1171</v>
      </c>
      <c r="D406" s="2" t="s">
        <v>53</v>
      </c>
      <c r="E406" s="2" t="s">
        <v>37</v>
      </c>
      <c r="F406" s="6" t="s">
        <v>129</v>
      </c>
      <c r="G406" s="10">
        <f t="shared" si="18"/>
        <v>2024</v>
      </c>
      <c r="H406" s="10">
        <f t="shared" si="19"/>
        <v>1</v>
      </c>
      <c r="I406" s="10">
        <f t="shared" si="20"/>
        <v>19</v>
      </c>
      <c r="J406" s="9" t="s">
        <v>1172</v>
      </c>
      <c r="K406" s="2" t="s">
        <v>33</v>
      </c>
      <c r="L406" s="2">
        <v>436.49</v>
      </c>
      <c r="M406" s="2" t="s">
        <v>122</v>
      </c>
      <c r="N406" s="2" t="s">
        <v>50</v>
      </c>
      <c r="O406" s="2">
        <v>80</v>
      </c>
      <c r="P406" s="2">
        <v>1</v>
      </c>
    </row>
    <row r="407" spans="2:16" ht="21" hidden="1" x14ac:dyDescent="0.55000000000000004">
      <c r="B407" s="2" t="s">
        <v>1173</v>
      </c>
      <c r="C407" s="2" t="s">
        <v>518</v>
      </c>
      <c r="D407" s="2" t="s">
        <v>29</v>
      </c>
      <c r="E407" s="2" t="s">
        <v>125</v>
      </c>
      <c r="F407" s="6" t="s">
        <v>102</v>
      </c>
      <c r="G407" s="10">
        <f t="shared" si="18"/>
        <v>2024</v>
      </c>
      <c r="H407" s="10">
        <f t="shared" si="19"/>
        <v>1</v>
      </c>
      <c r="I407" s="10">
        <f t="shared" si="20"/>
        <v>26</v>
      </c>
      <c r="J407" s="9" t="s">
        <v>1174</v>
      </c>
      <c r="K407" s="2" t="s">
        <v>91</v>
      </c>
      <c r="L407" s="2">
        <v>77.3</v>
      </c>
      <c r="M407" s="2" t="s">
        <v>122</v>
      </c>
      <c r="N407" s="2" t="s">
        <v>26</v>
      </c>
      <c r="O407" s="2">
        <v>54</v>
      </c>
      <c r="P407" s="2">
        <v>1</v>
      </c>
    </row>
    <row r="408" spans="2:16" ht="21" hidden="1" x14ac:dyDescent="0.55000000000000004">
      <c r="B408" s="2" t="s">
        <v>1175</v>
      </c>
      <c r="C408" s="2" t="s">
        <v>1176</v>
      </c>
      <c r="D408" s="2" t="s">
        <v>53</v>
      </c>
      <c r="E408" s="2" t="s">
        <v>37</v>
      </c>
      <c r="F408" s="6" t="s">
        <v>349</v>
      </c>
      <c r="G408" s="10">
        <f t="shared" si="18"/>
        <v>2024</v>
      </c>
      <c r="H408" s="10">
        <f t="shared" si="19"/>
        <v>1</v>
      </c>
      <c r="I408" s="10">
        <f t="shared" si="20"/>
        <v>12</v>
      </c>
      <c r="J408" s="9" t="s">
        <v>1177</v>
      </c>
      <c r="K408" s="2" t="s">
        <v>64</v>
      </c>
      <c r="L408" s="2">
        <v>125.59</v>
      </c>
      <c r="M408" s="2" t="s">
        <v>19</v>
      </c>
      <c r="N408" s="2" t="s">
        <v>50</v>
      </c>
      <c r="O408" s="2">
        <v>29</v>
      </c>
      <c r="P408" s="2"/>
    </row>
    <row r="409" spans="2:16" ht="21" hidden="1" x14ac:dyDescent="0.55000000000000004">
      <c r="B409" s="2" t="s">
        <v>1178</v>
      </c>
      <c r="C409" s="2" t="s">
        <v>1179</v>
      </c>
      <c r="D409" s="2" t="s">
        <v>73</v>
      </c>
      <c r="E409" s="2" t="s">
        <v>139</v>
      </c>
      <c r="F409" s="6" t="s">
        <v>257</v>
      </c>
      <c r="G409" s="10">
        <f t="shared" si="18"/>
        <v>2024</v>
      </c>
      <c r="H409" s="10">
        <f t="shared" si="19"/>
        <v>1</v>
      </c>
      <c r="I409" s="10">
        <f t="shared" si="20"/>
        <v>10</v>
      </c>
      <c r="J409" s="9" t="s">
        <v>1180</v>
      </c>
      <c r="K409" s="2" t="s">
        <v>64</v>
      </c>
      <c r="L409" s="2">
        <v>370.63</v>
      </c>
      <c r="M409" s="2" t="s">
        <v>65</v>
      </c>
      <c r="N409" s="2" t="s">
        <v>50</v>
      </c>
      <c r="O409" s="2">
        <v>17</v>
      </c>
      <c r="P409" s="2">
        <v>5</v>
      </c>
    </row>
    <row r="410" spans="2:16" ht="21" hidden="1" x14ac:dyDescent="0.55000000000000004">
      <c r="B410" s="2" t="s">
        <v>1181</v>
      </c>
      <c r="C410" s="2" t="s">
        <v>1182</v>
      </c>
      <c r="D410" s="2" t="s">
        <v>29</v>
      </c>
      <c r="E410" s="2" t="s">
        <v>80</v>
      </c>
      <c r="F410" s="6" t="s">
        <v>302</v>
      </c>
      <c r="G410" s="10">
        <f t="shared" si="18"/>
        <v>2024</v>
      </c>
      <c r="H410" s="10">
        <f t="shared" si="19"/>
        <v>1</v>
      </c>
      <c r="I410" s="10">
        <f t="shared" si="20"/>
        <v>2</v>
      </c>
      <c r="J410" s="9" t="s">
        <v>1183</v>
      </c>
      <c r="K410" s="2" t="s">
        <v>77</v>
      </c>
      <c r="L410" s="2">
        <v>152.44</v>
      </c>
      <c r="M410" s="2" t="s">
        <v>19</v>
      </c>
      <c r="N410" s="2" t="s">
        <v>26</v>
      </c>
      <c r="O410" s="2">
        <v>36</v>
      </c>
      <c r="P410" s="2"/>
    </row>
    <row r="411" spans="2:16" ht="21" hidden="1" x14ac:dyDescent="0.55000000000000004">
      <c r="B411" s="2" t="s">
        <v>1184</v>
      </c>
      <c r="C411" s="2" t="s">
        <v>1185</v>
      </c>
      <c r="D411" s="2" t="s">
        <v>23</v>
      </c>
      <c r="E411" s="2" t="s">
        <v>74</v>
      </c>
      <c r="F411" s="6" t="s">
        <v>132</v>
      </c>
      <c r="G411" s="10">
        <f t="shared" si="18"/>
        <v>2024</v>
      </c>
      <c r="H411" s="10">
        <f t="shared" si="19"/>
        <v>1</v>
      </c>
      <c r="I411" s="10">
        <f t="shared" si="20"/>
        <v>6</v>
      </c>
      <c r="J411" s="9" t="s">
        <v>479</v>
      </c>
      <c r="K411" s="2" t="s">
        <v>40</v>
      </c>
      <c r="L411" s="2">
        <v>180.8</v>
      </c>
      <c r="M411" s="2" t="s">
        <v>19</v>
      </c>
      <c r="N411" s="2" t="s">
        <v>41</v>
      </c>
      <c r="O411" s="2">
        <v>80</v>
      </c>
      <c r="P411" s="2">
        <v>1</v>
      </c>
    </row>
    <row r="412" spans="2:16" ht="21" hidden="1" x14ac:dyDescent="0.55000000000000004">
      <c r="B412" s="2" t="s">
        <v>1186</v>
      </c>
      <c r="C412" s="2" t="s">
        <v>1187</v>
      </c>
      <c r="D412" s="2" t="s">
        <v>60</v>
      </c>
      <c r="E412" s="2" t="s">
        <v>74</v>
      </c>
      <c r="F412" s="6" t="s">
        <v>31</v>
      </c>
      <c r="G412" s="10">
        <f t="shared" si="18"/>
        <v>2024</v>
      </c>
      <c r="H412" s="10">
        <f t="shared" si="19"/>
        <v>1</v>
      </c>
      <c r="I412" s="10">
        <f t="shared" si="20"/>
        <v>14</v>
      </c>
      <c r="J412" s="9" t="s">
        <v>1145</v>
      </c>
      <c r="K412" s="2" t="s">
        <v>91</v>
      </c>
      <c r="L412" s="2">
        <v>232.69</v>
      </c>
      <c r="M412" s="2" t="s">
        <v>49</v>
      </c>
      <c r="N412" s="2" t="s">
        <v>41</v>
      </c>
      <c r="O412" s="2">
        <v>88</v>
      </c>
      <c r="P412" s="2">
        <v>2</v>
      </c>
    </row>
    <row r="413" spans="2:16" ht="21" hidden="1" x14ac:dyDescent="0.55000000000000004">
      <c r="B413" s="2" t="s">
        <v>1188</v>
      </c>
      <c r="C413" s="2" t="s">
        <v>1189</v>
      </c>
      <c r="D413" s="2" t="s">
        <v>14</v>
      </c>
      <c r="E413" s="2" t="s">
        <v>80</v>
      </c>
      <c r="F413" s="6" t="s">
        <v>238</v>
      </c>
      <c r="G413" s="10">
        <f t="shared" si="18"/>
        <v>2024</v>
      </c>
      <c r="H413" s="10">
        <f t="shared" si="19"/>
        <v>1</v>
      </c>
      <c r="I413" s="10">
        <f t="shared" si="20"/>
        <v>20</v>
      </c>
      <c r="J413" s="9" t="s">
        <v>706</v>
      </c>
      <c r="K413" s="2" t="s">
        <v>33</v>
      </c>
      <c r="L413" s="2">
        <v>375.92</v>
      </c>
      <c r="M413" s="2" t="s">
        <v>122</v>
      </c>
      <c r="N413" s="2" t="s">
        <v>26</v>
      </c>
      <c r="O413" s="2">
        <v>21</v>
      </c>
      <c r="P413" s="2">
        <v>4</v>
      </c>
    </row>
    <row r="414" spans="2:16" ht="21" hidden="1" x14ac:dyDescent="0.55000000000000004">
      <c r="B414" s="2" t="s">
        <v>1190</v>
      </c>
      <c r="C414" s="2" t="s">
        <v>1191</v>
      </c>
      <c r="D414" s="2" t="s">
        <v>106</v>
      </c>
      <c r="E414" s="2" t="s">
        <v>139</v>
      </c>
      <c r="F414" s="6" t="s">
        <v>16</v>
      </c>
      <c r="G414" s="10">
        <f t="shared" si="18"/>
        <v>2024</v>
      </c>
      <c r="H414" s="10">
        <f t="shared" si="19"/>
        <v>1</v>
      </c>
      <c r="I414" s="10">
        <f t="shared" si="20"/>
        <v>9</v>
      </c>
      <c r="J414" s="9" t="s">
        <v>1192</v>
      </c>
      <c r="K414" s="2" t="s">
        <v>91</v>
      </c>
      <c r="L414" s="2">
        <v>142.38</v>
      </c>
      <c r="M414" s="2" t="s">
        <v>122</v>
      </c>
      <c r="N414" s="2" t="s">
        <v>20</v>
      </c>
      <c r="O414" s="2">
        <v>79</v>
      </c>
      <c r="P414" s="2">
        <v>3</v>
      </c>
    </row>
    <row r="415" spans="2:16" ht="21" hidden="1" x14ac:dyDescent="0.55000000000000004">
      <c r="B415" s="2" t="s">
        <v>1193</v>
      </c>
      <c r="C415" s="2" t="s">
        <v>1194</v>
      </c>
      <c r="D415" s="2" t="s">
        <v>53</v>
      </c>
      <c r="E415" s="2" t="s">
        <v>45</v>
      </c>
      <c r="F415" s="6" t="s">
        <v>55</v>
      </c>
      <c r="G415" s="10">
        <f t="shared" si="18"/>
        <v>2024</v>
      </c>
      <c r="H415" s="10">
        <f t="shared" si="19"/>
        <v>1</v>
      </c>
      <c r="I415" s="10">
        <f t="shared" si="20"/>
        <v>8</v>
      </c>
      <c r="J415" s="9" t="s">
        <v>1195</v>
      </c>
      <c r="K415" s="2" t="s">
        <v>33</v>
      </c>
      <c r="L415" s="2">
        <v>145.87</v>
      </c>
      <c r="M415" s="2" t="s">
        <v>122</v>
      </c>
      <c r="N415" s="2" t="s">
        <v>50</v>
      </c>
      <c r="O415" s="2">
        <v>74</v>
      </c>
      <c r="P415" s="2"/>
    </row>
    <row r="416" spans="2:16" ht="21" hidden="1" x14ac:dyDescent="0.55000000000000004">
      <c r="B416" s="2" t="s">
        <v>1196</v>
      </c>
      <c r="C416" s="2" t="s">
        <v>944</v>
      </c>
      <c r="D416" s="2" t="s">
        <v>29</v>
      </c>
      <c r="E416" s="2" t="s">
        <v>89</v>
      </c>
      <c r="F416" s="6" t="s">
        <v>349</v>
      </c>
      <c r="G416" s="10">
        <f t="shared" si="18"/>
        <v>2024</v>
      </c>
      <c r="H416" s="10">
        <f t="shared" si="19"/>
        <v>1</v>
      </c>
      <c r="I416" s="10">
        <f t="shared" si="20"/>
        <v>12</v>
      </c>
      <c r="J416" s="9" t="s">
        <v>1197</v>
      </c>
      <c r="K416" s="2" t="s">
        <v>64</v>
      </c>
      <c r="L416" s="2">
        <v>243.05</v>
      </c>
      <c r="M416" s="2" t="s">
        <v>19</v>
      </c>
      <c r="N416" s="2" t="s">
        <v>20</v>
      </c>
      <c r="O416" s="2">
        <v>40</v>
      </c>
      <c r="P416" s="2">
        <v>2</v>
      </c>
    </row>
    <row r="417" spans="2:16" ht="21" hidden="1" x14ac:dyDescent="0.55000000000000004">
      <c r="B417" s="2" t="s">
        <v>1198</v>
      </c>
      <c r="C417" s="2" t="s">
        <v>1199</v>
      </c>
      <c r="D417" s="2" t="s">
        <v>53</v>
      </c>
      <c r="E417" s="2" t="s">
        <v>37</v>
      </c>
      <c r="F417" s="6" t="s">
        <v>238</v>
      </c>
      <c r="G417" s="10">
        <f t="shared" si="18"/>
        <v>2024</v>
      </c>
      <c r="H417" s="10">
        <f t="shared" si="19"/>
        <v>1</v>
      </c>
      <c r="I417" s="10">
        <f t="shared" si="20"/>
        <v>20</v>
      </c>
      <c r="J417" s="9" t="s">
        <v>1200</v>
      </c>
      <c r="K417" s="2" t="s">
        <v>48</v>
      </c>
      <c r="L417" s="2">
        <v>74.37</v>
      </c>
      <c r="M417" s="2" t="s">
        <v>19</v>
      </c>
      <c r="N417" s="2" t="s">
        <v>26</v>
      </c>
      <c r="O417" s="2">
        <v>82</v>
      </c>
      <c r="P417" s="2">
        <v>3</v>
      </c>
    </row>
    <row r="418" spans="2:16" ht="21" hidden="1" x14ac:dyDescent="0.55000000000000004">
      <c r="B418" s="2" t="s">
        <v>1201</v>
      </c>
      <c r="C418" s="2" t="s">
        <v>1202</v>
      </c>
      <c r="D418" s="2" t="s">
        <v>73</v>
      </c>
      <c r="E418" s="2" t="s">
        <v>45</v>
      </c>
      <c r="F418" s="6" t="s">
        <v>317</v>
      </c>
      <c r="G418" s="10">
        <f t="shared" si="18"/>
        <v>2024</v>
      </c>
      <c r="H418" s="10">
        <f t="shared" si="19"/>
        <v>1</v>
      </c>
      <c r="I418" s="10">
        <f t="shared" si="20"/>
        <v>3</v>
      </c>
      <c r="J418" s="9" t="s">
        <v>1203</v>
      </c>
      <c r="K418" s="2" t="s">
        <v>18</v>
      </c>
      <c r="L418" s="2">
        <v>422.43</v>
      </c>
      <c r="M418" s="2" t="s">
        <v>65</v>
      </c>
      <c r="N418" s="2" t="s">
        <v>26</v>
      </c>
      <c r="O418" s="2">
        <v>21</v>
      </c>
      <c r="P418" s="2">
        <v>3</v>
      </c>
    </row>
    <row r="419" spans="2:16" ht="21" hidden="1" x14ac:dyDescent="0.55000000000000004">
      <c r="B419" s="2" t="s">
        <v>1204</v>
      </c>
      <c r="C419" s="2" t="s">
        <v>1205</v>
      </c>
      <c r="D419" s="2" t="s">
        <v>68</v>
      </c>
      <c r="E419" s="2" t="s">
        <v>125</v>
      </c>
      <c r="F419" s="6" t="s">
        <v>302</v>
      </c>
      <c r="G419" s="10">
        <f t="shared" si="18"/>
        <v>2024</v>
      </c>
      <c r="H419" s="10">
        <f t="shared" si="19"/>
        <v>1</v>
      </c>
      <c r="I419" s="10">
        <f t="shared" si="20"/>
        <v>2</v>
      </c>
      <c r="J419" s="9" t="s">
        <v>1206</v>
      </c>
      <c r="K419" s="2" t="s">
        <v>91</v>
      </c>
      <c r="L419" s="2">
        <v>461.29</v>
      </c>
      <c r="M419" s="2" t="s">
        <v>19</v>
      </c>
      <c r="N419" s="2" t="s">
        <v>26</v>
      </c>
      <c r="O419" s="2">
        <v>64</v>
      </c>
      <c r="P419" s="2">
        <v>5</v>
      </c>
    </row>
    <row r="420" spans="2:16" ht="21" hidden="1" x14ac:dyDescent="0.55000000000000004">
      <c r="B420" s="2" t="s">
        <v>1207</v>
      </c>
      <c r="C420" s="2" t="s">
        <v>275</v>
      </c>
      <c r="D420" s="2" t="s">
        <v>29</v>
      </c>
      <c r="E420" s="2" t="s">
        <v>139</v>
      </c>
      <c r="F420" s="6" t="s">
        <v>129</v>
      </c>
      <c r="G420" s="10">
        <f t="shared" si="18"/>
        <v>2024</v>
      </c>
      <c r="H420" s="10">
        <f t="shared" si="19"/>
        <v>1</v>
      </c>
      <c r="I420" s="10">
        <f t="shared" si="20"/>
        <v>19</v>
      </c>
      <c r="J420" s="9" t="s">
        <v>558</v>
      </c>
      <c r="K420" s="2" t="s">
        <v>57</v>
      </c>
      <c r="L420" s="2">
        <v>89.51</v>
      </c>
      <c r="M420" s="2" t="s">
        <v>49</v>
      </c>
      <c r="N420" s="2" t="s">
        <v>20</v>
      </c>
      <c r="O420" s="2">
        <v>38</v>
      </c>
      <c r="P420" s="2">
        <v>2</v>
      </c>
    </row>
    <row r="421" spans="2:16" ht="21" hidden="1" x14ac:dyDescent="0.55000000000000004">
      <c r="B421" s="2" t="s">
        <v>1208</v>
      </c>
      <c r="C421" s="2" t="s">
        <v>1209</v>
      </c>
      <c r="D421" s="2" t="s">
        <v>29</v>
      </c>
      <c r="E421" s="2" t="s">
        <v>37</v>
      </c>
      <c r="F421" s="6" t="s">
        <v>343</v>
      </c>
      <c r="G421" s="10">
        <f t="shared" si="18"/>
        <v>2024</v>
      </c>
      <c r="H421" s="10">
        <f t="shared" si="19"/>
        <v>1</v>
      </c>
      <c r="I421" s="10">
        <f t="shared" si="20"/>
        <v>13</v>
      </c>
      <c r="J421" s="9" t="s">
        <v>390</v>
      </c>
      <c r="K421" s="2" t="s">
        <v>40</v>
      </c>
      <c r="L421" s="2">
        <v>293.86</v>
      </c>
      <c r="M421" s="2" t="s">
        <v>65</v>
      </c>
      <c r="N421" s="2" t="s">
        <v>41</v>
      </c>
      <c r="O421" s="2">
        <v>30</v>
      </c>
      <c r="P421" s="2"/>
    </row>
    <row r="422" spans="2:16" ht="21" x14ac:dyDescent="0.55000000000000004">
      <c r="B422" s="2" t="s">
        <v>1210</v>
      </c>
      <c r="C422" s="2" t="s">
        <v>1211</v>
      </c>
      <c r="D422" s="2" t="s">
        <v>68</v>
      </c>
      <c r="E422" s="2" t="s">
        <v>54</v>
      </c>
      <c r="F422" s="6" t="s">
        <v>46</v>
      </c>
      <c r="G422" s="10">
        <f t="shared" si="18"/>
        <v>2024</v>
      </c>
      <c r="H422" s="10">
        <f t="shared" si="19"/>
        <v>1</v>
      </c>
      <c r="I422" s="10">
        <f t="shared" si="20"/>
        <v>17</v>
      </c>
      <c r="J422" s="9" t="s">
        <v>1212</v>
      </c>
      <c r="K422" s="2" t="s">
        <v>77</v>
      </c>
      <c r="L422" s="2">
        <v>365.05</v>
      </c>
      <c r="M422" s="2" t="s">
        <v>19</v>
      </c>
      <c r="N422" s="2" t="s">
        <v>20</v>
      </c>
      <c r="O422" s="2">
        <v>32</v>
      </c>
      <c r="P422" s="2">
        <v>3</v>
      </c>
    </row>
    <row r="423" spans="2:16" ht="21" hidden="1" x14ac:dyDescent="0.55000000000000004">
      <c r="B423" s="2" t="s">
        <v>1213</v>
      </c>
      <c r="C423" s="2" t="s">
        <v>1084</v>
      </c>
      <c r="D423" s="2" t="s">
        <v>73</v>
      </c>
      <c r="E423" s="2" t="s">
        <v>15</v>
      </c>
      <c r="F423" s="6" t="s">
        <v>69</v>
      </c>
      <c r="G423" s="10">
        <f t="shared" si="18"/>
        <v>2024</v>
      </c>
      <c r="H423" s="10">
        <f t="shared" si="19"/>
        <v>1</v>
      </c>
      <c r="I423" s="10">
        <f t="shared" si="20"/>
        <v>27</v>
      </c>
      <c r="J423" s="9" t="s">
        <v>936</v>
      </c>
      <c r="K423" s="2" t="s">
        <v>91</v>
      </c>
      <c r="L423" s="2">
        <v>227.29</v>
      </c>
      <c r="M423" s="2" t="s">
        <v>122</v>
      </c>
      <c r="N423" s="2" t="s">
        <v>26</v>
      </c>
      <c r="O423" s="2">
        <v>74</v>
      </c>
      <c r="P423" s="2">
        <v>2</v>
      </c>
    </row>
    <row r="424" spans="2:16" ht="21" hidden="1" x14ac:dyDescent="0.55000000000000004">
      <c r="B424" s="2" t="s">
        <v>1214</v>
      </c>
      <c r="C424" s="2" t="s">
        <v>1215</v>
      </c>
      <c r="D424" s="2" t="s">
        <v>68</v>
      </c>
      <c r="E424" s="2" t="s">
        <v>125</v>
      </c>
      <c r="F424" s="6" t="s">
        <v>154</v>
      </c>
      <c r="G424" s="10">
        <f t="shared" si="18"/>
        <v>2024</v>
      </c>
      <c r="H424" s="10">
        <f t="shared" si="19"/>
        <v>1</v>
      </c>
      <c r="I424" s="10">
        <f t="shared" si="20"/>
        <v>22</v>
      </c>
      <c r="J424" s="9" t="s">
        <v>1216</v>
      </c>
      <c r="K424" s="2" t="s">
        <v>48</v>
      </c>
      <c r="L424" s="2">
        <v>234.6</v>
      </c>
      <c r="M424" s="2" t="s">
        <v>65</v>
      </c>
      <c r="N424" s="2" t="s">
        <v>50</v>
      </c>
      <c r="O424" s="2">
        <v>70</v>
      </c>
      <c r="P424" s="2">
        <v>4</v>
      </c>
    </row>
    <row r="425" spans="2:16" ht="21" hidden="1" x14ac:dyDescent="0.55000000000000004">
      <c r="B425" s="2" t="s">
        <v>1217</v>
      </c>
      <c r="C425" s="2" t="s">
        <v>1218</v>
      </c>
      <c r="D425" s="2" t="s">
        <v>73</v>
      </c>
      <c r="E425" s="2" t="s">
        <v>61</v>
      </c>
      <c r="F425" s="6" t="s">
        <v>257</v>
      </c>
      <c r="G425" s="10">
        <f t="shared" si="18"/>
        <v>2024</v>
      </c>
      <c r="H425" s="10">
        <f t="shared" si="19"/>
        <v>1</v>
      </c>
      <c r="I425" s="10">
        <f t="shared" si="20"/>
        <v>10</v>
      </c>
      <c r="J425" s="9" t="s">
        <v>892</v>
      </c>
      <c r="K425" s="2" t="s">
        <v>77</v>
      </c>
      <c r="L425" s="2">
        <v>307.74</v>
      </c>
      <c r="M425" s="2" t="s">
        <v>19</v>
      </c>
      <c r="N425" s="2" t="s">
        <v>20</v>
      </c>
      <c r="O425" s="2">
        <v>71</v>
      </c>
      <c r="P425" s="2">
        <v>4</v>
      </c>
    </row>
    <row r="426" spans="2:16" ht="21" hidden="1" x14ac:dyDescent="0.55000000000000004">
      <c r="B426" s="2" t="s">
        <v>1219</v>
      </c>
      <c r="C426" s="2" t="s">
        <v>1220</v>
      </c>
      <c r="D426" s="2" t="s">
        <v>53</v>
      </c>
      <c r="E426" s="2" t="s">
        <v>37</v>
      </c>
      <c r="F426" s="6" t="s">
        <v>113</v>
      </c>
      <c r="G426" s="10">
        <f t="shared" si="18"/>
        <v>2024</v>
      </c>
      <c r="H426" s="10">
        <f t="shared" si="19"/>
        <v>1</v>
      </c>
      <c r="I426" s="10">
        <f t="shared" si="20"/>
        <v>15</v>
      </c>
      <c r="J426" s="9" t="s">
        <v>1221</v>
      </c>
      <c r="K426" s="2" t="s">
        <v>77</v>
      </c>
      <c r="L426" s="2">
        <v>328.93</v>
      </c>
      <c r="M426" s="2" t="s">
        <v>49</v>
      </c>
      <c r="N426" s="2" t="s">
        <v>20</v>
      </c>
      <c r="O426" s="2">
        <v>21</v>
      </c>
      <c r="P426" s="2">
        <v>5</v>
      </c>
    </row>
    <row r="427" spans="2:16" ht="21" hidden="1" x14ac:dyDescent="0.55000000000000004">
      <c r="B427" s="2" t="s">
        <v>1222</v>
      </c>
      <c r="C427" s="2" t="s">
        <v>1223</v>
      </c>
      <c r="D427" s="2" t="s">
        <v>106</v>
      </c>
      <c r="E427" s="2" t="s">
        <v>125</v>
      </c>
      <c r="F427" s="6" t="s">
        <v>161</v>
      </c>
      <c r="G427" s="10">
        <f t="shared" si="18"/>
        <v>2024</v>
      </c>
      <c r="H427" s="10">
        <f t="shared" si="19"/>
        <v>1</v>
      </c>
      <c r="I427" s="10">
        <f t="shared" si="20"/>
        <v>5</v>
      </c>
      <c r="J427" s="9" t="s">
        <v>1224</v>
      </c>
      <c r="K427" s="2" t="s">
        <v>64</v>
      </c>
      <c r="L427" s="2">
        <v>150.06</v>
      </c>
      <c r="M427" s="2" t="s">
        <v>49</v>
      </c>
      <c r="N427" s="2" t="s">
        <v>20</v>
      </c>
      <c r="O427" s="2">
        <v>77</v>
      </c>
      <c r="P427" s="2">
        <v>2</v>
      </c>
    </row>
    <row r="428" spans="2:16" ht="21" hidden="1" x14ac:dyDescent="0.55000000000000004">
      <c r="B428" s="2" t="s">
        <v>1225</v>
      </c>
      <c r="C428" s="2" t="s">
        <v>1226</v>
      </c>
      <c r="D428" s="2" t="s">
        <v>14</v>
      </c>
      <c r="E428" s="2" t="s">
        <v>89</v>
      </c>
      <c r="F428" s="6" t="s">
        <v>38</v>
      </c>
      <c r="G428" s="10">
        <f t="shared" si="18"/>
        <v>2024</v>
      </c>
      <c r="H428" s="10">
        <f t="shared" si="19"/>
        <v>1</v>
      </c>
      <c r="I428" s="10">
        <f t="shared" si="20"/>
        <v>11</v>
      </c>
      <c r="J428" s="9" t="s">
        <v>1136</v>
      </c>
      <c r="K428" s="2" t="s">
        <v>48</v>
      </c>
      <c r="L428" s="2">
        <v>485.24</v>
      </c>
      <c r="M428" s="2" t="s">
        <v>49</v>
      </c>
      <c r="N428" s="2" t="s">
        <v>50</v>
      </c>
      <c r="O428" s="2">
        <v>23</v>
      </c>
      <c r="P428" s="2">
        <v>1</v>
      </c>
    </row>
    <row r="429" spans="2:16" ht="21" hidden="1" x14ac:dyDescent="0.55000000000000004">
      <c r="B429" s="2" t="s">
        <v>1227</v>
      </c>
      <c r="C429" s="2" t="s">
        <v>1228</v>
      </c>
      <c r="D429" s="2" t="s">
        <v>106</v>
      </c>
      <c r="E429" s="2" t="s">
        <v>89</v>
      </c>
      <c r="F429" s="6" t="s">
        <v>132</v>
      </c>
      <c r="G429" s="10">
        <f t="shared" si="18"/>
        <v>2024</v>
      </c>
      <c r="H429" s="10">
        <f t="shared" si="19"/>
        <v>1</v>
      </c>
      <c r="I429" s="10">
        <f t="shared" si="20"/>
        <v>6</v>
      </c>
      <c r="J429" s="9" t="s">
        <v>1229</v>
      </c>
      <c r="K429" s="2" t="s">
        <v>48</v>
      </c>
      <c r="L429" s="2">
        <v>469.12</v>
      </c>
      <c r="M429" s="2" t="s">
        <v>65</v>
      </c>
      <c r="N429" s="2" t="s">
        <v>20</v>
      </c>
      <c r="O429" s="2">
        <v>87</v>
      </c>
      <c r="P429" s="2">
        <v>5</v>
      </c>
    </row>
    <row r="430" spans="2:16" ht="21" hidden="1" x14ac:dyDescent="0.55000000000000004">
      <c r="B430" s="2" t="s">
        <v>1230</v>
      </c>
      <c r="C430" s="2" t="s">
        <v>1231</v>
      </c>
      <c r="D430" s="2" t="s">
        <v>53</v>
      </c>
      <c r="E430" s="2" t="s">
        <v>74</v>
      </c>
      <c r="F430" s="6" t="s">
        <v>343</v>
      </c>
      <c r="G430" s="10">
        <f t="shared" si="18"/>
        <v>2024</v>
      </c>
      <c r="H430" s="10">
        <f t="shared" si="19"/>
        <v>1</v>
      </c>
      <c r="I430" s="10">
        <f t="shared" si="20"/>
        <v>13</v>
      </c>
      <c r="J430" s="9" t="s">
        <v>1232</v>
      </c>
      <c r="K430" s="2" t="s">
        <v>64</v>
      </c>
      <c r="L430" s="2">
        <v>283.56</v>
      </c>
      <c r="M430" s="2" t="s">
        <v>65</v>
      </c>
      <c r="N430" s="2" t="s">
        <v>50</v>
      </c>
      <c r="O430" s="2">
        <v>67</v>
      </c>
      <c r="P430" s="2">
        <v>5</v>
      </c>
    </row>
    <row r="431" spans="2:16" ht="21" hidden="1" x14ac:dyDescent="0.55000000000000004">
      <c r="B431" s="2" t="s">
        <v>1233</v>
      </c>
      <c r="C431" s="2" t="s">
        <v>1234</v>
      </c>
      <c r="D431" s="2" t="s">
        <v>44</v>
      </c>
      <c r="E431" s="2" t="s">
        <v>15</v>
      </c>
      <c r="F431" s="6" t="s">
        <v>349</v>
      </c>
      <c r="G431" s="10">
        <f t="shared" si="18"/>
        <v>2024</v>
      </c>
      <c r="H431" s="10">
        <f t="shared" si="19"/>
        <v>1</v>
      </c>
      <c r="I431" s="10">
        <f t="shared" si="20"/>
        <v>12</v>
      </c>
      <c r="J431" s="9" t="s">
        <v>1235</v>
      </c>
      <c r="K431" s="2" t="s">
        <v>91</v>
      </c>
      <c r="L431" s="2">
        <v>177.76</v>
      </c>
      <c r="M431" s="2" t="s">
        <v>49</v>
      </c>
      <c r="N431" s="2" t="s">
        <v>41</v>
      </c>
      <c r="O431" s="2">
        <v>88</v>
      </c>
      <c r="P431" s="2">
        <v>5</v>
      </c>
    </row>
    <row r="432" spans="2:16" ht="21" hidden="1" x14ac:dyDescent="0.55000000000000004">
      <c r="B432" s="2" t="s">
        <v>1236</v>
      </c>
      <c r="C432" s="2" t="s">
        <v>1237</v>
      </c>
      <c r="D432" s="2" t="s">
        <v>44</v>
      </c>
      <c r="E432" s="2" t="s">
        <v>37</v>
      </c>
      <c r="F432" s="6" t="s">
        <v>97</v>
      </c>
      <c r="G432" s="10">
        <f t="shared" si="18"/>
        <v>2024</v>
      </c>
      <c r="H432" s="10">
        <f t="shared" si="19"/>
        <v>1</v>
      </c>
      <c r="I432" s="10">
        <f t="shared" si="20"/>
        <v>23</v>
      </c>
      <c r="J432" s="9" t="s">
        <v>1238</v>
      </c>
      <c r="K432" s="2" t="s">
        <v>77</v>
      </c>
      <c r="L432" s="2">
        <v>95.9</v>
      </c>
      <c r="M432" s="2" t="s">
        <v>49</v>
      </c>
      <c r="N432" s="2" t="s">
        <v>41</v>
      </c>
      <c r="O432" s="2">
        <v>62</v>
      </c>
      <c r="P432" s="2"/>
    </row>
    <row r="433" spans="2:16" ht="21" hidden="1" x14ac:dyDescent="0.55000000000000004">
      <c r="B433" s="2" t="s">
        <v>1239</v>
      </c>
      <c r="C433" s="2" t="s">
        <v>1240</v>
      </c>
      <c r="D433" s="2" t="s">
        <v>44</v>
      </c>
      <c r="E433" s="2" t="s">
        <v>89</v>
      </c>
      <c r="F433" s="6" t="s">
        <v>154</v>
      </c>
      <c r="G433" s="10">
        <f t="shared" si="18"/>
        <v>2024</v>
      </c>
      <c r="H433" s="10">
        <f t="shared" si="19"/>
        <v>1</v>
      </c>
      <c r="I433" s="10">
        <f t="shared" si="20"/>
        <v>22</v>
      </c>
      <c r="J433" s="9" t="s">
        <v>953</v>
      </c>
      <c r="K433" s="2" t="s">
        <v>33</v>
      </c>
      <c r="L433" s="2">
        <v>318.14</v>
      </c>
      <c r="M433" s="2" t="s">
        <v>122</v>
      </c>
      <c r="N433" s="2" t="s">
        <v>50</v>
      </c>
      <c r="O433" s="2">
        <v>18</v>
      </c>
      <c r="P433" s="2">
        <v>3</v>
      </c>
    </row>
    <row r="434" spans="2:16" ht="21" hidden="1" x14ac:dyDescent="0.55000000000000004">
      <c r="B434" s="2" t="s">
        <v>1241</v>
      </c>
      <c r="C434" s="2" t="s">
        <v>1242</v>
      </c>
      <c r="D434" s="2" t="s">
        <v>53</v>
      </c>
      <c r="E434" s="2" t="s">
        <v>61</v>
      </c>
      <c r="F434" s="6" t="s">
        <v>129</v>
      </c>
      <c r="G434" s="10">
        <f t="shared" si="18"/>
        <v>2024</v>
      </c>
      <c r="H434" s="10">
        <f t="shared" si="19"/>
        <v>1</v>
      </c>
      <c r="I434" s="10">
        <f t="shared" si="20"/>
        <v>19</v>
      </c>
      <c r="J434" s="9" t="s">
        <v>1243</v>
      </c>
      <c r="K434" s="2" t="s">
        <v>77</v>
      </c>
      <c r="L434" s="2">
        <v>226.71</v>
      </c>
      <c r="M434" s="2" t="s">
        <v>49</v>
      </c>
      <c r="N434" s="2" t="s">
        <v>20</v>
      </c>
      <c r="O434" s="2">
        <v>52</v>
      </c>
      <c r="P434" s="2"/>
    </row>
    <row r="435" spans="2:16" ht="21" hidden="1" x14ac:dyDescent="0.55000000000000004">
      <c r="B435" s="2" t="s">
        <v>1244</v>
      </c>
      <c r="C435" s="2" t="s">
        <v>1245</v>
      </c>
      <c r="D435" s="2" t="s">
        <v>73</v>
      </c>
      <c r="E435" s="2" t="s">
        <v>45</v>
      </c>
      <c r="F435" s="6" t="s">
        <v>85</v>
      </c>
      <c r="G435" s="10">
        <f t="shared" si="18"/>
        <v>2024</v>
      </c>
      <c r="H435" s="10">
        <f t="shared" si="19"/>
        <v>1</v>
      </c>
      <c r="I435" s="10">
        <f t="shared" si="20"/>
        <v>16</v>
      </c>
      <c r="J435" s="9" t="s">
        <v>489</v>
      </c>
      <c r="K435" s="2" t="s">
        <v>33</v>
      </c>
      <c r="L435" s="2">
        <v>483.18</v>
      </c>
      <c r="M435" s="2" t="s">
        <v>49</v>
      </c>
      <c r="N435" s="2" t="s">
        <v>41</v>
      </c>
      <c r="O435" s="2">
        <v>55</v>
      </c>
      <c r="P435" s="2">
        <v>2</v>
      </c>
    </row>
    <row r="436" spans="2:16" ht="21" hidden="1" x14ac:dyDescent="0.55000000000000004">
      <c r="B436" s="2" t="s">
        <v>1246</v>
      </c>
      <c r="C436" s="2" t="s">
        <v>1247</v>
      </c>
      <c r="D436" s="2" t="s">
        <v>14</v>
      </c>
      <c r="E436" s="2" t="s">
        <v>37</v>
      </c>
      <c r="F436" s="6" t="s">
        <v>238</v>
      </c>
      <c r="G436" s="10">
        <f t="shared" si="18"/>
        <v>2024</v>
      </c>
      <c r="H436" s="10">
        <f t="shared" si="19"/>
        <v>1</v>
      </c>
      <c r="I436" s="10">
        <f t="shared" si="20"/>
        <v>20</v>
      </c>
      <c r="J436" s="9" t="s">
        <v>1248</v>
      </c>
      <c r="K436" s="2" t="s">
        <v>57</v>
      </c>
      <c r="L436" s="2">
        <v>376.44</v>
      </c>
      <c r="M436" s="2" t="s">
        <v>49</v>
      </c>
      <c r="N436" s="2" t="s">
        <v>26</v>
      </c>
      <c r="O436" s="2">
        <v>39</v>
      </c>
      <c r="P436" s="2">
        <v>5</v>
      </c>
    </row>
    <row r="437" spans="2:16" ht="21" hidden="1" x14ac:dyDescent="0.55000000000000004">
      <c r="B437" s="2" t="s">
        <v>1249</v>
      </c>
      <c r="C437" s="2" t="s">
        <v>1250</v>
      </c>
      <c r="D437" s="2" t="s">
        <v>106</v>
      </c>
      <c r="E437" s="2" t="s">
        <v>89</v>
      </c>
      <c r="F437" s="6" t="s">
        <v>46</v>
      </c>
      <c r="G437" s="10">
        <f t="shared" si="18"/>
        <v>2024</v>
      </c>
      <c r="H437" s="10">
        <f t="shared" si="19"/>
        <v>1</v>
      </c>
      <c r="I437" s="10">
        <f t="shared" si="20"/>
        <v>17</v>
      </c>
      <c r="J437" s="9" t="s">
        <v>25</v>
      </c>
      <c r="K437" s="2" t="s">
        <v>18</v>
      </c>
      <c r="L437" s="2">
        <v>69.150000000000006</v>
      </c>
      <c r="M437" s="2" t="s">
        <v>65</v>
      </c>
      <c r="N437" s="2" t="s">
        <v>50</v>
      </c>
      <c r="O437" s="2">
        <v>25</v>
      </c>
      <c r="P437" s="2"/>
    </row>
    <row r="438" spans="2:16" ht="21" hidden="1" x14ac:dyDescent="0.55000000000000004">
      <c r="B438" s="2" t="s">
        <v>1251</v>
      </c>
      <c r="C438" s="2" t="s">
        <v>1252</v>
      </c>
      <c r="D438" s="2" t="s">
        <v>29</v>
      </c>
      <c r="E438" s="2" t="s">
        <v>45</v>
      </c>
      <c r="F438" s="6" t="s">
        <v>473</v>
      </c>
      <c r="G438" s="10">
        <f t="shared" si="18"/>
        <v>2024</v>
      </c>
      <c r="H438" s="10">
        <f t="shared" si="19"/>
        <v>1</v>
      </c>
      <c r="I438" s="10">
        <f t="shared" si="20"/>
        <v>30</v>
      </c>
      <c r="J438" s="9" t="s">
        <v>1253</v>
      </c>
      <c r="K438" s="2" t="s">
        <v>57</v>
      </c>
      <c r="L438" s="2">
        <v>238.19</v>
      </c>
      <c r="M438" s="2" t="s">
        <v>49</v>
      </c>
      <c r="N438" s="2" t="s">
        <v>41</v>
      </c>
      <c r="O438" s="2">
        <v>33</v>
      </c>
      <c r="P438" s="2">
        <v>3</v>
      </c>
    </row>
    <row r="439" spans="2:16" ht="21" hidden="1" x14ac:dyDescent="0.55000000000000004">
      <c r="B439" s="2" t="s">
        <v>1254</v>
      </c>
      <c r="C439" s="2" t="s">
        <v>1255</v>
      </c>
      <c r="D439" s="2" t="s">
        <v>73</v>
      </c>
      <c r="E439" s="2" t="s">
        <v>80</v>
      </c>
      <c r="F439" s="6" t="s">
        <v>118</v>
      </c>
      <c r="G439" s="10">
        <f t="shared" si="18"/>
        <v>2024</v>
      </c>
      <c r="H439" s="10">
        <f t="shared" si="19"/>
        <v>1</v>
      </c>
      <c r="I439" s="10">
        <f t="shared" si="20"/>
        <v>24</v>
      </c>
      <c r="J439" s="9" t="s">
        <v>892</v>
      </c>
      <c r="K439" s="2" t="s">
        <v>91</v>
      </c>
      <c r="L439" s="2">
        <v>345.75</v>
      </c>
      <c r="M439" s="2" t="s">
        <v>122</v>
      </c>
      <c r="N439" s="2" t="s">
        <v>26</v>
      </c>
      <c r="O439" s="2">
        <v>22</v>
      </c>
      <c r="P439" s="2">
        <v>5</v>
      </c>
    </row>
    <row r="440" spans="2:16" ht="21" hidden="1" x14ac:dyDescent="0.55000000000000004">
      <c r="B440" s="2" t="s">
        <v>1256</v>
      </c>
      <c r="C440" s="2" t="s">
        <v>1257</v>
      </c>
      <c r="D440" s="2" t="s">
        <v>60</v>
      </c>
      <c r="E440" s="2" t="s">
        <v>80</v>
      </c>
      <c r="F440" s="6" t="s">
        <v>31</v>
      </c>
      <c r="G440" s="10">
        <f t="shared" si="18"/>
        <v>2024</v>
      </c>
      <c r="H440" s="10">
        <f t="shared" si="19"/>
        <v>1</v>
      </c>
      <c r="I440" s="10">
        <f t="shared" si="20"/>
        <v>14</v>
      </c>
      <c r="J440" s="9" t="s">
        <v>1258</v>
      </c>
      <c r="K440" s="2" t="s">
        <v>57</v>
      </c>
      <c r="L440" s="2">
        <v>178.52</v>
      </c>
      <c r="M440" s="2" t="s">
        <v>65</v>
      </c>
      <c r="N440" s="2" t="s">
        <v>41</v>
      </c>
      <c r="O440" s="2">
        <v>17</v>
      </c>
      <c r="P440" s="2">
        <v>1</v>
      </c>
    </row>
    <row r="441" spans="2:16" ht="21" hidden="1" x14ac:dyDescent="0.55000000000000004">
      <c r="B441" s="2" t="s">
        <v>1259</v>
      </c>
      <c r="C441" s="2" t="s">
        <v>1260</v>
      </c>
      <c r="D441" s="2" t="s">
        <v>73</v>
      </c>
      <c r="E441" s="2" t="s">
        <v>89</v>
      </c>
      <c r="F441" s="6" t="s">
        <v>161</v>
      </c>
      <c r="G441" s="10">
        <f t="shared" si="18"/>
        <v>2024</v>
      </c>
      <c r="H441" s="10">
        <f t="shared" si="19"/>
        <v>1</v>
      </c>
      <c r="I441" s="10">
        <f t="shared" si="20"/>
        <v>5</v>
      </c>
      <c r="J441" s="9" t="s">
        <v>1261</v>
      </c>
      <c r="K441" s="2" t="s">
        <v>18</v>
      </c>
      <c r="L441" s="2">
        <v>287.72000000000003</v>
      </c>
      <c r="M441" s="2" t="s">
        <v>49</v>
      </c>
      <c r="N441" s="2" t="s">
        <v>20</v>
      </c>
      <c r="O441" s="2">
        <v>47</v>
      </c>
      <c r="P441" s="2">
        <v>5</v>
      </c>
    </row>
    <row r="442" spans="2:16" ht="21" hidden="1" x14ac:dyDescent="0.55000000000000004">
      <c r="B442" s="2" t="s">
        <v>1262</v>
      </c>
      <c r="C442" s="2" t="s">
        <v>1263</v>
      </c>
      <c r="D442" s="2" t="s">
        <v>53</v>
      </c>
      <c r="E442" s="2" t="s">
        <v>45</v>
      </c>
      <c r="F442" s="6" t="s">
        <v>140</v>
      </c>
      <c r="G442" s="10">
        <f t="shared" si="18"/>
        <v>2024</v>
      </c>
      <c r="H442" s="10">
        <f t="shared" si="19"/>
        <v>1</v>
      </c>
      <c r="I442" s="10">
        <f t="shared" si="20"/>
        <v>29</v>
      </c>
      <c r="J442" s="9" t="s">
        <v>1264</v>
      </c>
      <c r="K442" s="2" t="s">
        <v>91</v>
      </c>
      <c r="L442" s="2">
        <v>119.54</v>
      </c>
      <c r="M442" s="2" t="s">
        <v>49</v>
      </c>
      <c r="N442" s="2" t="s">
        <v>41</v>
      </c>
      <c r="O442" s="2">
        <v>60</v>
      </c>
      <c r="P442" s="2">
        <v>5</v>
      </c>
    </row>
    <row r="443" spans="2:16" ht="21" hidden="1" x14ac:dyDescent="0.55000000000000004">
      <c r="B443" s="2" t="s">
        <v>1265</v>
      </c>
      <c r="C443" s="2" t="s">
        <v>1266</v>
      </c>
      <c r="D443" s="2" t="s">
        <v>53</v>
      </c>
      <c r="E443" s="2" t="s">
        <v>74</v>
      </c>
      <c r="F443" s="6" t="s">
        <v>118</v>
      </c>
      <c r="G443" s="10">
        <f t="shared" si="18"/>
        <v>2024</v>
      </c>
      <c r="H443" s="10">
        <f t="shared" si="19"/>
        <v>1</v>
      </c>
      <c r="I443" s="10">
        <f t="shared" si="20"/>
        <v>24</v>
      </c>
      <c r="J443" s="9" t="s">
        <v>860</v>
      </c>
      <c r="K443" s="2" t="s">
        <v>77</v>
      </c>
      <c r="L443" s="2">
        <v>128.05000000000001</v>
      </c>
      <c r="M443" s="2" t="s">
        <v>49</v>
      </c>
      <c r="N443" s="2" t="s">
        <v>26</v>
      </c>
      <c r="O443" s="2">
        <v>29</v>
      </c>
      <c r="P443" s="2">
        <v>1</v>
      </c>
    </row>
    <row r="444" spans="2:16" ht="21" hidden="1" x14ac:dyDescent="0.55000000000000004">
      <c r="B444" s="2" t="s">
        <v>1267</v>
      </c>
      <c r="C444" s="2" t="s">
        <v>1268</v>
      </c>
      <c r="D444" s="2" t="s">
        <v>106</v>
      </c>
      <c r="E444" s="2" t="s">
        <v>37</v>
      </c>
      <c r="F444" s="6" t="s">
        <v>102</v>
      </c>
      <c r="G444" s="10">
        <f t="shared" si="18"/>
        <v>2024</v>
      </c>
      <c r="H444" s="10">
        <f t="shared" si="19"/>
        <v>1</v>
      </c>
      <c r="I444" s="10">
        <f t="shared" si="20"/>
        <v>26</v>
      </c>
      <c r="J444" s="9" t="s">
        <v>1269</v>
      </c>
      <c r="K444" s="2" t="s">
        <v>18</v>
      </c>
      <c r="L444" s="2">
        <v>96.07</v>
      </c>
      <c r="M444" s="2" t="s">
        <v>49</v>
      </c>
      <c r="N444" s="2" t="s">
        <v>26</v>
      </c>
      <c r="O444" s="2">
        <v>82</v>
      </c>
      <c r="P444" s="2"/>
    </row>
    <row r="445" spans="2:16" ht="21" hidden="1" x14ac:dyDescent="0.55000000000000004">
      <c r="B445" s="2" t="s">
        <v>1270</v>
      </c>
      <c r="C445" s="2" t="s">
        <v>1271</v>
      </c>
      <c r="D445" s="2" t="s">
        <v>53</v>
      </c>
      <c r="E445" s="2" t="s">
        <v>125</v>
      </c>
      <c r="F445" s="6" t="s">
        <v>97</v>
      </c>
      <c r="G445" s="10">
        <f t="shared" si="18"/>
        <v>2024</v>
      </c>
      <c r="H445" s="10">
        <f t="shared" si="19"/>
        <v>1</v>
      </c>
      <c r="I445" s="10">
        <f t="shared" si="20"/>
        <v>23</v>
      </c>
      <c r="J445" s="9" t="s">
        <v>133</v>
      </c>
      <c r="K445" s="2" t="s">
        <v>64</v>
      </c>
      <c r="L445" s="2">
        <v>70.06</v>
      </c>
      <c r="M445" s="2" t="s">
        <v>65</v>
      </c>
      <c r="N445" s="2" t="s">
        <v>20</v>
      </c>
      <c r="O445" s="2">
        <v>68</v>
      </c>
      <c r="P445" s="2">
        <v>2</v>
      </c>
    </row>
    <row r="446" spans="2:16" ht="21" hidden="1" x14ac:dyDescent="0.55000000000000004">
      <c r="B446" s="2" t="s">
        <v>1272</v>
      </c>
      <c r="C446" s="2" t="s">
        <v>1273</v>
      </c>
      <c r="D446" s="2" t="s">
        <v>23</v>
      </c>
      <c r="E446" s="2" t="s">
        <v>45</v>
      </c>
      <c r="F446" s="6" t="s">
        <v>180</v>
      </c>
      <c r="G446" s="10">
        <f t="shared" si="18"/>
        <v>2024</v>
      </c>
      <c r="H446" s="10">
        <f t="shared" si="19"/>
        <v>1</v>
      </c>
      <c r="I446" s="10">
        <f t="shared" si="20"/>
        <v>28</v>
      </c>
      <c r="J446" s="9" t="s">
        <v>1274</v>
      </c>
      <c r="K446" s="2" t="s">
        <v>33</v>
      </c>
      <c r="L446" s="2">
        <v>240.39</v>
      </c>
      <c r="M446" s="2" t="s">
        <v>19</v>
      </c>
      <c r="N446" s="2" t="s">
        <v>50</v>
      </c>
      <c r="O446" s="2">
        <v>88</v>
      </c>
      <c r="P446" s="2"/>
    </row>
    <row r="447" spans="2:16" ht="21" hidden="1" x14ac:dyDescent="0.55000000000000004">
      <c r="B447" s="2" t="s">
        <v>1275</v>
      </c>
      <c r="C447" s="2" t="s">
        <v>1276</v>
      </c>
      <c r="D447" s="2" t="s">
        <v>106</v>
      </c>
      <c r="E447" s="2" t="s">
        <v>15</v>
      </c>
      <c r="F447" s="6" t="s">
        <v>129</v>
      </c>
      <c r="G447" s="10">
        <f t="shared" si="18"/>
        <v>2024</v>
      </c>
      <c r="H447" s="10">
        <f t="shared" si="19"/>
        <v>1</v>
      </c>
      <c r="I447" s="10">
        <f t="shared" si="20"/>
        <v>19</v>
      </c>
      <c r="J447" s="9" t="s">
        <v>1235</v>
      </c>
      <c r="K447" s="2" t="s">
        <v>33</v>
      </c>
      <c r="L447" s="2">
        <v>173.6</v>
      </c>
      <c r="M447" s="2" t="s">
        <v>65</v>
      </c>
      <c r="N447" s="2" t="s">
        <v>26</v>
      </c>
      <c r="O447" s="2">
        <v>42</v>
      </c>
      <c r="P447" s="2">
        <v>3</v>
      </c>
    </row>
    <row r="448" spans="2:16" ht="21" hidden="1" x14ac:dyDescent="0.55000000000000004">
      <c r="B448" s="2" t="s">
        <v>1277</v>
      </c>
      <c r="C448" s="2" t="s">
        <v>1278</v>
      </c>
      <c r="D448" s="2" t="s">
        <v>53</v>
      </c>
      <c r="E448" s="2" t="s">
        <v>37</v>
      </c>
      <c r="F448" s="6" t="s">
        <v>102</v>
      </c>
      <c r="G448" s="10">
        <f t="shared" si="18"/>
        <v>2024</v>
      </c>
      <c r="H448" s="10">
        <f t="shared" si="19"/>
        <v>1</v>
      </c>
      <c r="I448" s="10">
        <f t="shared" si="20"/>
        <v>26</v>
      </c>
      <c r="J448" s="9" t="s">
        <v>817</v>
      </c>
      <c r="K448" s="2" t="s">
        <v>64</v>
      </c>
      <c r="L448" s="2">
        <v>382.59</v>
      </c>
      <c r="M448" s="2" t="s">
        <v>49</v>
      </c>
      <c r="N448" s="2" t="s">
        <v>26</v>
      </c>
      <c r="O448" s="2">
        <v>87</v>
      </c>
      <c r="P448" s="2">
        <v>4</v>
      </c>
    </row>
    <row r="449" spans="2:16" ht="21" hidden="1" x14ac:dyDescent="0.55000000000000004">
      <c r="B449" s="2" t="s">
        <v>1279</v>
      </c>
      <c r="C449" s="2" t="s">
        <v>1280</v>
      </c>
      <c r="D449" s="2" t="s">
        <v>29</v>
      </c>
      <c r="E449" s="2" t="s">
        <v>61</v>
      </c>
      <c r="F449" s="6" t="s">
        <v>38</v>
      </c>
      <c r="G449" s="10">
        <f t="shared" si="18"/>
        <v>2024</v>
      </c>
      <c r="H449" s="10">
        <f t="shared" si="19"/>
        <v>1</v>
      </c>
      <c r="I449" s="10">
        <f t="shared" si="20"/>
        <v>11</v>
      </c>
      <c r="J449" s="9" t="s">
        <v>889</v>
      </c>
      <c r="K449" s="2" t="s">
        <v>91</v>
      </c>
      <c r="L449" s="2">
        <v>201.36</v>
      </c>
      <c r="M449" s="2" t="s">
        <v>19</v>
      </c>
      <c r="N449" s="2" t="s">
        <v>26</v>
      </c>
      <c r="O449" s="2">
        <v>65</v>
      </c>
      <c r="P449" s="2">
        <v>1</v>
      </c>
    </row>
    <row r="450" spans="2:16" ht="21" hidden="1" x14ac:dyDescent="0.55000000000000004">
      <c r="B450" s="2" t="s">
        <v>1281</v>
      </c>
      <c r="C450" s="2" t="s">
        <v>1282</v>
      </c>
      <c r="D450" s="2" t="s">
        <v>44</v>
      </c>
      <c r="E450" s="2" t="s">
        <v>61</v>
      </c>
      <c r="F450" s="6" t="s">
        <v>24</v>
      </c>
      <c r="G450" s="10">
        <f t="shared" si="18"/>
        <v>2024</v>
      </c>
      <c r="H450" s="10">
        <f t="shared" si="19"/>
        <v>1</v>
      </c>
      <c r="I450" s="10">
        <f t="shared" si="20"/>
        <v>21</v>
      </c>
      <c r="J450" s="9" t="s">
        <v>736</v>
      </c>
      <c r="K450" s="2" t="s">
        <v>91</v>
      </c>
      <c r="L450" s="2">
        <v>158.46</v>
      </c>
      <c r="M450" s="2" t="s">
        <v>19</v>
      </c>
      <c r="N450" s="2" t="s">
        <v>50</v>
      </c>
      <c r="O450" s="2">
        <v>85</v>
      </c>
      <c r="P450" s="2">
        <v>5</v>
      </c>
    </row>
    <row r="451" spans="2:16" ht="21" hidden="1" x14ac:dyDescent="0.55000000000000004">
      <c r="B451" s="2" t="s">
        <v>1283</v>
      </c>
      <c r="C451" s="2" t="s">
        <v>1284</v>
      </c>
      <c r="D451" s="2" t="s">
        <v>53</v>
      </c>
      <c r="E451" s="2" t="s">
        <v>125</v>
      </c>
      <c r="F451" s="6" t="s">
        <v>38</v>
      </c>
      <c r="G451" s="10">
        <f t="shared" si="18"/>
        <v>2024</v>
      </c>
      <c r="H451" s="10">
        <f t="shared" si="19"/>
        <v>1</v>
      </c>
      <c r="I451" s="10">
        <f t="shared" si="20"/>
        <v>11</v>
      </c>
      <c r="J451" s="9" t="s">
        <v>843</v>
      </c>
      <c r="K451" s="2" t="s">
        <v>91</v>
      </c>
      <c r="L451" s="2">
        <v>224.58</v>
      </c>
      <c r="M451" s="2" t="s">
        <v>49</v>
      </c>
      <c r="N451" s="2" t="s">
        <v>26</v>
      </c>
      <c r="O451" s="2">
        <v>18</v>
      </c>
      <c r="P451" s="2">
        <v>1</v>
      </c>
    </row>
    <row r="452" spans="2:16" ht="21" hidden="1" x14ac:dyDescent="0.55000000000000004">
      <c r="B452" s="2" t="s">
        <v>1285</v>
      </c>
      <c r="C452" s="2" t="s">
        <v>1286</v>
      </c>
      <c r="D452" s="2" t="s">
        <v>44</v>
      </c>
      <c r="E452" s="2" t="s">
        <v>37</v>
      </c>
      <c r="F452" s="6" t="s">
        <v>97</v>
      </c>
      <c r="G452" s="10">
        <f t="shared" ref="G452:G515" si="21">YEAR(F452)</f>
        <v>2024</v>
      </c>
      <c r="H452" s="10">
        <f t="shared" ref="H452:H515" si="22">MONTH(F452)</f>
        <v>1</v>
      </c>
      <c r="I452" s="10">
        <f t="shared" ref="I452:I515" si="23">DAY(F452)</f>
        <v>23</v>
      </c>
      <c r="J452" s="9" t="s">
        <v>1287</v>
      </c>
      <c r="K452" s="2" t="s">
        <v>18</v>
      </c>
      <c r="L452" s="2">
        <v>382.64</v>
      </c>
      <c r="M452" s="2" t="s">
        <v>65</v>
      </c>
      <c r="N452" s="2" t="s">
        <v>26</v>
      </c>
      <c r="O452" s="2">
        <v>63</v>
      </c>
      <c r="P452" s="2"/>
    </row>
    <row r="453" spans="2:16" ht="21" hidden="1" x14ac:dyDescent="0.55000000000000004">
      <c r="B453" s="2" t="s">
        <v>1288</v>
      </c>
      <c r="C453" s="2" t="s">
        <v>1289</v>
      </c>
      <c r="D453" s="2" t="s">
        <v>117</v>
      </c>
      <c r="E453" s="2" t="s">
        <v>61</v>
      </c>
      <c r="F453" s="6" t="s">
        <v>31</v>
      </c>
      <c r="G453" s="10">
        <f t="shared" si="21"/>
        <v>2024</v>
      </c>
      <c r="H453" s="10">
        <f t="shared" si="22"/>
        <v>1</v>
      </c>
      <c r="I453" s="10">
        <f t="shared" si="23"/>
        <v>14</v>
      </c>
      <c r="J453" s="9" t="s">
        <v>1290</v>
      </c>
      <c r="K453" s="2" t="s">
        <v>64</v>
      </c>
      <c r="L453" s="2">
        <v>78</v>
      </c>
      <c r="M453" s="2" t="s">
        <v>65</v>
      </c>
      <c r="N453" s="2" t="s">
        <v>50</v>
      </c>
      <c r="O453" s="2">
        <v>36</v>
      </c>
      <c r="P453" s="2">
        <v>5</v>
      </c>
    </row>
    <row r="454" spans="2:16" ht="21" x14ac:dyDescent="0.55000000000000004">
      <c r="B454" s="2" t="s">
        <v>1291</v>
      </c>
      <c r="C454" s="2" t="s">
        <v>1292</v>
      </c>
      <c r="D454" s="2" t="s">
        <v>60</v>
      </c>
      <c r="E454" s="2" t="s">
        <v>54</v>
      </c>
      <c r="F454" s="6" t="s">
        <v>198</v>
      </c>
      <c r="G454" s="10">
        <f t="shared" si="21"/>
        <v>2024</v>
      </c>
      <c r="H454" s="10">
        <f t="shared" si="22"/>
        <v>1</v>
      </c>
      <c r="I454" s="10">
        <f t="shared" si="23"/>
        <v>4</v>
      </c>
      <c r="J454" s="9" t="s">
        <v>1293</v>
      </c>
      <c r="K454" s="2" t="s">
        <v>18</v>
      </c>
      <c r="L454" s="2">
        <v>362.74</v>
      </c>
      <c r="M454" s="2" t="s">
        <v>49</v>
      </c>
      <c r="N454" s="2" t="s">
        <v>26</v>
      </c>
      <c r="O454" s="2">
        <v>19</v>
      </c>
      <c r="P454" s="2">
        <v>2</v>
      </c>
    </row>
    <row r="455" spans="2:16" ht="21" x14ac:dyDescent="0.55000000000000004">
      <c r="B455" s="2" t="s">
        <v>1294</v>
      </c>
      <c r="C455" s="2" t="s">
        <v>1295</v>
      </c>
      <c r="D455" s="2" t="s">
        <v>29</v>
      </c>
      <c r="E455" s="2" t="s">
        <v>54</v>
      </c>
      <c r="F455" s="6" t="s">
        <v>180</v>
      </c>
      <c r="G455" s="10">
        <f t="shared" si="21"/>
        <v>2024</v>
      </c>
      <c r="H455" s="10">
        <f t="shared" si="22"/>
        <v>1</v>
      </c>
      <c r="I455" s="10">
        <f t="shared" si="23"/>
        <v>28</v>
      </c>
      <c r="J455" s="9" t="s">
        <v>1296</v>
      </c>
      <c r="K455" s="2" t="s">
        <v>64</v>
      </c>
      <c r="L455" s="2">
        <v>381</v>
      </c>
      <c r="M455" s="2" t="s">
        <v>49</v>
      </c>
      <c r="N455" s="2" t="s">
        <v>41</v>
      </c>
      <c r="O455" s="2">
        <v>19</v>
      </c>
      <c r="P455" s="2">
        <v>1</v>
      </c>
    </row>
    <row r="456" spans="2:16" ht="21" hidden="1" x14ac:dyDescent="0.55000000000000004">
      <c r="B456" s="2" t="s">
        <v>1297</v>
      </c>
      <c r="C456" s="2" t="s">
        <v>1298</v>
      </c>
      <c r="D456" s="2" t="s">
        <v>68</v>
      </c>
      <c r="E456" s="2" t="s">
        <v>61</v>
      </c>
      <c r="F456" s="6" t="s">
        <v>272</v>
      </c>
      <c r="G456" s="10">
        <f t="shared" si="21"/>
        <v>2024</v>
      </c>
      <c r="H456" s="10">
        <f t="shared" si="22"/>
        <v>1</v>
      </c>
      <c r="I456" s="10">
        <f t="shared" si="23"/>
        <v>1</v>
      </c>
      <c r="J456" s="9" t="s">
        <v>1299</v>
      </c>
      <c r="K456" s="2" t="s">
        <v>57</v>
      </c>
      <c r="L456" s="2">
        <v>117.49</v>
      </c>
      <c r="M456" s="2" t="s">
        <v>122</v>
      </c>
      <c r="N456" s="2" t="s">
        <v>50</v>
      </c>
      <c r="O456" s="2">
        <v>45</v>
      </c>
      <c r="P456" s="2">
        <v>3</v>
      </c>
    </row>
    <row r="457" spans="2:16" ht="21" hidden="1" x14ac:dyDescent="0.55000000000000004">
      <c r="B457" s="2" t="s">
        <v>1300</v>
      </c>
      <c r="C457" s="2" t="s">
        <v>1301</v>
      </c>
      <c r="D457" s="2" t="s">
        <v>73</v>
      </c>
      <c r="E457" s="2" t="s">
        <v>15</v>
      </c>
      <c r="F457" s="6" t="s">
        <v>55</v>
      </c>
      <c r="G457" s="10">
        <f t="shared" si="21"/>
        <v>2024</v>
      </c>
      <c r="H457" s="10">
        <f t="shared" si="22"/>
        <v>1</v>
      </c>
      <c r="I457" s="10">
        <f t="shared" si="23"/>
        <v>8</v>
      </c>
      <c r="J457" s="9" t="s">
        <v>1302</v>
      </c>
      <c r="K457" s="2" t="s">
        <v>48</v>
      </c>
      <c r="L457" s="2">
        <v>182.52</v>
      </c>
      <c r="M457" s="2" t="s">
        <v>49</v>
      </c>
      <c r="N457" s="2" t="s">
        <v>41</v>
      </c>
      <c r="O457" s="2">
        <v>82</v>
      </c>
      <c r="P457" s="2">
        <v>5</v>
      </c>
    </row>
    <row r="458" spans="2:16" ht="21" hidden="1" x14ac:dyDescent="0.55000000000000004">
      <c r="B458" s="2" t="s">
        <v>1303</v>
      </c>
      <c r="C458" s="2" t="s">
        <v>1304</v>
      </c>
      <c r="D458" s="2" t="s">
        <v>73</v>
      </c>
      <c r="E458" s="2" t="s">
        <v>89</v>
      </c>
      <c r="F458" s="6" t="s">
        <v>238</v>
      </c>
      <c r="G458" s="10">
        <f t="shared" si="21"/>
        <v>2024</v>
      </c>
      <c r="H458" s="10">
        <f t="shared" si="22"/>
        <v>1</v>
      </c>
      <c r="I458" s="10">
        <f t="shared" si="23"/>
        <v>20</v>
      </c>
      <c r="J458" s="9" t="s">
        <v>600</v>
      </c>
      <c r="K458" s="2" t="s">
        <v>57</v>
      </c>
      <c r="L458" s="2">
        <v>171.54</v>
      </c>
      <c r="M458" s="2" t="s">
        <v>122</v>
      </c>
      <c r="N458" s="2" t="s">
        <v>26</v>
      </c>
      <c r="O458" s="2">
        <v>57</v>
      </c>
      <c r="P458" s="2">
        <v>2</v>
      </c>
    </row>
    <row r="459" spans="2:16" ht="21" hidden="1" x14ac:dyDescent="0.55000000000000004">
      <c r="B459" s="2" t="s">
        <v>1305</v>
      </c>
      <c r="C459" s="2" t="s">
        <v>1306</v>
      </c>
      <c r="D459" s="2" t="s">
        <v>14</v>
      </c>
      <c r="E459" s="2" t="s">
        <v>139</v>
      </c>
      <c r="F459" s="6" t="s">
        <v>272</v>
      </c>
      <c r="G459" s="10">
        <f t="shared" si="21"/>
        <v>2024</v>
      </c>
      <c r="H459" s="10">
        <f t="shared" si="22"/>
        <v>1</v>
      </c>
      <c r="I459" s="10">
        <f t="shared" si="23"/>
        <v>1</v>
      </c>
      <c r="J459" s="9" t="s">
        <v>1307</v>
      </c>
      <c r="K459" s="2" t="s">
        <v>57</v>
      </c>
      <c r="L459" s="2">
        <v>256.49</v>
      </c>
      <c r="M459" s="2" t="s">
        <v>122</v>
      </c>
      <c r="N459" s="2" t="s">
        <v>41</v>
      </c>
      <c r="O459" s="2">
        <v>50</v>
      </c>
      <c r="P459" s="2">
        <v>1</v>
      </c>
    </row>
    <row r="460" spans="2:16" ht="21" x14ac:dyDescent="0.55000000000000004">
      <c r="B460" s="2" t="s">
        <v>1308</v>
      </c>
      <c r="C460" s="2" t="s">
        <v>1309</v>
      </c>
      <c r="D460" s="2" t="s">
        <v>29</v>
      </c>
      <c r="E460" s="2" t="s">
        <v>54</v>
      </c>
      <c r="F460" s="6" t="s">
        <v>55</v>
      </c>
      <c r="G460" s="10">
        <f t="shared" si="21"/>
        <v>2024</v>
      </c>
      <c r="H460" s="10">
        <f t="shared" si="22"/>
        <v>1</v>
      </c>
      <c r="I460" s="10">
        <f t="shared" si="23"/>
        <v>8</v>
      </c>
      <c r="J460" s="9" t="s">
        <v>1310</v>
      </c>
      <c r="K460" s="2" t="s">
        <v>33</v>
      </c>
      <c r="L460" s="2">
        <v>302.36</v>
      </c>
      <c r="M460" s="2" t="s">
        <v>19</v>
      </c>
      <c r="N460" s="2" t="s">
        <v>20</v>
      </c>
      <c r="O460" s="2">
        <v>35</v>
      </c>
      <c r="P460" s="2">
        <v>5</v>
      </c>
    </row>
    <row r="461" spans="2:16" ht="21" x14ac:dyDescent="0.55000000000000004">
      <c r="B461" s="2" t="s">
        <v>1311</v>
      </c>
      <c r="C461" s="2" t="s">
        <v>1312</v>
      </c>
      <c r="D461" s="2" t="s">
        <v>117</v>
      </c>
      <c r="E461" s="2" t="s">
        <v>54</v>
      </c>
      <c r="F461" s="6" t="s">
        <v>24</v>
      </c>
      <c r="G461" s="10">
        <f t="shared" si="21"/>
        <v>2024</v>
      </c>
      <c r="H461" s="10">
        <f t="shared" si="22"/>
        <v>1</v>
      </c>
      <c r="I461" s="10">
        <f t="shared" si="23"/>
        <v>21</v>
      </c>
      <c r="J461" s="9" t="s">
        <v>1313</v>
      </c>
      <c r="K461" s="2" t="s">
        <v>48</v>
      </c>
      <c r="L461" s="2">
        <v>169.21</v>
      </c>
      <c r="M461" s="2" t="s">
        <v>122</v>
      </c>
      <c r="N461" s="2" t="s">
        <v>20</v>
      </c>
      <c r="O461" s="2">
        <v>40</v>
      </c>
      <c r="P461" s="2"/>
    </row>
    <row r="462" spans="2:16" ht="21" hidden="1" x14ac:dyDescent="0.55000000000000004">
      <c r="B462" s="2" t="s">
        <v>1314</v>
      </c>
      <c r="C462" s="2" t="s">
        <v>1315</v>
      </c>
      <c r="D462" s="2" t="s">
        <v>44</v>
      </c>
      <c r="E462" s="2" t="s">
        <v>15</v>
      </c>
      <c r="F462" s="6" t="s">
        <v>154</v>
      </c>
      <c r="G462" s="10">
        <f t="shared" si="21"/>
        <v>2024</v>
      </c>
      <c r="H462" s="10">
        <f t="shared" si="22"/>
        <v>1</v>
      </c>
      <c r="I462" s="10">
        <f t="shared" si="23"/>
        <v>22</v>
      </c>
      <c r="J462" s="9" t="s">
        <v>1316</v>
      </c>
      <c r="K462" s="2" t="s">
        <v>57</v>
      </c>
      <c r="L462" s="2">
        <v>154.28</v>
      </c>
      <c r="M462" s="2" t="s">
        <v>19</v>
      </c>
      <c r="N462" s="2" t="s">
        <v>26</v>
      </c>
      <c r="O462" s="2">
        <v>80</v>
      </c>
      <c r="P462" s="2">
        <v>3</v>
      </c>
    </row>
    <row r="463" spans="2:16" ht="21" hidden="1" x14ac:dyDescent="0.55000000000000004">
      <c r="B463" s="2" t="s">
        <v>1317</v>
      </c>
      <c r="C463" s="2" t="s">
        <v>1318</v>
      </c>
      <c r="D463" s="2" t="s">
        <v>73</v>
      </c>
      <c r="E463" s="2" t="s">
        <v>139</v>
      </c>
      <c r="F463" s="6" t="s">
        <v>129</v>
      </c>
      <c r="G463" s="10">
        <f t="shared" si="21"/>
        <v>2024</v>
      </c>
      <c r="H463" s="10">
        <f t="shared" si="22"/>
        <v>1</v>
      </c>
      <c r="I463" s="10">
        <f t="shared" si="23"/>
        <v>19</v>
      </c>
      <c r="J463" s="9" t="s">
        <v>1319</v>
      </c>
      <c r="K463" s="2" t="s">
        <v>33</v>
      </c>
      <c r="L463" s="2">
        <v>414.75</v>
      </c>
      <c r="M463" s="2" t="s">
        <v>49</v>
      </c>
      <c r="N463" s="2" t="s">
        <v>41</v>
      </c>
      <c r="O463" s="2">
        <v>21</v>
      </c>
      <c r="P463" s="2">
        <v>4</v>
      </c>
    </row>
    <row r="464" spans="2:16" ht="21" hidden="1" x14ac:dyDescent="0.55000000000000004">
      <c r="B464" s="2" t="s">
        <v>1320</v>
      </c>
      <c r="C464" s="2" t="s">
        <v>1321</v>
      </c>
      <c r="D464" s="2" t="s">
        <v>60</v>
      </c>
      <c r="E464" s="2" t="s">
        <v>80</v>
      </c>
      <c r="F464" s="6" t="s">
        <v>55</v>
      </c>
      <c r="G464" s="10">
        <f t="shared" si="21"/>
        <v>2024</v>
      </c>
      <c r="H464" s="10">
        <f t="shared" si="22"/>
        <v>1</v>
      </c>
      <c r="I464" s="10">
        <f t="shared" si="23"/>
        <v>8</v>
      </c>
      <c r="J464" s="9" t="s">
        <v>1322</v>
      </c>
      <c r="K464" s="2" t="s">
        <v>64</v>
      </c>
      <c r="L464" s="2">
        <v>233.41</v>
      </c>
      <c r="M464" s="2" t="s">
        <v>65</v>
      </c>
      <c r="N464" s="2" t="s">
        <v>50</v>
      </c>
      <c r="O464" s="2">
        <v>16</v>
      </c>
      <c r="P464" s="2">
        <v>1</v>
      </c>
    </row>
    <row r="465" spans="2:16" ht="21" hidden="1" x14ac:dyDescent="0.55000000000000004">
      <c r="B465" s="2" t="s">
        <v>1323</v>
      </c>
      <c r="C465" s="2" t="s">
        <v>1324</v>
      </c>
      <c r="D465" s="2" t="s">
        <v>23</v>
      </c>
      <c r="E465" s="2" t="s">
        <v>61</v>
      </c>
      <c r="F465" s="6" t="s">
        <v>102</v>
      </c>
      <c r="G465" s="10">
        <f t="shared" si="21"/>
        <v>2024</v>
      </c>
      <c r="H465" s="10">
        <f t="shared" si="22"/>
        <v>1</v>
      </c>
      <c r="I465" s="10">
        <f t="shared" si="23"/>
        <v>26</v>
      </c>
      <c r="J465" s="9" t="s">
        <v>1299</v>
      </c>
      <c r="K465" s="2" t="s">
        <v>18</v>
      </c>
      <c r="L465" s="2">
        <v>170.13</v>
      </c>
      <c r="M465" s="2" t="s">
        <v>65</v>
      </c>
      <c r="N465" s="2" t="s">
        <v>26</v>
      </c>
      <c r="O465" s="2">
        <v>77</v>
      </c>
      <c r="P465" s="2">
        <v>4</v>
      </c>
    </row>
    <row r="466" spans="2:16" ht="21" hidden="1" x14ac:dyDescent="0.55000000000000004">
      <c r="B466" s="2" t="s">
        <v>1325</v>
      </c>
      <c r="C466" s="2" t="s">
        <v>1326</v>
      </c>
      <c r="D466" s="2" t="s">
        <v>68</v>
      </c>
      <c r="E466" s="2" t="s">
        <v>15</v>
      </c>
      <c r="F466" s="6" t="s">
        <v>24</v>
      </c>
      <c r="G466" s="10">
        <f t="shared" si="21"/>
        <v>2024</v>
      </c>
      <c r="H466" s="10">
        <f t="shared" si="22"/>
        <v>1</v>
      </c>
      <c r="I466" s="10">
        <f t="shared" si="23"/>
        <v>21</v>
      </c>
      <c r="J466" s="9" t="s">
        <v>1327</v>
      </c>
      <c r="K466" s="2" t="s">
        <v>77</v>
      </c>
      <c r="L466" s="2">
        <v>279.73</v>
      </c>
      <c r="M466" s="2" t="s">
        <v>65</v>
      </c>
      <c r="N466" s="2" t="s">
        <v>26</v>
      </c>
      <c r="O466" s="2">
        <v>49</v>
      </c>
      <c r="P466" s="2">
        <v>3</v>
      </c>
    </row>
    <row r="467" spans="2:16" ht="21" x14ac:dyDescent="0.55000000000000004">
      <c r="B467" s="2" t="s">
        <v>1328</v>
      </c>
      <c r="C467" s="2" t="s">
        <v>1329</v>
      </c>
      <c r="D467" s="2" t="s">
        <v>106</v>
      </c>
      <c r="E467" s="2" t="s">
        <v>54</v>
      </c>
      <c r="F467" s="6" t="s">
        <v>343</v>
      </c>
      <c r="G467" s="10">
        <f t="shared" si="21"/>
        <v>2024</v>
      </c>
      <c r="H467" s="10">
        <f t="shared" si="22"/>
        <v>1</v>
      </c>
      <c r="I467" s="10">
        <f t="shared" si="23"/>
        <v>13</v>
      </c>
      <c r="J467" s="9" t="s">
        <v>476</v>
      </c>
      <c r="K467" s="2" t="s">
        <v>91</v>
      </c>
      <c r="L467" s="2">
        <v>426.83</v>
      </c>
      <c r="M467" s="2" t="s">
        <v>65</v>
      </c>
      <c r="N467" s="2" t="s">
        <v>26</v>
      </c>
      <c r="O467" s="2">
        <v>64</v>
      </c>
      <c r="P467" s="2">
        <v>5</v>
      </c>
    </row>
    <row r="468" spans="2:16" ht="21" hidden="1" x14ac:dyDescent="0.55000000000000004">
      <c r="B468" s="2" t="s">
        <v>1330</v>
      </c>
      <c r="C468" s="2" t="s">
        <v>1331</v>
      </c>
      <c r="D468" s="2" t="s">
        <v>68</v>
      </c>
      <c r="E468" s="2" t="s">
        <v>15</v>
      </c>
      <c r="F468" s="6" t="s">
        <v>55</v>
      </c>
      <c r="G468" s="10">
        <f t="shared" si="21"/>
        <v>2024</v>
      </c>
      <c r="H468" s="10">
        <f t="shared" si="22"/>
        <v>1</v>
      </c>
      <c r="I468" s="10">
        <f t="shared" si="23"/>
        <v>8</v>
      </c>
      <c r="J468" s="9" t="s">
        <v>1332</v>
      </c>
      <c r="K468" s="2" t="s">
        <v>64</v>
      </c>
      <c r="L468" s="2">
        <v>445.93</v>
      </c>
      <c r="M468" s="2" t="s">
        <v>65</v>
      </c>
      <c r="N468" s="2" t="s">
        <v>50</v>
      </c>
      <c r="O468" s="2">
        <v>22</v>
      </c>
      <c r="P468" s="2">
        <v>4</v>
      </c>
    </row>
    <row r="469" spans="2:16" ht="21" hidden="1" x14ac:dyDescent="0.55000000000000004">
      <c r="B469" s="2" t="s">
        <v>1333</v>
      </c>
      <c r="C469" s="2" t="s">
        <v>1334</v>
      </c>
      <c r="D469" s="2" t="s">
        <v>14</v>
      </c>
      <c r="E469" s="2" t="s">
        <v>74</v>
      </c>
      <c r="F469" s="6" t="s">
        <v>55</v>
      </c>
      <c r="G469" s="10">
        <f t="shared" si="21"/>
        <v>2024</v>
      </c>
      <c r="H469" s="10">
        <f t="shared" si="22"/>
        <v>1</v>
      </c>
      <c r="I469" s="10">
        <f t="shared" si="23"/>
        <v>8</v>
      </c>
      <c r="J469" s="9" t="s">
        <v>1335</v>
      </c>
      <c r="K469" s="2" t="s">
        <v>57</v>
      </c>
      <c r="L469" s="2">
        <v>191.28</v>
      </c>
      <c r="M469" s="2" t="s">
        <v>65</v>
      </c>
      <c r="N469" s="2" t="s">
        <v>20</v>
      </c>
      <c r="O469" s="2">
        <v>75</v>
      </c>
      <c r="P469" s="2"/>
    </row>
    <row r="470" spans="2:16" ht="21" hidden="1" x14ac:dyDescent="0.55000000000000004">
      <c r="B470" s="2" t="s">
        <v>1336</v>
      </c>
      <c r="C470" s="2" t="s">
        <v>1337</v>
      </c>
      <c r="D470" s="2" t="s">
        <v>29</v>
      </c>
      <c r="E470" s="2" t="s">
        <v>37</v>
      </c>
      <c r="F470" s="6" t="s">
        <v>46</v>
      </c>
      <c r="G470" s="10">
        <f t="shared" si="21"/>
        <v>2024</v>
      </c>
      <c r="H470" s="10">
        <f t="shared" si="22"/>
        <v>1</v>
      </c>
      <c r="I470" s="10">
        <f t="shared" si="23"/>
        <v>17</v>
      </c>
      <c r="J470" s="9" t="s">
        <v>418</v>
      </c>
      <c r="K470" s="2" t="s">
        <v>91</v>
      </c>
      <c r="L470" s="2">
        <v>203.4</v>
      </c>
      <c r="M470" s="2" t="s">
        <v>49</v>
      </c>
      <c r="N470" s="2" t="s">
        <v>50</v>
      </c>
      <c r="O470" s="2">
        <v>26</v>
      </c>
      <c r="P470" s="2">
        <v>3</v>
      </c>
    </row>
    <row r="471" spans="2:16" ht="21" hidden="1" x14ac:dyDescent="0.55000000000000004">
      <c r="B471" s="2" t="s">
        <v>1338</v>
      </c>
      <c r="C471" s="2" t="s">
        <v>1339</v>
      </c>
      <c r="D471" s="2" t="s">
        <v>68</v>
      </c>
      <c r="E471" s="2" t="s">
        <v>89</v>
      </c>
      <c r="F471" s="6" t="s">
        <v>154</v>
      </c>
      <c r="G471" s="10">
        <f t="shared" si="21"/>
        <v>2024</v>
      </c>
      <c r="H471" s="10">
        <f t="shared" si="22"/>
        <v>1</v>
      </c>
      <c r="I471" s="10">
        <f t="shared" si="23"/>
        <v>22</v>
      </c>
      <c r="J471" s="9" t="s">
        <v>1340</v>
      </c>
      <c r="K471" s="2" t="s">
        <v>33</v>
      </c>
      <c r="L471" s="2">
        <v>336.03</v>
      </c>
      <c r="M471" s="2" t="s">
        <v>49</v>
      </c>
      <c r="N471" s="2" t="s">
        <v>26</v>
      </c>
      <c r="O471" s="2">
        <v>29</v>
      </c>
      <c r="P471" s="2"/>
    </row>
    <row r="472" spans="2:16" ht="21" x14ac:dyDescent="0.55000000000000004">
      <c r="B472" s="2" t="s">
        <v>1341</v>
      </c>
      <c r="C472" s="2" t="s">
        <v>1342</v>
      </c>
      <c r="D472" s="2" t="s">
        <v>106</v>
      </c>
      <c r="E472" s="2" t="s">
        <v>54</v>
      </c>
      <c r="F472" s="6" t="s">
        <v>81</v>
      </c>
      <c r="G472" s="10">
        <f t="shared" si="21"/>
        <v>2024</v>
      </c>
      <c r="H472" s="10">
        <f t="shared" si="22"/>
        <v>1</v>
      </c>
      <c r="I472" s="10">
        <f t="shared" si="23"/>
        <v>18</v>
      </c>
      <c r="J472" s="9" t="s">
        <v>482</v>
      </c>
      <c r="K472" s="2" t="s">
        <v>77</v>
      </c>
      <c r="L472" s="2">
        <v>425.02</v>
      </c>
      <c r="M472" s="2" t="s">
        <v>65</v>
      </c>
      <c r="N472" s="2" t="s">
        <v>20</v>
      </c>
      <c r="O472" s="2">
        <v>65</v>
      </c>
      <c r="P472" s="2">
        <v>2</v>
      </c>
    </row>
    <row r="473" spans="2:16" ht="21" hidden="1" x14ac:dyDescent="0.55000000000000004">
      <c r="B473" s="2" t="s">
        <v>1343</v>
      </c>
      <c r="C473" s="2" t="s">
        <v>1344</v>
      </c>
      <c r="D473" s="2" t="s">
        <v>106</v>
      </c>
      <c r="E473" s="2" t="s">
        <v>45</v>
      </c>
      <c r="F473" s="6" t="s">
        <v>62</v>
      </c>
      <c r="G473" s="10">
        <f t="shared" si="21"/>
        <v>2024</v>
      </c>
      <c r="H473" s="10">
        <f t="shared" si="22"/>
        <v>1</v>
      </c>
      <c r="I473" s="10">
        <f t="shared" si="23"/>
        <v>31</v>
      </c>
      <c r="J473" s="9" t="s">
        <v>997</v>
      </c>
      <c r="K473" s="2" t="s">
        <v>33</v>
      </c>
      <c r="L473" s="2">
        <v>277.11</v>
      </c>
      <c r="M473" s="2" t="s">
        <v>49</v>
      </c>
      <c r="N473" s="2" t="s">
        <v>41</v>
      </c>
      <c r="O473" s="2">
        <v>24</v>
      </c>
      <c r="P473" s="2">
        <v>3</v>
      </c>
    </row>
    <row r="474" spans="2:16" ht="21" hidden="1" x14ac:dyDescent="0.55000000000000004">
      <c r="B474" s="2" t="s">
        <v>1345</v>
      </c>
      <c r="C474" s="2" t="s">
        <v>1346</v>
      </c>
      <c r="D474" s="2" t="s">
        <v>73</v>
      </c>
      <c r="E474" s="2" t="s">
        <v>89</v>
      </c>
      <c r="F474" s="6" t="s">
        <v>257</v>
      </c>
      <c r="G474" s="10">
        <f t="shared" si="21"/>
        <v>2024</v>
      </c>
      <c r="H474" s="10">
        <f t="shared" si="22"/>
        <v>1</v>
      </c>
      <c r="I474" s="10">
        <f t="shared" si="23"/>
        <v>10</v>
      </c>
      <c r="J474" s="9" t="s">
        <v>1347</v>
      </c>
      <c r="K474" s="2" t="s">
        <v>91</v>
      </c>
      <c r="L474" s="2">
        <v>482.28</v>
      </c>
      <c r="M474" s="2" t="s">
        <v>122</v>
      </c>
      <c r="N474" s="2" t="s">
        <v>50</v>
      </c>
      <c r="O474" s="2">
        <v>43</v>
      </c>
      <c r="P474" s="2">
        <v>4</v>
      </c>
    </row>
    <row r="475" spans="2:16" ht="21" hidden="1" x14ac:dyDescent="0.55000000000000004">
      <c r="B475" s="2" t="s">
        <v>1348</v>
      </c>
      <c r="C475" s="2" t="s">
        <v>1349</v>
      </c>
      <c r="D475" s="2" t="s">
        <v>53</v>
      </c>
      <c r="E475" s="2" t="s">
        <v>45</v>
      </c>
      <c r="F475" s="6" t="s">
        <v>129</v>
      </c>
      <c r="G475" s="10">
        <f t="shared" si="21"/>
        <v>2024</v>
      </c>
      <c r="H475" s="10">
        <f t="shared" si="22"/>
        <v>1</v>
      </c>
      <c r="I475" s="10">
        <f t="shared" si="23"/>
        <v>19</v>
      </c>
      <c r="J475" s="9" t="s">
        <v>978</v>
      </c>
      <c r="K475" s="2" t="s">
        <v>57</v>
      </c>
      <c r="L475" s="2">
        <v>86.33</v>
      </c>
      <c r="M475" s="2" t="s">
        <v>65</v>
      </c>
      <c r="N475" s="2" t="s">
        <v>26</v>
      </c>
      <c r="O475" s="2">
        <v>36</v>
      </c>
      <c r="P475" s="2"/>
    </row>
    <row r="476" spans="2:16" ht="21" hidden="1" x14ac:dyDescent="0.55000000000000004">
      <c r="B476" s="2" t="s">
        <v>1350</v>
      </c>
      <c r="C476" s="2" t="s">
        <v>1351</v>
      </c>
      <c r="D476" s="2" t="s">
        <v>14</v>
      </c>
      <c r="E476" s="2" t="s">
        <v>80</v>
      </c>
      <c r="F476" s="6" t="s">
        <v>302</v>
      </c>
      <c r="G476" s="10">
        <f t="shared" si="21"/>
        <v>2024</v>
      </c>
      <c r="H476" s="10">
        <f t="shared" si="22"/>
        <v>1</v>
      </c>
      <c r="I476" s="10">
        <f t="shared" si="23"/>
        <v>2</v>
      </c>
      <c r="J476" s="9" t="s">
        <v>1352</v>
      </c>
      <c r="K476" s="2" t="s">
        <v>57</v>
      </c>
      <c r="L476" s="2">
        <v>242.32</v>
      </c>
      <c r="M476" s="2" t="s">
        <v>65</v>
      </c>
      <c r="N476" s="2" t="s">
        <v>41</v>
      </c>
      <c r="O476" s="2">
        <v>89</v>
      </c>
      <c r="P476" s="2">
        <v>4</v>
      </c>
    </row>
    <row r="477" spans="2:16" ht="21" hidden="1" x14ac:dyDescent="0.55000000000000004">
      <c r="B477" s="2" t="s">
        <v>1353</v>
      </c>
      <c r="C477" s="2" t="s">
        <v>1354</v>
      </c>
      <c r="D477" s="2" t="s">
        <v>44</v>
      </c>
      <c r="E477" s="2" t="s">
        <v>45</v>
      </c>
      <c r="F477" s="6" t="s">
        <v>144</v>
      </c>
      <c r="G477" s="10">
        <f t="shared" si="21"/>
        <v>2024</v>
      </c>
      <c r="H477" s="10">
        <f t="shared" si="22"/>
        <v>1</v>
      </c>
      <c r="I477" s="10">
        <f t="shared" si="23"/>
        <v>7</v>
      </c>
      <c r="J477" s="9" t="s">
        <v>1355</v>
      </c>
      <c r="K477" s="2" t="s">
        <v>57</v>
      </c>
      <c r="L477" s="2">
        <v>271.33</v>
      </c>
      <c r="M477" s="2" t="s">
        <v>65</v>
      </c>
      <c r="N477" s="2" t="s">
        <v>50</v>
      </c>
      <c r="O477" s="2">
        <v>64</v>
      </c>
      <c r="P477" s="2">
        <v>2</v>
      </c>
    </row>
    <row r="478" spans="2:16" ht="21" hidden="1" x14ac:dyDescent="0.55000000000000004">
      <c r="B478" s="2" t="s">
        <v>1356</v>
      </c>
      <c r="C478" s="2" t="s">
        <v>1357</v>
      </c>
      <c r="D478" s="2" t="s">
        <v>53</v>
      </c>
      <c r="E478" s="2" t="s">
        <v>139</v>
      </c>
      <c r="F478" s="6" t="s">
        <v>180</v>
      </c>
      <c r="G478" s="10">
        <f t="shared" si="21"/>
        <v>2024</v>
      </c>
      <c r="H478" s="10">
        <f t="shared" si="22"/>
        <v>1</v>
      </c>
      <c r="I478" s="10">
        <f t="shared" si="23"/>
        <v>28</v>
      </c>
      <c r="J478" s="9" t="s">
        <v>733</v>
      </c>
      <c r="K478" s="2" t="s">
        <v>91</v>
      </c>
      <c r="L478" s="2">
        <v>350.67</v>
      </c>
      <c r="M478" s="2" t="s">
        <v>19</v>
      </c>
      <c r="N478" s="2" t="s">
        <v>26</v>
      </c>
      <c r="O478" s="2">
        <v>83</v>
      </c>
      <c r="P478" s="2">
        <v>5</v>
      </c>
    </row>
    <row r="479" spans="2:16" ht="21" hidden="1" x14ac:dyDescent="0.55000000000000004">
      <c r="B479" s="2" t="s">
        <v>1358</v>
      </c>
      <c r="C479" s="2" t="s">
        <v>1359</v>
      </c>
      <c r="D479" s="2" t="s">
        <v>14</v>
      </c>
      <c r="E479" s="2" t="s">
        <v>139</v>
      </c>
      <c r="F479" s="6" t="s">
        <v>161</v>
      </c>
      <c r="G479" s="10">
        <f t="shared" si="21"/>
        <v>2024</v>
      </c>
      <c r="H479" s="10">
        <f t="shared" si="22"/>
        <v>1</v>
      </c>
      <c r="I479" s="10">
        <f t="shared" si="23"/>
        <v>5</v>
      </c>
      <c r="J479" s="9" t="s">
        <v>1360</v>
      </c>
      <c r="K479" s="2" t="s">
        <v>64</v>
      </c>
      <c r="L479" s="2">
        <v>215.3</v>
      </c>
      <c r="M479" s="2" t="s">
        <v>49</v>
      </c>
      <c r="N479" s="2" t="s">
        <v>41</v>
      </c>
      <c r="O479" s="2">
        <v>16</v>
      </c>
      <c r="P479" s="2">
        <v>2</v>
      </c>
    </row>
    <row r="480" spans="2:16" ht="21" hidden="1" x14ac:dyDescent="0.55000000000000004">
      <c r="B480" s="2" t="s">
        <v>1361</v>
      </c>
      <c r="C480" s="2" t="s">
        <v>1362</v>
      </c>
      <c r="D480" s="2" t="s">
        <v>44</v>
      </c>
      <c r="E480" s="2" t="s">
        <v>61</v>
      </c>
      <c r="F480" s="6" t="s">
        <v>97</v>
      </c>
      <c r="G480" s="10">
        <f t="shared" si="21"/>
        <v>2024</v>
      </c>
      <c r="H480" s="10">
        <f t="shared" si="22"/>
        <v>1</v>
      </c>
      <c r="I480" s="10">
        <f t="shared" si="23"/>
        <v>23</v>
      </c>
      <c r="J480" s="9" t="s">
        <v>1363</v>
      </c>
      <c r="K480" s="2" t="s">
        <v>91</v>
      </c>
      <c r="L480" s="2">
        <v>259.64</v>
      </c>
      <c r="M480" s="2" t="s">
        <v>19</v>
      </c>
      <c r="N480" s="2" t="s">
        <v>41</v>
      </c>
      <c r="O480" s="2">
        <v>64</v>
      </c>
      <c r="P480" s="2">
        <v>3</v>
      </c>
    </row>
    <row r="481" spans="2:16" ht="21" hidden="1" x14ac:dyDescent="0.55000000000000004">
      <c r="B481" s="2" t="s">
        <v>1364</v>
      </c>
      <c r="C481" s="2" t="s">
        <v>1365</v>
      </c>
      <c r="D481" s="2" t="s">
        <v>53</v>
      </c>
      <c r="E481" s="2" t="s">
        <v>74</v>
      </c>
      <c r="F481" s="6" t="s">
        <v>343</v>
      </c>
      <c r="G481" s="10">
        <f t="shared" si="21"/>
        <v>2024</v>
      </c>
      <c r="H481" s="10">
        <f t="shared" si="22"/>
        <v>1</v>
      </c>
      <c r="I481" s="10">
        <f t="shared" si="23"/>
        <v>13</v>
      </c>
      <c r="J481" s="9" t="s">
        <v>1366</v>
      </c>
      <c r="K481" s="2" t="s">
        <v>77</v>
      </c>
      <c r="L481" s="2">
        <v>147.88999999999999</v>
      </c>
      <c r="M481" s="2" t="s">
        <v>19</v>
      </c>
      <c r="N481" s="2" t="s">
        <v>50</v>
      </c>
      <c r="O481" s="2">
        <v>39</v>
      </c>
      <c r="P481" s="2">
        <v>3</v>
      </c>
    </row>
    <row r="482" spans="2:16" ht="21" hidden="1" x14ac:dyDescent="0.55000000000000004">
      <c r="B482" s="2" t="s">
        <v>1367</v>
      </c>
      <c r="C482" s="2" t="s">
        <v>1368</v>
      </c>
      <c r="D482" s="2" t="s">
        <v>73</v>
      </c>
      <c r="E482" s="2" t="s">
        <v>139</v>
      </c>
      <c r="F482" s="6" t="s">
        <v>198</v>
      </c>
      <c r="G482" s="10">
        <f t="shared" si="21"/>
        <v>2024</v>
      </c>
      <c r="H482" s="10">
        <f t="shared" si="22"/>
        <v>1</v>
      </c>
      <c r="I482" s="10">
        <f t="shared" si="23"/>
        <v>4</v>
      </c>
      <c r="J482" s="9" t="s">
        <v>370</v>
      </c>
      <c r="K482" s="2" t="s">
        <v>33</v>
      </c>
      <c r="L482" s="2">
        <v>462.89</v>
      </c>
      <c r="M482" s="2" t="s">
        <v>65</v>
      </c>
      <c r="N482" s="2" t="s">
        <v>20</v>
      </c>
      <c r="O482" s="2">
        <v>32</v>
      </c>
      <c r="P482" s="2">
        <v>1</v>
      </c>
    </row>
    <row r="483" spans="2:16" ht="21" hidden="1" x14ac:dyDescent="0.55000000000000004">
      <c r="B483" s="2" t="s">
        <v>1369</v>
      </c>
      <c r="C483" s="2" t="s">
        <v>1370</v>
      </c>
      <c r="D483" s="2" t="s">
        <v>60</v>
      </c>
      <c r="E483" s="2" t="s">
        <v>15</v>
      </c>
      <c r="F483" s="6" t="s">
        <v>343</v>
      </c>
      <c r="G483" s="10">
        <f t="shared" si="21"/>
        <v>2024</v>
      </c>
      <c r="H483" s="10">
        <f t="shared" si="22"/>
        <v>1</v>
      </c>
      <c r="I483" s="10">
        <f t="shared" si="23"/>
        <v>13</v>
      </c>
      <c r="J483" s="9" t="s">
        <v>1131</v>
      </c>
      <c r="K483" s="2" t="s">
        <v>48</v>
      </c>
      <c r="L483" s="2">
        <v>209.37</v>
      </c>
      <c r="M483" s="2" t="s">
        <v>122</v>
      </c>
      <c r="N483" s="2" t="s">
        <v>50</v>
      </c>
      <c r="O483" s="2">
        <v>64</v>
      </c>
      <c r="P483" s="2">
        <v>5</v>
      </c>
    </row>
    <row r="484" spans="2:16" ht="21" hidden="1" x14ac:dyDescent="0.55000000000000004">
      <c r="B484" s="2" t="s">
        <v>1371</v>
      </c>
      <c r="C484" s="2" t="s">
        <v>1372</v>
      </c>
      <c r="D484" s="2" t="s">
        <v>44</v>
      </c>
      <c r="E484" s="2" t="s">
        <v>89</v>
      </c>
      <c r="F484" s="6" t="s">
        <v>144</v>
      </c>
      <c r="G484" s="10">
        <f t="shared" si="21"/>
        <v>2024</v>
      </c>
      <c r="H484" s="10">
        <f t="shared" si="22"/>
        <v>1</v>
      </c>
      <c r="I484" s="10">
        <f t="shared" si="23"/>
        <v>7</v>
      </c>
      <c r="J484" s="9" t="s">
        <v>892</v>
      </c>
      <c r="K484" s="2" t="s">
        <v>48</v>
      </c>
      <c r="L484" s="2">
        <v>279.27</v>
      </c>
      <c r="M484" s="2" t="s">
        <v>65</v>
      </c>
      <c r="N484" s="2" t="s">
        <v>20</v>
      </c>
      <c r="O484" s="2">
        <v>22</v>
      </c>
      <c r="P484" s="2">
        <v>4</v>
      </c>
    </row>
    <row r="485" spans="2:16" ht="21" x14ac:dyDescent="0.55000000000000004">
      <c r="B485" s="2" t="s">
        <v>1373</v>
      </c>
      <c r="C485" s="2" t="s">
        <v>1374</v>
      </c>
      <c r="D485" s="2" t="s">
        <v>106</v>
      </c>
      <c r="E485" s="2" t="s">
        <v>54</v>
      </c>
      <c r="F485" s="6" t="s">
        <v>343</v>
      </c>
      <c r="G485" s="10">
        <f t="shared" si="21"/>
        <v>2024</v>
      </c>
      <c r="H485" s="10">
        <f t="shared" si="22"/>
        <v>1</v>
      </c>
      <c r="I485" s="10">
        <f t="shared" si="23"/>
        <v>13</v>
      </c>
      <c r="J485" s="9" t="s">
        <v>1375</v>
      </c>
      <c r="K485" s="2" t="s">
        <v>57</v>
      </c>
      <c r="L485" s="2">
        <v>85.52</v>
      </c>
      <c r="M485" s="2" t="s">
        <v>19</v>
      </c>
      <c r="N485" s="2" t="s">
        <v>50</v>
      </c>
      <c r="O485" s="2">
        <v>80</v>
      </c>
      <c r="P485" s="2">
        <v>5</v>
      </c>
    </row>
    <row r="486" spans="2:16" ht="21" hidden="1" x14ac:dyDescent="0.55000000000000004">
      <c r="B486" s="2" t="s">
        <v>1376</v>
      </c>
      <c r="C486" s="2" t="s">
        <v>1377</v>
      </c>
      <c r="D486" s="2" t="s">
        <v>73</v>
      </c>
      <c r="E486" s="2" t="s">
        <v>37</v>
      </c>
      <c r="F486" s="6" t="s">
        <v>129</v>
      </c>
      <c r="G486" s="10">
        <f t="shared" si="21"/>
        <v>2024</v>
      </c>
      <c r="H486" s="10">
        <f t="shared" si="22"/>
        <v>1</v>
      </c>
      <c r="I486" s="10">
        <f t="shared" si="23"/>
        <v>19</v>
      </c>
      <c r="J486" s="9" t="s">
        <v>107</v>
      </c>
      <c r="K486" s="2" t="s">
        <v>40</v>
      </c>
      <c r="L486" s="2">
        <v>335.47</v>
      </c>
      <c r="M486" s="2" t="s">
        <v>19</v>
      </c>
      <c r="N486" s="2" t="s">
        <v>20</v>
      </c>
      <c r="O486" s="2">
        <v>63</v>
      </c>
      <c r="P486" s="2">
        <v>2</v>
      </c>
    </row>
    <row r="487" spans="2:16" ht="21" hidden="1" x14ac:dyDescent="0.55000000000000004">
      <c r="B487" s="2" t="s">
        <v>1378</v>
      </c>
      <c r="C487" s="2" t="s">
        <v>1379</v>
      </c>
      <c r="D487" s="2" t="s">
        <v>14</v>
      </c>
      <c r="E487" s="2" t="s">
        <v>45</v>
      </c>
      <c r="F487" s="6" t="s">
        <v>24</v>
      </c>
      <c r="G487" s="10">
        <f t="shared" si="21"/>
        <v>2024</v>
      </c>
      <c r="H487" s="10">
        <f t="shared" si="22"/>
        <v>1</v>
      </c>
      <c r="I487" s="10">
        <f t="shared" si="23"/>
        <v>21</v>
      </c>
      <c r="J487" s="9" t="s">
        <v>869</v>
      </c>
      <c r="K487" s="2" t="s">
        <v>18</v>
      </c>
      <c r="L487" s="2">
        <v>184.79</v>
      </c>
      <c r="M487" s="2" t="s">
        <v>122</v>
      </c>
      <c r="N487" s="2" t="s">
        <v>20</v>
      </c>
      <c r="O487" s="2">
        <v>87</v>
      </c>
      <c r="P487" s="2">
        <v>3</v>
      </c>
    </row>
    <row r="488" spans="2:16" ht="21" hidden="1" x14ac:dyDescent="0.55000000000000004">
      <c r="B488" s="2" t="s">
        <v>1380</v>
      </c>
      <c r="C488" s="2" t="s">
        <v>1381</v>
      </c>
      <c r="D488" s="2" t="s">
        <v>14</v>
      </c>
      <c r="E488" s="2" t="s">
        <v>61</v>
      </c>
      <c r="F488" s="6" t="s">
        <v>198</v>
      </c>
      <c r="G488" s="10">
        <f t="shared" si="21"/>
        <v>2024</v>
      </c>
      <c r="H488" s="10">
        <f t="shared" si="22"/>
        <v>1</v>
      </c>
      <c r="I488" s="10">
        <f t="shared" si="23"/>
        <v>4</v>
      </c>
      <c r="J488" s="9" t="s">
        <v>739</v>
      </c>
      <c r="K488" s="2" t="s">
        <v>91</v>
      </c>
      <c r="L488" s="2">
        <v>431.9</v>
      </c>
      <c r="M488" s="2" t="s">
        <v>49</v>
      </c>
      <c r="N488" s="2" t="s">
        <v>41</v>
      </c>
      <c r="O488" s="2">
        <v>35</v>
      </c>
      <c r="P488" s="2">
        <v>1</v>
      </c>
    </row>
    <row r="489" spans="2:16" ht="21" hidden="1" x14ac:dyDescent="0.55000000000000004">
      <c r="B489" s="2" t="s">
        <v>1382</v>
      </c>
      <c r="C489" s="2" t="s">
        <v>1383</v>
      </c>
      <c r="D489" s="2" t="s">
        <v>106</v>
      </c>
      <c r="E489" s="2" t="s">
        <v>74</v>
      </c>
      <c r="F489" s="6" t="s">
        <v>349</v>
      </c>
      <c r="G489" s="10">
        <f t="shared" si="21"/>
        <v>2024</v>
      </c>
      <c r="H489" s="10">
        <f t="shared" si="22"/>
        <v>1</v>
      </c>
      <c r="I489" s="10">
        <f t="shared" si="23"/>
        <v>12</v>
      </c>
      <c r="J489" s="9" t="s">
        <v>686</v>
      </c>
      <c r="K489" s="2" t="s">
        <v>48</v>
      </c>
      <c r="L489" s="2">
        <v>404.89</v>
      </c>
      <c r="M489" s="2" t="s">
        <v>65</v>
      </c>
      <c r="N489" s="2" t="s">
        <v>20</v>
      </c>
      <c r="O489" s="2">
        <v>32</v>
      </c>
      <c r="P489" s="2">
        <v>1</v>
      </c>
    </row>
    <row r="490" spans="2:16" ht="21" hidden="1" x14ac:dyDescent="0.55000000000000004">
      <c r="B490" s="2" t="s">
        <v>1384</v>
      </c>
      <c r="C490" s="2" t="s">
        <v>1385</v>
      </c>
      <c r="D490" s="2" t="s">
        <v>44</v>
      </c>
      <c r="E490" s="2" t="s">
        <v>74</v>
      </c>
      <c r="F490" s="6" t="s">
        <v>140</v>
      </c>
      <c r="G490" s="10">
        <f t="shared" si="21"/>
        <v>2024</v>
      </c>
      <c r="H490" s="10">
        <f t="shared" si="22"/>
        <v>1</v>
      </c>
      <c r="I490" s="10">
        <f t="shared" si="23"/>
        <v>29</v>
      </c>
      <c r="J490" s="9" t="s">
        <v>1386</v>
      </c>
      <c r="K490" s="2" t="s">
        <v>77</v>
      </c>
      <c r="L490" s="2">
        <v>93.69</v>
      </c>
      <c r="M490" s="2" t="s">
        <v>122</v>
      </c>
      <c r="N490" s="2" t="s">
        <v>20</v>
      </c>
      <c r="O490" s="2">
        <v>31</v>
      </c>
      <c r="P490" s="2">
        <v>3</v>
      </c>
    </row>
    <row r="491" spans="2:16" ht="21" hidden="1" x14ac:dyDescent="0.55000000000000004">
      <c r="B491" s="2" t="s">
        <v>1387</v>
      </c>
      <c r="C491" s="2" t="s">
        <v>1388</v>
      </c>
      <c r="D491" s="2" t="s">
        <v>14</v>
      </c>
      <c r="E491" s="2" t="s">
        <v>89</v>
      </c>
      <c r="F491" s="6" t="s">
        <v>38</v>
      </c>
      <c r="G491" s="10">
        <f t="shared" si="21"/>
        <v>2024</v>
      </c>
      <c r="H491" s="10">
        <f t="shared" si="22"/>
        <v>1</v>
      </c>
      <c r="I491" s="10">
        <f t="shared" si="23"/>
        <v>11</v>
      </c>
      <c r="J491" s="9" t="s">
        <v>988</v>
      </c>
      <c r="K491" s="2" t="s">
        <v>48</v>
      </c>
      <c r="L491" s="2">
        <v>409.19</v>
      </c>
      <c r="M491" s="2" t="s">
        <v>65</v>
      </c>
      <c r="N491" s="2" t="s">
        <v>41</v>
      </c>
      <c r="O491" s="2">
        <v>19</v>
      </c>
      <c r="P491" s="2">
        <v>2</v>
      </c>
    </row>
    <row r="492" spans="2:16" ht="21" x14ac:dyDescent="0.55000000000000004">
      <c r="B492" s="2" t="s">
        <v>1389</v>
      </c>
      <c r="C492" s="2" t="s">
        <v>1390</v>
      </c>
      <c r="D492" s="2" t="s">
        <v>23</v>
      </c>
      <c r="E492" s="2" t="s">
        <v>54</v>
      </c>
      <c r="F492" s="6" t="s">
        <v>144</v>
      </c>
      <c r="G492" s="10">
        <f t="shared" si="21"/>
        <v>2024</v>
      </c>
      <c r="H492" s="10">
        <f t="shared" si="22"/>
        <v>1</v>
      </c>
      <c r="I492" s="10">
        <f t="shared" si="23"/>
        <v>7</v>
      </c>
      <c r="J492" s="9" t="s">
        <v>39</v>
      </c>
      <c r="K492" s="2" t="s">
        <v>57</v>
      </c>
      <c r="L492" s="2">
        <v>281.18</v>
      </c>
      <c r="M492" s="2" t="s">
        <v>49</v>
      </c>
      <c r="N492" s="2" t="s">
        <v>20</v>
      </c>
      <c r="O492" s="2">
        <v>36</v>
      </c>
      <c r="P492" s="2">
        <v>1</v>
      </c>
    </row>
    <row r="493" spans="2:16" ht="21" hidden="1" x14ac:dyDescent="0.55000000000000004">
      <c r="B493" s="2" t="s">
        <v>1391</v>
      </c>
      <c r="C493" s="2" t="s">
        <v>1392</v>
      </c>
      <c r="D493" s="2" t="s">
        <v>106</v>
      </c>
      <c r="E493" s="2" t="s">
        <v>125</v>
      </c>
      <c r="F493" s="6" t="s">
        <v>198</v>
      </c>
      <c r="G493" s="10">
        <f t="shared" si="21"/>
        <v>2024</v>
      </c>
      <c r="H493" s="10">
        <f t="shared" si="22"/>
        <v>1</v>
      </c>
      <c r="I493" s="10">
        <f t="shared" si="23"/>
        <v>4</v>
      </c>
      <c r="J493" s="9" t="s">
        <v>973</v>
      </c>
      <c r="K493" s="2" t="s">
        <v>48</v>
      </c>
      <c r="L493" s="2">
        <v>363.53</v>
      </c>
      <c r="M493" s="2" t="s">
        <v>65</v>
      </c>
      <c r="N493" s="2" t="s">
        <v>20</v>
      </c>
      <c r="O493" s="2">
        <v>85</v>
      </c>
      <c r="P493" s="2">
        <v>3</v>
      </c>
    </row>
    <row r="494" spans="2:16" ht="21" hidden="1" x14ac:dyDescent="0.55000000000000004">
      <c r="B494" s="2" t="s">
        <v>1393</v>
      </c>
      <c r="C494" s="2" t="s">
        <v>1394</v>
      </c>
      <c r="D494" s="2" t="s">
        <v>44</v>
      </c>
      <c r="E494" s="2" t="s">
        <v>80</v>
      </c>
      <c r="F494" s="6" t="s">
        <v>198</v>
      </c>
      <c r="G494" s="10">
        <f t="shared" si="21"/>
        <v>2024</v>
      </c>
      <c r="H494" s="10">
        <f t="shared" si="22"/>
        <v>1</v>
      </c>
      <c r="I494" s="10">
        <f t="shared" si="23"/>
        <v>4</v>
      </c>
      <c r="J494" s="9" t="s">
        <v>1395</v>
      </c>
      <c r="K494" s="2" t="s">
        <v>40</v>
      </c>
      <c r="L494" s="2">
        <v>330.34</v>
      </c>
      <c r="M494" s="2" t="s">
        <v>19</v>
      </c>
      <c r="N494" s="2" t="s">
        <v>50</v>
      </c>
      <c r="O494" s="2">
        <v>38</v>
      </c>
      <c r="P494" s="2"/>
    </row>
    <row r="495" spans="2:16" ht="21" hidden="1" x14ac:dyDescent="0.55000000000000004">
      <c r="B495" s="2" t="s">
        <v>1396</v>
      </c>
      <c r="C495" s="2" t="s">
        <v>1397</v>
      </c>
      <c r="D495" s="2" t="s">
        <v>117</v>
      </c>
      <c r="E495" s="2" t="s">
        <v>45</v>
      </c>
      <c r="F495" s="6" t="s">
        <v>161</v>
      </c>
      <c r="G495" s="10">
        <f t="shared" si="21"/>
        <v>2024</v>
      </c>
      <c r="H495" s="10">
        <f t="shared" si="22"/>
        <v>1</v>
      </c>
      <c r="I495" s="10">
        <f t="shared" si="23"/>
        <v>5</v>
      </c>
      <c r="J495" s="9" t="s">
        <v>1248</v>
      </c>
      <c r="K495" s="2" t="s">
        <v>57</v>
      </c>
      <c r="L495" s="2">
        <v>310.22000000000003</v>
      </c>
      <c r="M495" s="2" t="s">
        <v>65</v>
      </c>
      <c r="N495" s="2" t="s">
        <v>41</v>
      </c>
      <c r="O495" s="2">
        <v>26</v>
      </c>
      <c r="P495" s="2">
        <v>3</v>
      </c>
    </row>
    <row r="496" spans="2:16" ht="21" hidden="1" x14ac:dyDescent="0.55000000000000004">
      <c r="B496" s="2" t="s">
        <v>1398</v>
      </c>
      <c r="C496" s="2" t="s">
        <v>1399</v>
      </c>
      <c r="D496" s="2" t="s">
        <v>106</v>
      </c>
      <c r="E496" s="2" t="s">
        <v>61</v>
      </c>
      <c r="F496" s="6" t="s">
        <v>272</v>
      </c>
      <c r="G496" s="10">
        <f t="shared" si="21"/>
        <v>2024</v>
      </c>
      <c r="H496" s="10">
        <f t="shared" si="22"/>
        <v>1</v>
      </c>
      <c r="I496" s="10">
        <f t="shared" si="23"/>
        <v>1</v>
      </c>
      <c r="J496" s="9" t="s">
        <v>285</v>
      </c>
      <c r="K496" s="2" t="s">
        <v>91</v>
      </c>
      <c r="L496" s="2">
        <v>162.09</v>
      </c>
      <c r="M496" s="2" t="s">
        <v>19</v>
      </c>
      <c r="N496" s="2" t="s">
        <v>41</v>
      </c>
      <c r="O496" s="2">
        <v>58</v>
      </c>
      <c r="P496" s="2">
        <v>1</v>
      </c>
    </row>
    <row r="497" spans="2:16" ht="21" hidden="1" x14ac:dyDescent="0.55000000000000004">
      <c r="B497" s="2" t="s">
        <v>1400</v>
      </c>
      <c r="C497" s="2" t="s">
        <v>1401</v>
      </c>
      <c r="D497" s="2" t="s">
        <v>44</v>
      </c>
      <c r="E497" s="2" t="s">
        <v>80</v>
      </c>
      <c r="F497" s="6" t="s">
        <v>257</v>
      </c>
      <c r="G497" s="10">
        <f t="shared" si="21"/>
        <v>2024</v>
      </c>
      <c r="H497" s="10">
        <f t="shared" si="22"/>
        <v>1</v>
      </c>
      <c r="I497" s="10">
        <f t="shared" si="23"/>
        <v>10</v>
      </c>
      <c r="J497" s="9" t="s">
        <v>1402</v>
      </c>
      <c r="K497" s="2" t="s">
        <v>91</v>
      </c>
      <c r="L497" s="2">
        <v>169.91</v>
      </c>
      <c r="M497" s="2" t="s">
        <v>19</v>
      </c>
      <c r="N497" s="2" t="s">
        <v>41</v>
      </c>
      <c r="O497" s="2">
        <v>27</v>
      </c>
      <c r="P497" s="2">
        <v>2</v>
      </c>
    </row>
    <row r="498" spans="2:16" ht="21" hidden="1" x14ac:dyDescent="0.55000000000000004">
      <c r="B498" s="2" t="s">
        <v>1403</v>
      </c>
      <c r="C498" s="2" t="s">
        <v>1404</v>
      </c>
      <c r="D498" s="2" t="s">
        <v>53</v>
      </c>
      <c r="E498" s="2" t="s">
        <v>74</v>
      </c>
      <c r="F498" s="6" t="s">
        <v>118</v>
      </c>
      <c r="G498" s="10">
        <f t="shared" si="21"/>
        <v>2024</v>
      </c>
      <c r="H498" s="10">
        <f t="shared" si="22"/>
        <v>1</v>
      </c>
      <c r="I498" s="10">
        <f t="shared" si="23"/>
        <v>24</v>
      </c>
      <c r="J498" s="9" t="s">
        <v>761</v>
      </c>
      <c r="K498" s="2" t="s">
        <v>64</v>
      </c>
      <c r="L498" s="2">
        <v>499.67</v>
      </c>
      <c r="M498" s="2" t="s">
        <v>65</v>
      </c>
      <c r="N498" s="2" t="s">
        <v>26</v>
      </c>
      <c r="O498" s="2">
        <v>87</v>
      </c>
      <c r="P498" s="2">
        <v>2</v>
      </c>
    </row>
    <row r="499" spans="2:16" ht="21" hidden="1" x14ac:dyDescent="0.55000000000000004">
      <c r="B499" s="2" t="s">
        <v>1405</v>
      </c>
      <c r="C499" s="2" t="s">
        <v>1406</v>
      </c>
      <c r="D499" s="2" t="s">
        <v>14</v>
      </c>
      <c r="E499" s="2" t="s">
        <v>139</v>
      </c>
      <c r="F499" s="6" t="s">
        <v>24</v>
      </c>
      <c r="G499" s="10">
        <f t="shared" si="21"/>
        <v>2024</v>
      </c>
      <c r="H499" s="10">
        <f t="shared" si="22"/>
        <v>1</v>
      </c>
      <c r="I499" s="10">
        <f t="shared" si="23"/>
        <v>21</v>
      </c>
      <c r="J499" s="9" t="s">
        <v>516</v>
      </c>
      <c r="K499" s="2" t="s">
        <v>48</v>
      </c>
      <c r="L499" s="2">
        <v>345.03</v>
      </c>
      <c r="M499" s="2" t="s">
        <v>122</v>
      </c>
      <c r="N499" s="2" t="s">
        <v>20</v>
      </c>
      <c r="O499" s="2">
        <v>72</v>
      </c>
      <c r="P499" s="2">
        <v>5</v>
      </c>
    </row>
    <row r="500" spans="2:16" ht="21" hidden="1" x14ac:dyDescent="0.55000000000000004">
      <c r="B500" s="2" t="s">
        <v>1407</v>
      </c>
      <c r="C500" s="2" t="s">
        <v>1408</v>
      </c>
      <c r="D500" s="2" t="s">
        <v>73</v>
      </c>
      <c r="E500" s="2" t="s">
        <v>37</v>
      </c>
      <c r="F500" s="6" t="s">
        <v>38</v>
      </c>
      <c r="G500" s="10">
        <f t="shared" si="21"/>
        <v>2024</v>
      </c>
      <c r="H500" s="10">
        <f t="shared" si="22"/>
        <v>1</v>
      </c>
      <c r="I500" s="10">
        <f t="shared" si="23"/>
        <v>11</v>
      </c>
      <c r="J500" s="9" t="s">
        <v>1409</v>
      </c>
      <c r="K500" s="2" t="s">
        <v>48</v>
      </c>
      <c r="L500" s="2">
        <v>370.06</v>
      </c>
      <c r="M500" s="2" t="s">
        <v>65</v>
      </c>
      <c r="N500" s="2" t="s">
        <v>26</v>
      </c>
      <c r="O500" s="2">
        <v>23</v>
      </c>
      <c r="P500" s="2">
        <v>2</v>
      </c>
    </row>
    <row r="501" spans="2:16" ht="21" x14ac:dyDescent="0.55000000000000004">
      <c r="B501" s="2" t="s">
        <v>1410</v>
      </c>
      <c r="C501" s="2" t="s">
        <v>1411</v>
      </c>
      <c r="D501" s="2" t="s">
        <v>60</v>
      </c>
      <c r="E501" s="2" t="s">
        <v>54</v>
      </c>
      <c r="F501" s="6" t="s">
        <v>81</v>
      </c>
      <c r="G501" s="10">
        <f t="shared" si="21"/>
        <v>2024</v>
      </c>
      <c r="H501" s="10">
        <f t="shared" si="22"/>
        <v>1</v>
      </c>
      <c r="I501" s="10">
        <f t="shared" si="23"/>
        <v>18</v>
      </c>
      <c r="J501" s="9" t="s">
        <v>1412</v>
      </c>
      <c r="K501" s="2" t="s">
        <v>64</v>
      </c>
      <c r="L501" s="2">
        <v>296.83</v>
      </c>
      <c r="M501" s="2" t="s">
        <v>122</v>
      </c>
      <c r="N501" s="2" t="s">
        <v>20</v>
      </c>
      <c r="O501" s="2">
        <v>18</v>
      </c>
      <c r="P501" s="2">
        <v>2</v>
      </c>
    </row>
    <row r="502" spans="2:16" ht="21" hidden="1" x14ac:dyDescent="0.55000000000000004">
      <c r="B502" s="2" t="s">
        <v>1413</v>
      </c>
      <c r="C502" s="2" t="s">
        <v>1414</v>
      </c>
      <c r="D502" s="2" t="s">
        <v>53</v>
      </c>
      <c r="E502" s="2" t="s">
        <v>125</v>
      </c>
      <c r="F502" s="6" t="s">
        <v>140</v>
      </c>
      <c r="G502" s="10">
        <f t="shared" si="21"/>
        <v>2024</v>
      </c>
      <c r="H502" s="10">
        <f t="shared" si="22"/>
        <v>1</v>
      </c>
      <c r="I502" s="10">
        <f t="shared" si="23"/>
        <v>29</v>
      </c>
      <c r="J502" s="9" t="s">
        <v>621</v>
      </c>
      <c r="K502" s="2" t="s">
        <v>18</v>
      </c>
      <c r="L502" s="2">
        <v>262.25</v>
      </c>
      <c r="M502" s="2" t="s">
        <v>65</v>
      </c>
      <c r="N502" s="2" t="s">
        <v>41</v>
      </c>
      <c r="O502" s="2">
        <v>57</v>
      </c>
      <c r="P502" s="2">
        <v>1</v>
      </c>
    </row>
    <row r="503" spans="2:16" ht="21" hidden="1" x14ac:dyDescent="0.55000000000000004">
      <c r="B503" s="2" t="s">
        <v>1415</v>
      </c>
      <c r="C503" s="2" t="s">
        <v>1416</v>
      </c>
      <c r="D503" s="2" t="s">
        <v>44</v>
      </c>
      <c r="E503" s="2" t="s">
        <v>61</v>
      </c>
      <c r="F503" s="6" t="s">
        <v>140</v>
      </c>
      <c r="G503" s="10">
        <f t="shared" si="21"/>
        <v>2024</v>
      </c>
      <c r="H503" s="10">
        <f t="shared" si="22"/>
        <v>1</v>
      </c>
      <c r="I503" s="10">
        <f t="shared" si="23"/>
        <v>29</v>
      </c>
      <c r="J503" s="9" t="s">
        <v>1417</v>
      </c>
      <c r="K503" s="2" t="s">
        <v>40</v>
      </c>
      <c r="L503" s="2">
        <v>72.989999999999995</v>
      </c>
      <c r="M503" s="2" t="s">
        <v>122</v>
      </c>
      <c r="N503" s="2" t="s">
        <v>20</v>
      </c>
      <c r="O503" s="2">
        <v>44</v>
      </c>
      <c r="P503" s="2">
        <v>5</v>
      </c>
    </row>
    <row r="504" spans="2:16" ht="21" hidden="1" x14ac:dyDescent="0.55000000000000004">
      <c r="B504" s="2" t="s">
        <v>1418</v>
      </c>
      <c r="C504" s="2" t="s">
        <v>1419</v>
      </c>
      <c r="D504" s="2" t="s">
        <v>44</v>
      </c>
      <c r="E504" s="2" t="s">
        <v>80</v>
      </c>
      <c r="F504" s="6" t="s">
        <v>113</v>
      </c>
      <c r="G504" s="10">
        <f t="shared" si="21"/>
        <v>2024</v>
      </c>
      <c r="H504" s="10">
        <f t="shared" si="22"/>
        <v>1</v>
      </c>
      <c r="I504" s="10">
        <f t="shared" si="23"/>
        <v>15</v>
      </c>
      <c r="J504" s="9" t="s">
        <v>1192</v>
      </c>
      <c r="K504" s="2" t="s">
        <v>91</v>
      </c>
      <c r="L504" s="2">
        <v>286.07</v>
      </c>
      <c r="M504" s="2" t="s">
        <v>122</v>
      </c>
      <c r="N504" s="2" t="s">
        <v>50</v>
      </c>
      <c r="O504" s="2">
        <v>53</v>
      </c>
      <c r="P504" s="2">
        <v>4</v>
      </c>
    </row>
    <row r="505" spans="2:16" ht="21" hidden="1" x14ac:dyDescent="0.55000000000000004">
      <c r="B505" s="2" t="s">
        <v>1420</v>
      </c>
      <c r="C505" s="2" t="s">
        <v>1421</v>
      </c>
      <c r="D505" s="2" t="s">
        <v>29</v>
      </c>
      <c r="E505" s="2" t="s">
        <v>37</v>
      </c>
      <c r="F505" s="6" t="s">
        <v>317</v>
      </c>
      <c r="G505" s="10">
        <f t="shared" si="21"/>
        <v>2024</v>
      </c>
      <c r="H505" s="10">
        <f t="shared" si="22"/>
        <v>1</v>
      </c>
      <c r="I505" s="10">
        <f t="shared" si="23"/>
        <v>3</v>
      </c>
      <c r="J505" s="9" t="s">
        <v>1422</v>
      </c>
      <c r="K505" s="2" t="s">
        <v>91</v>
      </c>
      <c r="L505" s="2">
        <v>130.09</v>
      </c>
      <c r="M505" s="2" t="s">
        <v>19</v>
      </c>
      <c r="N505" s="2" t="s">
        <v>26</v>
      </c>
      <c r="O505" s="2">
        <v>22</v>
      </c>
      <c r="P505" s="2">
        <v>1</v>
      </c>
    </row>
    <row r="506" spans="2:16" ht="21" hidden="1" x14ac:dyDescent="0.55000000000000004">
      <c r="B506" s="2" t="s">
        <v>1423</v>
      </c>
      <c r="C506" s="2" t="s">
        <v>1424</v>
      </c>
      <c r="D506" s="2" t="s">
        <v>23</v>
      </c>
      <c r="E506" s="2" t="s">
        <v>61</v>
      </c>
      <c r="F506" s="6" t="s">
        <v>31</v>
      </c>
      <c r="G506" s="10">
        <f t="shared" si="21"/>
        <v>2024</v>
      </c>
      <c r="H506" s="10">
        <f t="shared" si="22"/>
        <v>1</v>
      </c>
      <c r="I506" s="10">
        <f t="shared" si="23"/>
        <v>14</v>
      </c>
      <c r="J506" s="9" t="s">
        <v>1425</v>
      </c>
      <c r="K506" s="2" t="s">
        <v>33</v>
      </c>
      <c r="L506" s="2">
        <v>450.92</v>
      </c>
      <c r="M506" s="2" t="s">
        <v>65</v>
      </c>
      <c r="N506" s="2" t="s">
        <v>50</v>
      </c>
      <c r="O506" s="2">
        <v>65</v>
      </c>
      <c r="P506" s="2">
        <v>5</v>
      </c>
    </row>
    <row r="507" spans="2:16" ht="21" hidden="1" x14ac:dyDescent="0.55000000000000004">
      <c r="B507" s="2" t="s">
        <v>1426</v>
      </c>
      <c r="C507" s="2" t="s">
        <v>1427</v>
      </c>
      <c r="D507" s="2" t="s">
        <v>73</v>
      </c>
      <c r="E507" s="2" t="s">
        <v>45</v>
      </c>
      <c r="F507" s="6" t="s">
        <v>132</v>
      </c>
      <c r="G507" s="10">
        <f t="shared" si="21"/>
        <v>2024</v>
      </c>
      <c r="H507" s="10">
        <f t="shared" si="22"/>
        <v>1</v>
      </c>
      <c r="I507" s="10">
        <f t="shared" si="23"/>
        <v>6</v>
      </c>
      <c r="J507" s="9" t="s">
        <v>1428</v>
      </c>
      <c r="K507" s="2" t="s">
        <v>91</v>
      </c>
      <c r="L507" s="2">
        <v>330.28</v>
      </c>
      <c r="M507" s="2" t="s">
        <v>122</v>
      </c>
      <c r="N507" s="2" t="s">
        <v>20</v>
      </c>
      <c r="O507" s="2">
        <v>64</v>
      </c>
      <c r="P507" s="2">
        <v>3</v>
      </c>
    </row>
    <row r="508" spans="2:16" ht="21" hidden="1" x14ac:dyDescent="0.55000000000000004">
      <c r="B508" s="2" t="s">
        <v>1429</v>
      </c>
      <c r="C508" s="2" t="s">
        <v>1430</v>
      </c>
      <c r="D508" s="2" t="s">
        <v>53</v>
      </c>
      <c r="E508" s="2" t="s">
        <v>139</v>
      </c>
      <c r="F508" s="6" t="s">
        <v>129</v>
      </c>
      <c r="G508" s="10">
        <f t="shared" si="21"/>
        <v>2024</v>
      </c>
      <c r="H508" s="10">
        <f t="shared" si="22"/>
        <v>1</v>
      </c>
      <c r="I508" s="10">
        <f t="shared" si="23"/>
        <v>19</v>
      </c>
      <c r="J508" s="9" t="s">
        <v>223</v>
      </c>
      <c r="K508" s="2" t="s">
        <v>40</v>
      </c>
      <c r="L508" s="2">
        <v>324.26</v>
      </c>
      <c r="M508" s="2" t="s">
        <v>49</v>
      </c>
      <c r="N508" s="2" t="s">
        <v>20</v>
      </c>
      <c r="O508" s="2">
        <v>65</v>
      </c>
      <c r="P508" s="2">
        <v>5</v>
      </c>
    </row>
    <row r="509" spans="2:16" ht="21" hidden="1" x14ac:dyDescent="0.55000000000000004">
      <c r="B509" s="2" t="s">
        <v>1431</v>
      </c>
      <c r="C509" s="2" t="s">
        <v>952</v>
      </c>
      <c r="D509" s="2" t="s">
        <v>73</v>
      </c>
      <c r="E509" s="2" t="s">
        <v>125</v>
      </c>
      <c r="F509" s="6" t="s">
        <v>97</v>
      </c>
      <c r="G509" s="10">
        <f t="shared" si="21"/>
        <v>2024</v>
      </c>
      <c r="H509" s="10">
        <f t="shared" si="22"/>
        <v>1</v>
      </c>
      <c r="I509" s="10">
        <f t="shared" si="23"/>
        <v>23</v>
      </c>
      <c r="J509" s="9" t="s">
        <v>956</v>
      </c>
      <c r="K509" s="2" t="s">
        <v>91</v>
      </c>
      <c r="L509" s="2">
        <v>366.04</v>
      </c>
      <c r="M509" s="2" t="s">
        <v>122</v>
      </c>
      <c r="N509" s="2" t="s">
        <v>41</v>
      </c>
      <c r="O509" s="2">
        <v>18</v>
      </c>
      <c r="P509" s="2">
        <v>5</v>
      </c>
    </row>
    <row r="510" spans="2:16" ht="21" hidden="1" x14ac:dyDescent="0.55000000000000004">
      <c r="B510" s="2" t="s">
        <v>1432</v>
      </c>
      <c r="C510" s="2" t="s">
        <v>1433</v>
      </c>
      <c r="D510" s="2" t="s">
        <v>117</v>
      </c>
      <c r="E510" s="2" t="s">
        <v>80</v>
      </c>
      <c r="F510" s="6" t="s">
        <v>113</v>
      </c>
      <c r="G510" s="10">
        <f t="shared" si="21"/>
        <v>2024</v>
      </c>
      <c r="H510" s="10">
        <f t="shared" si="22"/>
        <v>1</v>
      </c>
      <c r="I510" s="10">
        <f t="shared" si="23"/>
        <v>15</v>
      </c>
      <c r="J510" s="9" t="s">
        <v>1028</v>
      </c>
      <c r="K510" s="2" t="s">
        <v>91</v>
      </c>
      <c r="L510" s="2">
        <v>132.44999999999999</v>
      </c>
      <c r="M510" s="2" t="s">
        <v>19</v>
      </c>
      <c r="N510" s="2" t="s">
        <v>41</v>
      </c>
      <c r="O510" s="2">
        <v>43</v>
      </c>
      <c r="P510" s="2">
        <v>2</v>
      </c>
    </row>
    <row r="511" spans="2:16" ht="21" hidden="1" x14ac:dyDescent="0.55000000000000004">
      <c r="B511" s="2" t="s">
        <v>1434</v>
      </c>
      <c r="C511" s="2" t="s">
        <v>1435</v>
      </c>
      <c r="D511" s="2" t="s">
        <v>73</v>
      </c>
      <c r="E511" s="2" t="s">
        <v>37</v>
      </c>
      <c r="F511" s="6" t="s">
        <v>16</v>
      </c>
      <c r="G511" s="10">
        <f t="shared" si="21"/>
        <v>2024</v>
      </c>
      <c r="H511" s="10">
        <f t="shared" si="22"/>
        <v>1</v>
      </c>
      <c r="I511" s="10">
        <f t="shared" si="23"/>
        <v>9</v>
      </c>
      <c r="J511" s="9" t="s">
        <v>1105</v>
      </c>
      <c r="K511" s="2" t="s">
        <v>57</v>
      </c>
      <c r="L511" s="2">
        <v>115.96</v>
      </c>
      <c r="M511" s="2" t="s">
        <v>19</v>
      </c>
      <c r="N511" s="2" t="s">
        <v>26</v>
      </c>
      <c r="O511" s="2">
        <v>88</v>
      </c>
      <c r="P511" s="2">
        <v>3</v>
      </c>
    </row>
    <row r="512" spans="2:16" ht="21" hidden="1" x14ac:dyDescent="0.55000000000000004">
      <c r="B512" s="2" t="s">
        <v>1436</v>
      </c>
      <c r="C512" s="2" t="s">
        <v>1033</v>
      </c>
      <c r="D512" s="2" t="s">
        <v>23</v>
      </c>
      <c r="E512" s="2" t="s">
        <v>125</v>
      </c>
      <c r="F512" s="6" t="s">
        <v>85</v>
      </c>
      <c r="G512" s="10">
        <f t="shared" si="21"/>
        <v>2024</v>
      </c>
      <c r="H512" s="10">
        <f t="shared" si="22"/>
        <v>1</v>
      </c>
      <c r="I512" s="10">
        <f t="shared" si="23"/>
        <v>16</v>
      </c>
      <c r="J512" s="9" t="s">
        <v>1437</v>
      </c>
      <c r="K512" s="2" t="s">
        <v>91</v>
      </c>
      <c r="L512" s="2">
        <v>97.18</v>
      </c>
      <c r="M512" s="2" t="s">
        <v>19</v>
      </c>
      <c r="N512" s="2" t="s">
        <v>26</v>
      </c>
      <c r="O512" s="2">
        <v>59</v>
      </c>
      <c r="P512" s="2">
        <v>2</v>
      </c>
    </row>
    <row r="513" spans="2:16" ht="21" hidden="1" x14ac:dyDescent="0.55000000000000004">
      <c r="B513" s="2" t="s">
        <v>1438</v>
      </c>
      <c r="C513" s="2" t="s">
        <v>1439</v>
      </c>
      <c r="D513" s="2" t="s">
        <v>29</v>
      </c>
      <c r="E513" s="2" t="s">
        <v>15</v>
      </c>
      <c r="F513" s="6" t="s">
        <v>16</v>
      </c>
      <c r="G513" s="10">
        <f t="shared" si="21"/>
        <v>2024</v>
      </c>
      <c r="H513" s="10">
        <f t="shared" si="22"/>
        <v>1</v>
      </c>
      <c r="I513" s="10">
        <f t="shared" si="23"/>
        <v>9</v>
      </c>
      <c r="J513" s="9" t="s">
        <v>214</v>
      </c>
      <c r="K513" s="2" t="s">
        <v>40</v>
      </c>
      <c r="L513" s="2">
        <v>455.53</v>
      </c>
      <c r="M513" s="2" t="s">
        <v>65</v>
      </c>
      <c r="N513" s="2" t="s">
        <v>20</v>
      </c>
      <c r="O513" s="2">
        <v>45</v>
      </c>
      <c r="P513" s="2">
        <v>2</v>
      </c>
    </row>
    <row r="514" spans="2:16" ht="21" hidden="1" x14ac:dyDescent="0.55000000000000004">
      <c r="B514" s="2" t="s">
        <v>1440</v>
      </c>
      <c r="C514" s="2" t="s">
        <v>1441</v>
      </c>
      <c r="D514" s="2" t="s">
        <v>60</v>
      </c>
      <c r="E514" s="2" t="s">
        <v>45</v>
      </c>
      <c r="F514" s="6" t="s">
        <v>349</v>
      </c>
      <c r="G514" s="10">
        <f t="shared" si="21"/>
        <v>2024</v>
      </c>
      <c r="H514" s="10">
        <f t="shared" si="22"/>
        <v>1</v>
      </c>
      <c r="I514" s="10">
        <f t="shared" si="23"/>
        <v>12</v>
      </c>
      <c r="J514" s="9" t="s">
        <v>1442</v>
      </c>
      <c r="K514" s="2" t="s">
        <v>64</v>
      </c>
      <c r="L514" s="2">
        <v>327.05</v>
      </c>
      <c r="M514" s="2" t="s">
        <v>65</v>
      </c>
      <c r="N514" s="2" t="s">
        <v>50</v>
      </c>
      <c r="O514" s="2">
        <v>83</v>
      </c>
      <c r="P514" s="2">
        <v>3</v>
      </c>
    </row>
    <row r="515" spans="2:16" ht="21" hidden="1" x14ac:dyDescent="0.55000000000000004">
      <c r="B515" s="2" t="s">
        <v>1443</v>
      </c>
      <c r="C515" s="2" t="s">
        <v>1444</v>
      </c>
      <c r="D515" s="2" t="s">
        <v>68</v>
      </c>
      <c r="E515" s="2" t="s">
        <v>125</v>
      </c>
      <c r="F515" s="6" t="s">
        <v>24</v>
      </c>
      <c r="G515" s="10">
        <f t="shared" si="21"/>
        <v>2024</v>
      </c>
      <c r="H515" s="10">
        <f t="shared" si="22"/>
        <v>1</v>
      </c>
      <c r="I515" s="10">
        <f t="shared" si="23"/>
        <v>21</v>
      </c>
      <c r="J515" s="9" t="s">
        <v>406</v>
      </c>
      <c r="K515" s="2" t="s">
        <v>18</v>
      </c>
      <c r="L515" s="2">
        <v>175.22</v>
      </c>
      <c r="M515" s="2" t="s">
        <v>122</v>
      </c>
      <c r="N515" s="2" t="s">
        <v>41</v>
      </c>
      <c r="O515" s="2">
        <v>57</v>
      </c>
      <c r="P515" s="2">
        <v>1</v>
      </c>
    </row>
    <row r="516" spans="2:16" ht="21" hidden="1" x14ac:dyDescent="0.55000000000000004">
      <c r="B516" s="2" t="s">
        <v>1445</v>
      </c>
      <c r="C516" s="2" t="s">
        <v>1446</v>
      </c>
      <c r="D516" s="2" t="s">
        <v>29</v>
      </c>
      <c r="E516" s="2" t="s">
        <v>139</v>
      </c>
      <c r="F516" s="6" t="s">
        <v>62</v>
      </c>
      <c r="G516" s="10">
        <f t="shared" ref="G516:G579" si="24">YEAR(F516)</f>
        <v>2024</v>
      </c>
      <c r="H516" s="10">
        <f t="shared" ref="H516:H579" si="25">MONTH(F516)</f>
        <v>1</v>
      </c>
      <c r="I516" s="10">
        <f t="shared" ref="I516:I579" si="26">DAY(F516)</f>
        <v>31</v>
      </c>
      <c r="J516" s="9" t="s">
        <v>1447</v>
      </c>
      <c r="K516" s="2" t="s">
        <v>18</v>
      </c>
      <c r="L516" s="2">
        <v>92.01</v>
      </c>
      <c r="M516" s="2" t="s">
        <v>65</v>
      </c>
      <c r="N516" s="2" t="s">
        <v>41</v>
      </c>
      <c r="O516" s="2">
        <v>65</v>
      </c>
      <c r="P516" s="2">
        <v>3</v>
      </c>
    </row>
    <row r="517" spans="2:16" ht="21" hidden="1" x14ac:dyDescent="0.55000000000000004">
      <c r="B517" s="2" t="s">
        <v>1448</v>
      </c>
      <c r="C517" s="2" t="s">
        <v>1449</v>
      </c>
      <c r="D517" s="2" t="s">
        <v>73</v>
      </c>
      <c r="E517" s="2" t="s">
        <v>89</v>
      </c>
      <c r="F517" s="6" t="s">
        <v>144</v>
      </c>
      <c r="G517" s="10">
        <f t="shared" si="24"/>
        <v>2024</v>
      </c>
      <c r="H517" s="10">
        <f t="shared" si="25"/>
        <v>1</v>
      </c>
      <c r="I517" s="10">
        <f t="shared" si="26"/>
        <v>7</v>
      </c>
      <c r="J517" s="9" t="s">
        <v>1450</v>
      </c>
      <c r="K517" s="2" t="s">
        <v>33</v>
      </c>
      <c r="L517" s="2">
        <v>147.24</v>
      </c>
      <c r="M517" s="2" t="s">
        <v>49</v>
      </c>
      <c r="N517" s="2" t="s">
        <v>50</v>
      </c>
      <c r="O517" s="2">
        <v>75</v>
      </c>
      <c r="P517" s="2">
        <v>1</v>
      </c>
    </row>
    <row r="518" spans="2:16" ht="21" hidden="1" x14ac:dyDescent="0.55000000000000004">
      <c r="B518" s="2" t="s">
        <v>1451</v>
      </c>
      <c r="C518" s="2" t="s">
        <v>13</v>
      </c>
      <c r="D518" s="2" t="s">
        <v>14</v>
      </c>
      <c r="E518" s="2" t="s">
        <v>61</v>
      </c>
      <c r="F518" s="6" t="s">
        <v>46</v>
      </c>
      <c r="G518" s="10">
        <f t="shared" si="24"/>
        <v>2024</v>
      </c>
      <c r="H518" s="10">
        <f t="shared" si="25"/>
        <v>1</v>
      </c>
      <c r="I518" s="10">
        <f t="shared" si="26"/>
        <v>17</v>
      </c>
      <c r="J518" s="9" t="s">
        <v>1054</v>
      </c>
      <c r="K518" s="2" t="s">
        <v>18</v>
      </c>
      <c r="L518" s="2">
        <v>341.57</v>
      </c>
      <c r="M518" s="2" t="s">
        <v>49</v>
      </c>
      <c r="N518" s="2" t="s">
        <v>20</v>
      </c>
      <c r="O518" s="2">
        <v>46</v>
      </c>
      <c r="P518" s="2">
        <v>1</v>
      </c>
    </row>
    <row r="519" spans="2:16" ht="21" hidden="1" x14ac:dyDescent="0.55000000000000004">
      <c r="B519" s="2" t="s">
        <v>1452</v>
      </c>
      <c r="C519" s="2" t="s">
        <v>1453</v>
      </c>
      <c r="D519" s="2" t="s">
        <v>29</v>
      </c>
      <c r="E519" s="2" t="s">
        <v>45</v>
      </c>
      <c r="F519" s="6" t="s">
        <v>38</v>
      </c>
      <c r="G519" s="10">
        <f t="shared" si="24"/>
        <v>2024</v>
      </c>
      <c r="H519" s="10">
        <f t="shared" si="25"/>
        <v>1</v>
      </c>
      <c r="I519" s="10">
        <f t="shared" si="26"/>
        <v>11</v>
      </c>
      <c r="J519" s="9" t="s">
        <v>829</v>
      </c>
      <c r="K519" s="2" t="s">
        <v>40</v>
      </c>
      <c r="L519" s="2">
        <v>376.26</v>
      </c>
      <c r="M519" s="2" t="s">
        <v>19</v>
      </c>
      <c r="N519" s="2" t="s">
        <v>41</v>
      </c>
      <c r="O519" s="2">
        <v>28</v>
      </c>
      <c r="P519" s="2">
        <v>2</v>
      </c>
    </row>
    <row r="520" spans="2:16" ht="21" hidden="1" x14ac:dyDescent="0.55000000000000004">
      <c r="B520" s="2" t="s">
        <v>1454</v>
      </c>
      <c r="C520" s="2" t="s">
        <v>1455</v>
      </c>
      <c r="D520" s="2" t="s">
        <v>68</v>
      </c>
      <c r="E520" s="2" t="s">
        <v>15</v>
      </c>
      <c r="F520" s="6" t="s">
        <v>55</v>
      </c>
      <c r="G520" s="10">
        <f t="shared" si="24"/>
        <v>2024</v>
      </c>
      <c r="H520" s="10">
        <f t="shared" si="25"/>
        <v>1</v>
      </c>
      <c r="I520" s="10">
        <f t="shared" si="26"/>
        <v>8</v>
      </c>
      <c r="J520" s="9" t="s">
        <v>647</v>
      </c>
      <c r="K520" s="2" t="s">
        <v>48</v>
      </c>
      <c r="L520" s="2">
        <v>98.44</v>
      </c>
      <c r="M520" s="2" t="s">
        <v>65</v>
      </c>
      <c r="N520" s="2" t="s">
        <v>20</v>
      </c>
      <c r="O520" s="2">
        <v>60</v>
      </c>
      <c r="P520" s="2">
        <v>3</v>
      </c>
    </row>
    <row r="521" spans="2:16" ht="21" hidden="1" x14ac:dyDescent="0.55000000000000004">
      <c r="B521" s="2" t="s">
        <v>1456</v>
      </c>
      <c r="C521" s="2" t="s">
        <v>1457</v>
      </c>
      <c r="D521" s="2" t="s">
        <v>117</v>
      </c>
      <c r="E521" s="2" t="s">
        <v>139</v>
      </c>
      <c r="F521" s="6" t="s">
        <v>132</v>
      </c>
      <c r="G521" s="10">
        <f t="shared" si="24"/>
        <v>2024</v>
      </c>
      <c r="H521" s="10">
        <f t="shared" si="25"/>
        <v>1</v>
      </c>
      <c r="I521" s="10">
        <f t="shared" si="26"/>
        <v>6</v>
      </c>
      <c r="J521" s="9" t="s">
        <v>854</v>
      </c>
      <c r="K521" s="2" t="s">
        <v>18</v>
      </c>
      <c r="L521" s="2">
        <v>192.99</v>
      </c>
      <c r="M521" s="2" t="s">
        <v>49</v>
      </c>
      <c r="N521" s="2" t="s">
        <v>26</v>
      </c>
      <c r="O521" s="2">
        <v>61</v>
      </c>
      <c r="P521" s="2">
        <v>1</v>
      </c>
    </row>
    <row r="522" spans="2:16" ht="21" hidden="1" x14ac:dyDescent="0.55000000000000004">
      <c r="B522" s="2" t="s">
        <v>1458</v>
      </c>
      <c r="C522" s="2" t="s">
        <v>1459</v>
      </c>
      <c r="D522" s="2" t="s">
        <v>14</v>
      </c>
      <c r="E522" s="2" t="s">
        <v>74</v>
      </c>
      <c r="F522" s="6" t="s">
        <v>129</v>
      </c>
      <c r="G522" s="10">
        <f t="shared" si="24"/>
        <v>2024</v>
      </c>
      <c r="H522" s="10">
        <f t="shared" si="25"/>
        <v>1</v>
      </c>
      <c r="I522" s="10">
        <f t="shared" si="26"/>
        <v>19</v>
      </c>
      <c r="J522" s="9" t="s">
        <v>591</v>
      </c>
      <c r="K522" s="2" t="s">
        <v>57</v>
      </c>
      <c r="L522" s="2">
        <v>323.70999999999998</v>
      </c>
      <c r="M522" s="2" t="s">
        <v>19</v>
      </c>
      <c r="N522" s="2" t="s">
        <v>50</v>
      </c>
      <c r="O522" s="2">
        <v>34</v>
      </c>
      <c r="P522" s="2">
        <v>3</v>
      </c>
    </row>
    <row r="523" spans="2:16" ht="21" hidden="1" x14ac:dyDescent="0.55000000000000004">
      <c r="B523" s="2" t="s">
        <v>1460</v>
      </c>
      <c r="C523" s="2" t="s">
        <v>1461</v>
      </c>
      <c r="D523" s="2" t="s">
        <v>73</v>
      </c>
      <c r="E523" s="2" t="s">
        <v>80</v>
      </c>
      <c r="F523" s="6" t="s">
        <v>154</v>
      </c>
      <c r="G523" s="10">
        <f t="shared" si="24"/>
        <v>2024</v>
      </c>
      <c r="H523" s="10">
        <f t="shared" si="25"/>
        <v>1</v>
      </c>
      <c r="I523" s="10">
        <f t="shared" si="26"/>
        <v>22</v>
      </c>
      <c r="J523" s="9" t="s">
        <v>709</v>
      </c>
      <c r="K523" s="2" t="s">
        <v>64</v>
      </c>
      <c r="L523" s="2">
        <v>183.35</v>
      </c>
      <c r="M523" s="2" t="s">
        <v>19</v>
      </c>
      <c r="N523" s="2" t="s">
        <v>26</v>
      </c>
      <c r="O523" s="2">
        <v>45</v>
      </c>
      <c r="P523" s="2">
        <v>5</v>
      </c>
    </row>
    <row r="524" spans="2:16" ht="21" hidden="1" x14ac:dyDescent="0.55000000000000004">
      <c r="B524" s="2" t="s">
        <v>1462</v>
      </c>
      <c r="C524" s="2" t="s">
        <v>1463</v>
      </c>
      <c r="D524" s="2" t="s">
        <v>53</v>
      </c>
      <c r="E524" s="2" t="s">
        <v>89</v>
      </c>
      <c r="F524" s="6" t="s">
        <v>317</v>
      </c>
      <c r="G524" s="10">
        <f t="shared" si="24"/>
        <v>2024</v>
      </c>
      <c r="H524" s="10">
        <f t="shared" si="25"/>
        <v>1</v>
      </c>
      <c r="I524" s="10">
        <f t="shared" si="26"/>
        <v>3</v>
      </c>
      <c r="J524" s="9" t="s">
        <v>1464</v>
      </c>
      <c r="K524" s="2" t="s">
        <v>40</v>
      </c>
      <c r="L524" s="2">
        <v>121.12</v>
      </c>
      <c r="M524" s="2" t="s">
        <v>65</v>
      </c>
      <c r="N524" s="2" t="s">
        <v>41</v>
      </c>
      <c r="O524" s="2">
        <v>32</v>
      </c>
      <c r="P524" s="2">
        <v>4</v>
      </c>
    </row>
    <row r="525" spans="2:16" ht="21" hidden="1" x14ac:dyDescent="0.55000000000000004">
      <c r="B525" s="2" t="s">
        <v>1465</v>
      </c>
      <c r="C525" s="2" t="s">
        <v>1466</v>
      </c>
      <c r="D525" s="2" t="s">
        <v>73</v>
      </c>
      <c r="E525" s="2" t="s">
        <v>89</v>
      </c>
      <c r="F525" s="6" t="s">
        <v>302</v>
      </c>
      <c r="G525" s="10">
        <f t="shared" si="24"/>
        <v>2024</v>
      </c>
      <c r="H525" s="10">
        <f t="shared" si="25"/>
        <v>1</v>
      </c>
      <c r="I525" s="10">
        <f t="shared" si="26"/>
        <v>2</v>
      </c>
      <c r="J525" s="9" t="s">
        <v>251</v>
      </c>
      <c r="K525" s="2" t="s">
        <v>91</v>
      </c>
      <c r="L525" s="2">
        <v>263.42</v>
      </c>
      <c r="M525" s="2" t="s">
        <v>122</v>
      </c>
      <c r="N525" s="2" t="s">
        <v>41</v>
      </c>
      <c r="O525" s="2">
        <v>21</v>
      </c>
      <c r="P525" s="2">
        <v>4</v>
      </c>
    </row>
    <row r="526" spans="2:16" ht="21" hidden="1" x14ac:dyDescent="0.55000000000000004">
      <c r="B526" s="2" t="s">
        <v>1467</v>
      </c>
      <c r="C526" s="2" t="s">
        <v>1468</v>
      </c>
      <c r="D526" s="2" t="s">
        <v>117</v>
      </c>
      <c r="E526" s="2" t="s">
        <v>37</v>
      </c>
      <c r="F526" s="6" t="s">
        <v>238</v>
      </c>
      <c r="G526" s="10">
        <f t="shared" si="24"/>
        <v>2024</v>
      </c>
      <c r="H526" s="10">
        <f t="shared" si="25"/>
        <v>1</v>
      </c>
      <c r="I526" s="10">
        <f t="shared" si="26"/>
        <v>20</v>
      </c>
      <c r="J526" s="9" t="s">
        <v>457</v>
      </c>
      <c r="K526" s="2" t="s">
        <v>64</v>
      </c>
      <c r="L526" s="2">
        <v>411.68</v>
      </c>
      <c r="M526" s="2" t="s">
        <v>49</v>
      </c>
      <c r="N526" s="2" t="s">
        <v>41</v>
      </c>
      <c r="O526" s="2">
        <v>25</v>
      </c>
      <c r="P526" s="2">
        <v>2</v>
      </c>
    </row>
    <row r="527" spans="2:16" ht="21" hidden="1" x14ac:dyDescent="0.55000000000000004">
      <c r="B527" s="2" t="s">
        <v>1469</v>
      </c>
      <c r="C527" s="2" t="s">
        <v>1470</v>
      </c>
      <c r="D527" s="2" t="s">
        <v>53</v>
      </c>
      <c r="E527" s="2" t="s">
        <v>45</v>
      </c>
      <c r="F527" s="6" t="s">
        <v>81</v>
      </c>
      <c r="G527" s="10">
        <f t="shared" si="24"/>
        <v>2024</v>
      </c>
      <c r="H527" s="10">
        <f t="shared" si="25"/>
        <v>1</v>
      </c>
      <c r="I527" s="10">
        <f t="shared" si="26"/>
        <v>18</v>
      </c>
      <c r="J527" s="9" t="s">
        <v>1471</v>
      </c>
      <c r="K527" s="2" t="s">
        <v>33</v>
      </c>
      <c r="L527" s="2">
        <v>414.22</v>
      </c>
      <c r="M527" s="2" t="s">
        <v>19</v>
      </c>
      <c r="N527" s="2" t="s">
        <v>41</v>
      </c>
      <c r="O527" s="2">
        <v>18</v>
      </c>
      <c r="P527" s="2">
        <v>4</v>
      </c>
    </row>
    <row r="528" spans="2:16" ht="21" hidden="1" x14ac:dyDescent="0.55000000000000004">
      <c r="B528" s="2" t="s">
        <v>1472</v>
      </c>
      <c r="C528" s="2" t="s">
        <v>1473</v>
      </c>
      <c r="D528" s="2" t="s">
        <v>29</v>
      </c>
      <c r="E528" s="2" t="s">
        <v>89</v>
      </c>
      <c r="F528" s="6" t="s">
        <v>198</v>
      </c>
      <c r="G528" s="10">
        <f t="shared" si="24"/>
        <v>2024</v>
      </c>
      <c r="H528" s="10">
        <f t="shared" si="25"/>
        <v>1</v>
      </c>
      <c r="I528" s="10">
        <f t="shared" si="26"/>
        <v>4</v>
      </c>
      <c r="J528" s="9" t="s">
        <v>1474</v>
      </c>
      <c r="K528" s="2" t="s">
        <v>57</v>
      </c>
      <c r="L528" s="2">
        <v>150.29</v>
      </c>
      <c r="M528" s="2" t="s">
        <v>49</v>
      </c>
      <c r="N528" s="2" t="s">
        <v>20</v>
      </c>
      <c r="O528" s="2">
        <v>41</v>
      </c>
      <c r="P528" s="2">
        <v>4</v>
      </c>
    </row>
    <row r="529" spans="2:16" ht="21" hidden="1" x14ac:dyDescent="0.55000000000000004">
      <c r="B529" s="2" t="s">
        <v>1475</v>
      </c>
      <c r="C529" s="2" t="s">
        <v>1476</v>
      </c>
      <c r="D529" s="2" t="s">
        <v>44</v>
      </c>
      <c r="E529" s="2" t="s">
        <v>125</v>
      </c>
      <c r="F529" s="6" t="s">
        <v>75</v>
      </c>
      <c r="G529" s="10">
        <f t="shared" si="24"/>
        <v>2024</v>
      </c>
      <c r="H529" s="10">
        <f t="shared" si="25"/>
        <v>1</v>
      </c>
      <c r="I529" s="10">
        <f t="shared" si="26"/>
        <v>25</v>
      </c>
      <c r="J529" s="9" t="s">
        <v>1477</v>
      </c>
      <c r="K529" s="2" t="s">
        <v>91</v>
      </c>
      <c r="L529" s="2">
        <v>64.489999999999995</v>
      </c>
      <c r="M529" s="2" t="s">
        <v>49</v>
      </c>
      <c r="N529" s="2" t="s">
        <v>50</v>
      </c>
      <c r="O529" s="2">
        <v>46</v>
      </c>
      <c r="P529" s="2"/>
    </row>
    <row r="530" spans="2:16" ht="21" hidden="1" x14ac:dyDescent="0.55000000000000004">
      <c r="B530" s="2" t="s">
        <v>1478</v>
      </c>
      <c r="C530" s="2" t="s">
        <v>1479</v>
      </c>
      <c r="D530" s="2" t="s">
        <v>14</v>
      </c>
      <c r="E530" s="2" t="s">
        <v>80</v>
      </c>
      <c r="F530" s="6" t="s">
        <v>144</v>
      </c>
      <c r="G530" s="10">
        <f t="shared" si="24"/>
        <v>2024</v>
      </c>
      <c r="H530" s="10">
        <f t="shared" si="25"/>
        <v>1</v>
      </c>
      <c r="I530" s="10">
        <f t="shared" si="26"/>
        <v>7</v>
      </c>
      <c r="J530" s="9" t="s">
        <v>1480</v>
      </c>
      <c r="K530" s="2" t="s">
        <v>33</v>
      </c>
      <c r="L530" s="2">
        <v>479.64</v>
      </c>
      <c r="M530" s="2" t="s">
        <v>49</v>
      </c>
      <c r="N530" s="2" t="s">
        <v>20</v>
      </c>
      <c r="O530" s="2">
        <v>44</v>
      </c>
      <c r="P530" s="2">
        <v>2</v>
      </c>
    </row>
    <row r="531" spans="2:16" ht="21" hidden="1" x14ac:dyDescent="0.55000000000000004">
      <c r="B531" s="2" t="s">
        <v>1481</v>
      </c>
      <c r="C531" s="2" t="s">
        <v>1482</v>
      </c>
      <c r="D531" s="2" t="s">
        <v>60</v>
      </c>
      <c r="E531" s="2" t="s">
        <v>45</v>
      </c>
      <c r="F531" s="6" t="s">
        <v>46</v>
      </c>
      <c r="G531" s="10">
        <f t="shared" si="24"/>
        <v>2024</v>
      </c>
      <c r="H531" s="10">
        <f t="shared" si="25"/>
        <v>1</v>
      </c>
      <c r="I531" s="10">
        <f t="shared" si="26"/>
        <v>17</v>
      </c>
      <c r="J531" s="9" t="s">
        <v>1483</v>
      </c>
      <c r="K531" s="2" t="s">
        <v>64</v>
      </c>
      <c r="L531" s="2">
        <v>246.49</v>
      </c>
      <c r="M531" s="2" t="s">
        <v>65</v>
      </c>
      <c r="N531" s="2" t="s">
        <v>41</v>
      </c>
      <c r="O531" s="2">
        <v>67</v>
      </c>
      <c r="P531" s="2">
        <v>3</v>
      </c>
    </row>
    <row r="532" spans="2:16" ht="21" hidden="1" x14ac:dyDescent="0.55000000000000004">
      <c r="B532" s="2" t="s">
        <v>1484</v>
      </c>
      <c r="C532" s="2" t="s">
        <v>1485</v>
      </c>
      <c r="D532" s="2" t="s">
        <v>23</v>
      </c>
      <c r="E532" s="2" t="s">
        <v>37</v>
      </c>
      <c r="F532" s="6" t="s">
        <v>473</v>
      </c>
      <c r="G532" s="10">
        <f t="shared" si="24"/>
        <v>2024</v>
      </c>
      <c r="H532" s="10">
        <f t="shared" si="25"/>
        <v>1</v>
      </c>
      <c r="I532" s="10">
        <f t="shared" si="26"/>
        <v>30</v>
      </c>
      <c r="J532" s="9" t="s">
        <v>1139</v>
      </c>
      <c r="K532" s="2" t="s">
        <v>40</v>
      </c>
      <c r="L532" s="2">
        <v>286.85000000000002</v>
      </c>
      <c r="M532" s="2" t="s">
        <v>122</v>
      </c>
      <c r="N532" s="2" t="s">
        <v>20</v>
      </c>
      <c r="O532" s="2">
        <v>46</v>
      </c>
      <c r="P532" s="2">
        <v>1</v>
      </c>
    </row>
    <row r="533" spans="2:16" ht="21" hidden="1" x14ac:dyDescent="0.55000000000000004">
      <c r="B533" s="2" t="s">
        <v>1486</v>
      </c>
      <c r="C533" s="2" t="s">
        <v>1487</v>
      </c>
      <c r="D533" s="2" t="s">
        <v>106</v>
      </c>
      <c r="E533" s="2" t="s">
        <v>61</v>
      </c>
      <c r="F533" s="6" t="s">
        <v>343</v>
      </c>
      <c r="G533" s="10">
        <f t="shared" si="24"/>
        <v>2024</v>
      </c>
      <c r="H533" s="10">
        <f t="shared" si="25"/>
        <v>1</v>
      </c>
      <c r="I533" s="10">
        <f t="shared" si="26"/>
        <v>13</v>
      </c>
      <c r="J533" s="9" t="s">
        <v>528</v>
      </c>
      <c r="K533" s="2" t="s">
        <v>91</v>
      </c>
      <c r="L533" s="2">
        <v>237.97</v>
      </c>
      <c r="M533" s="2" t="s">
        <v>19</v>
      </c>
      <c r="N533" s="2" t="s">
        <v>20</v>
      </c>
      <c r="O533" s="2">
        <v>45</v>
      </c>
      <c r="P533" s="2">
        <v>5</v>
      </c>
    </row>
    <row r="534" spans="2:16" ht="21" hidden="1" x14ac:dyDescent="0.55000000000000004">
      <c r="B534" s="2" t="s">
        <v>1488</v>
      </c>
      <c r="C534" s="2" t="s">
        <v>1489</v>
      </c>
      <c r="D534" s="2" t="s">
        <v>29</v>
      </c>
      <c r="E534" s="2" t="s">
        <v>80</v>
      </c>
      <c r="F534" s="6" t="s">
        <v>272</v>
      </c>
      <c r="G534" s="10">
        <f t="shared" si="24"/>
        <v>2024</v>
      </c>
      <c r="H534" s="10">
        <f t="shared" si="25"/>
        <v>1</v>
      </c>
      <c r="I534" s="10">
        <f t="shared" si="26"/>
        <v>1</v>
      </c>
      <c r="J534" s="9" t="s">
        <v>866</v>
      </c>
      <c r="K534" s="2" t="s">
        <v>48</v>
      </c>
      <c r="L534" s="2">
        <v>344.82</v>
      </c>
      <c r="M534" s="2" t="s">
        <v>122</v>
      </c>
      <c r="N534" s="2" t="s">
        <v>20</v>
      </c>
      <c r="O534" s="2">
        <v>79</v>
      </c>
      <c r="P534" s="2">
        <v>3</v>
      </c>
    </row>
    <row r="535" spans="2:16" ht="21" hidden="1" x14ac:dyDescent="0.55000000000000004">
      <c r="B535" s="2" t="s">
        <v>1490</v>
      </c>
      <c r="C535" s="2" t="s">
        <v>1491</v>
      </c>
      <c r="D535" s="2" t="s">
        <v>68</v>
      </c>
      <c r="E535" s="2" t="s">
        <v>15</v>
      </c>
      <c r="F535" s="6" t="s">
        <v>257</v>
      </c>
      <c r="G535" s="10">
        <f t="shared" si="24"/>
        <v>2024</v>
      </c>
      <c r="H535" s="10">
        <f t="shared" si="25"/>
        <v>1</v>
      </c>
      <c r="I535" s="10">
        <f t="shared" si="26"/>
        <v>10</v>
      </c>
      <c r="J535" s="9" t="s">
        <v>315</v>
      </c>
      <c r="K535" s="2" t="s">
        <v>40</v>
      </c>
      <c r="L535" s="2">
        <v>337.35</v>
      </c>
      <c r="M535" s="2" t="s">
        <v>19</v>
      </c>
      <c r="N535" s="2" t="s">
        <v>41</v>
      </c>
      <c r="O535" s="2">
        <v>42</v>
      </c>
      <c r="P535" s="2"/>
    </row>
    <row r="536" spans="2:16" ht="21" hidden="1" x14ac:dyDescent="0.55000000000000004">
      <c r="B536" s="2" t="s">
        <v>1492</v>
      </c>
      <c r="C536" s="2" t="s">
        <v>1493</v>
      </c>
      <c r="D536" s="2" t="s">
        <v>53</v>
      </c>
      <c r="E536" s="2" t="s">
        <v>80</v>
      </c>
      <c r="F536" s="6" t="s">
        <v>154</v>
      </c>
      <c r="G536" s="10">
        <f t="shared" si="24"/>
        <v>2024</v>
      </c>
      <c r="H536" s="10">
        <f t="shared" si="25"/>
        <v>1</v>
      </c>
      <c r="I536" s="10">
        <f t="shared" si="26"/>
        <v>22</v>
      </c>
      <c r="J536" s="9" t="s">
        <v>580</v>
      </c>
      <c r="K536" s="2" t="s">
        <v>91</v>
      </c>
      <c r="L536" s="2">
        <v>396.62</v>
      </c>
      <c r="M536" s="2" t="s">
        <v>49</v>
      </c>
      <c r="N536" s="2" t="s">
        <v>20</v>
      </c>
      <c r="O536" s="2">
        <v>83</v>
      </c>
      <c r="P536" s="2">
        <v>1</v>
      </c>
    </row>
    <row r="537" spans="2:16" ht="21" hidden="1" x14ac:dyDescent="0.55000000000000004">
      <c r="B537" s="2" t="s">
        <v>1494</v>
      </c>
      <c r="C537" s="2" t="s">
        <v>1495</v>
      </c>
      <c r="D537" s="2" t="s">
        <v>73</v>
      </c>
      <c r="E537" s="2" t="s">
        <v>37</v>
      </c>
      <c r="F537" s="6" t="s">
        <v>31</v>
      </c>
      <c r="G537" s="10">
        <f t="shared" si="24"/>
        <v>2024</v>
      </c>
      <c r="H537" s="10">
        <f t="shared" si="25"/>
        <v>1</v>
      </c>
      <c r="I537" s="10">
        <f t="shared" si="26"/>
        <v>14</v>
      </c>
      <c r="J537" s="9" t="s">
        <v>1496</v>
      </c>
      <c r="K537" s="2" t="s">
        <v>18</v>
      </c>
      <c r="L537" s="2">
        <v>377.11</v>
      </c>
      <c r="M537" s="2" t="s">
        <v>122</v>
      </c>
      <c r="N537" s="2" t="s">
        <v>26</v>
      </c>
      <c r="O537" s="2">
        <v>71</v>
      </c>
      <c r="P537" s="2">
        <v>3</v>
      </c>
    </row>
    <row r="538" spans="2:16" ht="21" hidden="1" x14ac:dyDescent="0.55000000000000004">
      <c r="B538" s="2" t="s">
        <v>1497</v>
      </c>
      <c r="C538" s="2" t="s">
        <v>1498</v>
      </c>
      <c r="D538" s="2" t="s">
        <v>117</v>
      </c>
      <c r="E538" s="2" t="s">
        <v>74</v>
      </c>
      <c r="F538" s="6" t="s">
        <v>75</v>
      </c>
      <c r="G538" s="10">
        <f t="shared" si="24"/>
        <v>2024</v>
      </c>
      <c r="H538" s="10">
        <f t="shared" si="25"/>
        <v>1</v>
      </c>
      <c r="I538" s="10">
        <f t="shared" si="26"/>
        <v>25</v>
      </c>
      <c r="J538" s="9" t="s">
        <v>1499</v>
      </c>
      <c r="K538" s="2" t="s">
        <v>18</v>
      </c>
      <c r="L538" s="2">
        <v>454.26</v>
      </c>
      <c r="M538" s="2" t="s">
        <v>19</v>
      </c>
      <c r="N538" s="2" t="s">
        <v>26</v>
      </c>
      <c r="O538" s="2">
        <v>35</v>
      </c>
      <c r="P538" s="2">
        <v>3</v>
      </c>
    </row>
    <row r="539" spans="2:16" ht="21" hidden="1" x14ac:dyDescent="0.55000000000000004">
      <c r="B539" s="2" t="s">
        <v>1500</v>
      </c>
      <c r="C539" s="2" t="s">
        <v>1501</v>
      </c>
      <c r="D539" s="2" t="s">
        <v>14</v>
      </c>
      <c r="E539" s="2" t="s">
        <v>15</v>
      </c>
      <c r="F539" s="6" t="s">
        <v>473</v>
      </c>
      <c r="G539" s="10">
        <f t="shared" si="24"/>
        <v>2024</v>
      </c>
      <c r="H539" s="10">
        <f t="shared" si="25"/>
        <v>1</v>
      </c>
      <c r="I539" s="10">
        <f t="shared" si="26"/>
        <v>30</v>
      </c>
      <c r="J539" s="9" t="s">
        <v>1502</v>
      </c>
      <c r="K539" s="2" t="s">
        <v>57</v>
      </c>
      <c r="L539" s="2">
        <v>232.98</v>
      </c>
      <c r="M539" s="2" t="s">
        <v>19</v>
      </c>
      <c r="N539" s="2" t="s">
        <v>50</v>
      </c>
      <c r="O539" s="2">
        <v>63</v>
      </c>
      <c r="P539" s="2">
        <v>3</v>
      </c>
    </row>
    <row r="540" spans="2:16" ht="21" hidden="1" x14ac:dyDescent="0.55000000000000004">
      <c r="B540" s="2" t="s">
        <v>1503</v>
      </c>
      <c r="C540" s="2" t="s">
        <v>1504</v>
      </c>
      <c r="D540" s="2" t="s">
        <v>53</v>
      </c>
      <c r="E540" s="2" t="s">
        <v>139</v>
      </c>
      <c r="F540" s="6" t="s">
        <v>343</v>
      </c>
      <c r="G540" s="10">
        <f t="shared" si="24"/>
        <v>2024</v>
      </c>
      <c r="H540" s="10">
        <f t="shared" si="25"/>
        <v>1</v>
      </c>
      <c r="I540" s="10">
        <f t="shared" si="26"/>
        <v>13</v>
      </c>
      <c r="J540" s="9" t="s">
        <v>1505</v>
      </c>
      <c r="K540" s="2" t="s">
        <v>33</v>
      </c>
      <c r="L540" s="2">
        <v>396.19</v>
      </c>
      <c r="M540" s="2" t="s">
        <v>122</v>
      </c>
      <c r="N540" s="2" t="s">
        <v>41</v>
      </c>
      <c r="O540" s="2">
        <v>44</v>
      </c>
      <c r="P540" s="2">
        <v>3</v>
      </c>
    </row>
    <row r="541" spans="2:16" ht="21" x14ac:dyDescent="0.55000000000000004">
      <c r="B541" s="2" t="s">
        <v>1506</v>
      </c>
      <c r="C541" s="2" t="s">
        <v>1507</v>
      </c>
      <c r="D541" s="2" t="s">
        <v>106</v>
      </c>
      <c r="E541" s="2" t="s">
        <v>54</v>
      </c>
      <c r="F541" s="6" t="s">
        <v>46</v>
      </c>
      <c r="G541" s="10">
        <f t="shared" si="24"/>
        <v>2024</v>
      </c>
      <c r="H541" s="10">
        <f t="shared" si="25"/>
        <v>1</v>
      </c>
      <c r="I541" s="10">
        <f t="shared" si="26"/>
        <v>17</v>
      </c>
      <c r="J541" s="9" t="s">
        <v>689</v>
      </c>
      <c r="K541" s="2" t="s">
        <v>33</v>
      </c>
      <c r="L541" s="2">
        <v>334.8</v>
      </c>
      <c r="M541" s="2" t="s">
        <v>65</v>
      </c>
      <c r="N541" s="2" t="s">
        <v>50</v>
      </c>
      <c r="O541" s="2">
        <v>23</v>
      </c>
      <c r="P541" s="2"/>
    </row>
    <row r="542" spans="2:16" ht="21" hidden="1" x14ac:dyDescent="0.55000000000000004">
      <c r="B542" s="2" t="s">
        <v>1508</v>
      </c>
      <c r="C542" s="2" t="s">
        <v>1091</v>
      </c>
      <c r="D542" s="2" t="s">
        <v>117</v>
      </c>
      <c r="E542" s="2" t="s">
        <v>139</v>
      </c>
      <c r="F542" s="6" t="s">
        <v>46</v>
      </c>
      <c r="G542" s="10">
        <f t="shared" si="24"/>
        <v>2024</v>
      </c>
      <c r="H542" s="10">
        <f t="shared" si="25"/>
        <v>1</v>
      </c>
      <c r="I542" s="10">
        <f t="shared" si="26"/>
        <v>17</v>
      </c>
      <c r="J542" s="9" t="s">
        <v>168</v>
      </c>
      <c r="K542" s="2" t="s">
        <v>64</v>
      </c>
      <c r="L542" s="2">
        <v>443.62</v>
      </c>
      <c r="M542" s="2" t="s">
        <v>19</v>
      </c>
      <c r="N542" s="2" t="s">
        <v>41</v>
      </c>
      <c r="O542" s="2">
        <v>76</v>
      </c>
      <c r="P542" s="2"/>
    </row>
    <row r="543" spans="2:16" ht="21" hidden="1" x14ac:dyDescent="0.55000000000000004">
      <c r="B543" s="2" t="s">
        <v>1509</v>
      </c>
      <c r="C543" s="2" t="s">
        <v>1510</v>
      </c>
      <c r="D543" s="2" t="s">
        <v>14</v>
      </c>
      <c r="E543" s="2" t="s">
        <v>139</v>
      </c>
      <c r="F543" s="6" t="s">
        <v>140</v>
      </c>
      <c r="G543" s="10">
        <f t="shared" si="24"/>
        <v>2024</v>
      </c>
      <c r="H543" s="10">
        <f t="shared" si="25"/>
        <v>1</v>
      </c>
      <c r="I543" s="10">
        <f t="shared" si="26"/>
        <v>29</v>
      </c>
      <c r="J543" s="9" t="s">
        <v>1511</v>
      </c>
      <c r="K543" s="2" t="s">
        <v>57</v>
      </c>
      <c r="L543" s="2">
        <v>415.35</v>
      </c>
      <c r="M543" s="2" t="s">
        <v>65</v>
      </c>
      <c r="N543" s="2" t="s">
        <v>26</v>
      </c>
      <c r="O543" s="2">
        <v>55</v>
      </c>
      <c r="P543" s="2">
        <v>5</v>
      </c>
    </row>
    <row r="544" spans="2:16" ht="21" hidden="1" x14ac:dyDescent="0.55000000000000004">
      <c r="B544" s="2" t="s">
        <v>1512</v>
      </c>
      <c r="C544" s="2" t="s">
        <v>1513</v>
      </c>
      <c r="D544" s="2" t="s">
        <v>14</v>
      </c>
      <c r="E544" s="2" t="s">
        <v>74</v>
      </c>
      <c r="F544" s="6" t="s">
        <v>238</v>
      </c>
      <c r="G544" s="10">
        <f t="shared" si="24"/>
        <v>2024</v>
      </c>
      <c r="H544" s="10">
        <f t="shared" si="25"/>
        <v>1</v>
      </c>
      <c r="I544" s="10">
        <f t="shared" si="26"/>
        <v>20</v>
      </c>
      <c r="J544" s="9" t="s">
        <v>1514</v>
      </c>
      <c r="K544" s="2" t="s">
        <v>40</v>
      </c>
      <c r="L544" s="2">
        <v>329.73</v>
      </c>
      <c r="M544" s="2" t="s">
        <v>49</v>
      </c>
      <c r="N544" s="2" t="s">
        <v>20</v>
      </c>
      <c r="O544" s="2">
        <v>39</v>
      </c>
      <c r="P544" s="2"/>
    </row>
    <row r="545" spans="2:16" ht="21" hidden="1" x14ac:dyDescent="0.55000000000000004">
      <c r="B545" s="2" t="s">
        <v>1515</v>
      </c>
      <c r="C545" s="2" t="s">
        <v>1516</v>
      </c>
      <c r="D545" s="2" t="s">
        <v>73</v>
      </c>
      <c r="E545" s="2" t="s">
        <v>61</v>
      </c>
      <c r="F545" s="6" t="s">
        <v>154</v>
      </c>
      <c r="G545" s="10">
        <f t="shared" si="24"/>
        <v>2024</v>
      </c>
      <c r="H545" s="10">
        <f t="shared" si="25"/>
        <v>1</v>
      </c>
      <c r="I545" s="10">
        <f t="shared" si="26"/>
        <v>22</v>
      </c>
      <c r="J545" s="9" t="s">
        <v>1517</v>
      </c>
      <c r="K545" s="2" t="s">
        <v>57</v>
      </c>
      <c r="L545" s="2">
        <v>318.45</v>
      </c>
      <c r="M545" s="2" t="s">
        <v>122</v>
      </c>
      <c r="N545" s="2" t="s">
        <v>50</v>
      </c>
      <c r="O545" s="2">
        <v>38</v>
      </c>
      <c r="P545" s="2">
        <v>3</v>
      </c>
    </row>
    <row r="546" spans="2:16" ht="21" hidden="1" x14ac:dyDescent="0.55000000000000004">
      <c r="B546" s="2" t="s">
        <v>1518</v>
      </c>
      <c r="C546" s="2" t="s">
        <v>1519</v>
      </c>
      <c r="D546" s="2" t="s">
        <v>60</v>
      </c>
      <c r="E546" s="2" t="s">
        <v>80</v>
      </c>
      <c r="F546" s="6" t="s">
        <v>257</v>
      </c>
      <c r="G546" s="10">
        <f t="shared" si="24"/>
        <v>2024</v>
      </c>
      <c r="H546" s="10">
        <f t="shared" si="25"/>
        <v>1</v>
      </c>
      <c r="I546" s="10">
        <f t="shared" si="26"/>
        <v>10</v>
      </c>
      <c r="J546" s="9" t="s">
        <v>1395</v>
      </c>
      <c r="K546" s="2" t="s">
        <v>77</v>
      </c>
      <c r="L546" s="2">
        <v>165</v>
      </c>
      <c r="M546" s="2" t="s">
        <v>19</v>
      </c>
      <c r="N546" s="2" t="s">
        <v>50</v>
      </c>
      <c r="O546" s="2">
        <v>70</v>
      </c>
      <c r="P546" s="2">
        <v>4</v>
      </c>
    </row>
    <row r="547" spans="2:16" ht="21" hidden="1" x14ac:dyDescent="0.55000000000000004">
      <c r="B547" s="2" t="s">
        <v>1520</v>
      </c>
      <c r="C547" s="2" t="s">
        <v>1521</v>
      </c>
      <c r="D547" s="2" t="s">
        <v>14</v>
      </c>
      <c r="E547" s="2" t="s">
        <v>61</v>
      </c>
      <c r="F547" s="6" t="s">
        <v>69</v>
      </c>
      <c r="G547" s="10">
        <f t="shared" si="24"/>
        <v>2024</v>
      </c>
      <c r="H547" s="10">
        <f t="shared" si="25"/>
        <v>1</v>
      </c>
      <c r="I547" s="10">
        <f t="shared" si="26"/>
        <v>27</v>
      </c>
      <c r="J547" s="9" t="s">
        <v>334</v>
      </c>
      <c r="K547" s="2" t="s">
        <v>57</v>
      </c>
      <c r="L547" s="2">
        <v>77.98</v>
      </c>
      <c r="M547" s="2" t="s">
        <v>19</v>
      </c>
      <c r="N547" s="2" t="s">
        <v>41</v>
      </c>
      <c r="O547" s="2">
        <v>86</v>
      </c>
      <c r="P547" s="2">
        <v>1</v>
      </c>
    </row>
    <row r="548" spans="2:16" ht="21" hidden="1" x14ac:dyDescent="0.55000000000000004">
      <c r="B548" s="2" t="s">
        <v>1522</v>
      </c>
      <c r="C548" s="2" t="s">
        <v>1523</v>
      </c>
      <c r="D548" s="2" t="s">
        <v>60</v>
      </c>
      <c r="E548" s="2" t="s">
        <v>37</v>
      </c>
      <c r="F548" s="6" t="s">
        <v>102</v>
      </c>
      <c r="G548" s="10">
        <f t="shared" si="24"/>
        <v>2024</v>
      </c>
      <c r="H548" s="10">
        <f t="shared" si="25"/>
        <v>1</v>
      </c>
      <c r="I548" s="10">
        <f t="shared" si="26"/>
        <v>26</v>
      </c>
      <c r="J548" s="9" t="s">
        <v>953</v>
      </c>
      <c r="K548" s="2" t="s">
        <v>91</v>
      </c>
      <c r="L548" s="2">
        <v>169.29</v>
      </c>
      <c r="M548" s="2" t="s">
        <v>49</v>
      </c>
      <c r="N548" s="2" t="s">
        <v>41</v>
      </c>
      <c r="O548" s="2">
        <v>90</v>
      </c>
      <c r="P548" s="2">
        <v>1</v>
      </c>
    </row>
    <row r="549" spans="2:16" ht="21" hidden="1" x14ac:dyDescent="0.55000000000000004">
      <c r="B549" s="2" t="s">
        <v>1524</v>
      </c>
      <c r="C549" s="2" t="s">
        <v>1525</v>
      </c>
      <c r="D549" s="2" t="s">
        <v>68</v>
      </c>
      <c r="E549" s="2" t="s">
        <v>125</v>
      </c>
      <c r="F549" s="6" t="s">
        <v>140</v>
      </c>
      <c r="G549" s="10">
        <f t="shared" si="24"/>
        <v>2024</v>
      </c>
      <c r="H549" s="10">
        <f t="shared" si="25"/>
        <v>1</v>
      </c>
      <c r="I549" s="10">
        <f t="shared" si="26"/>
        <v>29</v>
      </c>
      <c r="J549" s="9" t="s">
        <v>1526</v>
      </c>
      <c r="K549" s="2" t="s">
        <v>33</v>
      </c>
      <c r="L549" s="2">
        <v>275.39999999999998</v>
      </c>
      <c r="M549" s="2" t="s">
        <v>65</v>
      </c>
      <c r="N549" s="2" t="s">
        <v>50</v>
      </c>
      <c r="O549" s="2">
        <v>47</v>
      </c>
      <c r="P549" s="2">
        <v>4</v>
      </c>
    </row>
    <row r="550" spans="2:16" ht="21" hidden="1" x14ac:dyDescent="0.55000000000000004">
      <c r="B550" s="2" t="s">
        <v>1527</v>
      </c>
      <c r="C550" s="2" t="s">
        <v>1528</v>
      </c>
      <c r="D550" s="2" t="s">
        <v>68</v>
      </c>
      <c r="E550" s="2" t="s">
        <v>37</v>
      </c>
      <c r="F550" s="6" t="s">
        <v>154</v>
      </c>
      <c r="G550" s="10">
        <f t="shared" si="24"/>
        <v>2024</v>
      </c>
      <c r="H550" s="10">
        <f t="shared" si="25"/>
        <v>1</v>
      </c>
      <c r="I550" s="10">
        <f t="shared" si="26"/>
        <v>22</v>
      </c>
      <c r="J550" s="9" t="s">
        <v>264</v>
      </c>
      <c r="K550" s="2" t="s">
        <v>91</v>
      </c>
      <c r="L550" s="2">
        <v>243.69</v>
      </c>
      <c r="M550" s="2" t="s">
        <v>122</v>
      </c>
      <c r="N550" s="2" t="s">
        <v>50</v>
      </c>
      <c r="O550" s="2">
        <v>16</v>
      </c>
      <c r="P550" s="2">
        <v>3</v>
      </c>
    </row>
    <row r="551" spans="2:16" ht="21" hidden="1" x14ac:dyDescent="0.55000000000000004">
      <c r="B551" s="2" t="s">
        <v>1529</v>
      </c>
      <c r="C551" s="2" t="s">
        <v>1530</v>
      </c>
      <c r="D551" s="2" t="s">
        <v>14</v>
      </c>
      <c r="E551" s="2" t="s">
        <v>89</v>
      </c>
      <c r="F551" s="6" t="s">
        <v>97</v>
      </c>
      <c r="G551" s="10">
        <f t="shared" si="24"/>
        <v>2024</v>
      </c>
      <c r="H551" s="10">
        <f t="shared" si="25"/>
        <v>1</v>
      </c>
      <c r="I551" s="10">
        <f t="shared" si="26"/>
        <v>23</v>
      </c>
      <c r="J551" s="9" t="s">
        <v>1531</v>
      </c>
      <c r="K551" s="2" t="s">
        <v>40</v>
      </c>
      <c r="L551" s="2">
        <v>383.29</v>
      </c>
      <c r="M551" s="2" t="s">
        <v>65</v>
      </c>
      <c r="N551" s="2" t="s">
        <v>20</v>
      </c>
      <c r="O551" s="2">
        <v>69</v>
      </c>
      <c r="P551" s="2">
        <v>5</v>
      </c>
    </row>
    <row r="552" spans="2:16" ht="21" hidden="1" x14ac:dyDescent="0.55000000000000004">
      <c r="B552" s="2" t="s">
        <v>1532</v>
      </c>
      <c r="C552" s="2" t="s">
        <v>1533</v>
      </c>
      <c r="D552" s="2" t="s">
        <v>117</v>
      </c>
      <c r="E552" s="2" t="s">
        <v>61</v>
      </c>
      <c r="F552" s="6" t="s">
        <v>144</v>
      </c>
      <c r="G552" s="10">
        <f t="shared" si="24"/>
        <v>2024</v>
      </c>
      <c r="H552" s="10">
        <f t="shared" si="25"/>
        <v>1</v>
      </c>
      <c r="I552" s="10">
        <f t="shared" si="26"/>
        <v>7</v>
      </c>
      <c r="J552" s="9" t="s">
        <v>561</v>
      </c>
      <c r="K552" s="2" t="s">
        <v>18</v>
      </c>
      <c r="L552" s="2">
        <v>300.95999999999998</v>
      </c>
      <c r="M552" s="2" t="s">
        <v>19</v>
      </c>
      <c r="N552" s="2" t="s">
        <v>41</v>
      </c>
      <c r="O552" s="2">
        <v>75</v>
      </c>
      <c r="P552" s="2">
        <v>2</v>
      </c>
    </row>
    <row r="553" spans="2:16" ht="21" x14ac:dyDescent="0.55000000000000004">
      <c r="B553" s="2" t="s">
        <v>1534</v>
      </c>
      <c r="C553" s="2" t="s">
        <v>1535</v>
      </c>
      <c r="D553" s="2" t="s">
        <v>106</v>
      </c>
      <c r="E553" s="2" t="s">
        <v>54</v>
      </c>
      <c r="F553" s="6" t="s">
        <v>238</v>
      </c>
      <c r="G553" s="10">
        <f t="shared" si="24"/>
        <v>2024</v>
      </c>
      <c r="H553" s="10">
        <f t="shared" si="25"/>
        <v>1</v>
      </c>
      <c r="I553" s="10">
        <f t="shared" si="26"/>
        <v>20</v>
      </c>
      <c r="J553" s="9" t="s">
        <v>1335</v>
      </c>
      <c r="K553" s="2" t="s">
        <v>18</v>
      </c>
      <c r="L553" s="2">
        <v>382.17</v>
      </c>
      <c r="M553" s="2" t="s">
        <v>19</v>
      </c>
      <c r="N553" s="2" t="s">
        <v>26</v>
      </c>
      <c r="O553" s="2">
        <v>50</v>
      </c>
      <c r="P553" s="2">
        <v>1</v>
      </c>
    </row>
    <row r="554" spans="2:16" ht="21" hidden="1" x14ac:dyDescent="0.55000000000000004">
      <c r="B554" s="2" t="s">
        <v>1536</v>
      </c>
      <c r="C554" s="2" t="s">
        <v>1537</v>
      </c>
      <c r="D554" s="2" t="s">
        <v>117</v>
      </c>
      <c r="E554" s="2" t="s">
        <v>45</v>
      </c>
      <c r="F554" s="6" t="s">
        <v>302</v>
      </c>
      <c r="G554" s="10">
        <f t="shared" si="24"/>
        <v>2024</v>
      </c>
      <c r="H554" s="10">
        <f t="shared" si="25"/>
        <v>1</v>
      </c>
      <c r="I554" s="10">
        <f t="shared" si="26"/>
        <v>2</v>
      </c>
      <c r="J554" s="9" t="s">
        <v>457</v>
      </c>
      <c r="K554" s="2" t="s">
        <v>48</v>
      </c>
      <c r="L554" s="2">
        <v>155.96</v>
      </c>
      <c r="M554" s="2" t="s">
        <v>65</v>
      </c>
      <c r="N554" s="2" t="s">
        <v>20</v>
      </c>
      <c r="O554" s="2">
        <v>52</v>
      </c>
      <c r="P554" s="2">
        <v>1</v>
      </c>
    </row>
    <row r="555" spans="2:16" ht="21" x14ac:dyDescent="0.55000000000000004">
      <c r="B555" s="2" t="s">
        <v>1538</v>
      </c>
      <c r="C555" s="2" t="s">
        <v>1539</v>
      </c>
      <c r="D555" s="2" t="s">
        <v>60</v>
      </c>
      <c r="E555" s="2" t="s">
        <v>54</v>
      </c>
      <c r="F555" s="6" t="s">
        <v>118</v>
      </c>
      <c r="G555" s="10">
        <f t="shared" si="24"/>
        <v>2024</v>
      </c>
      <c r="H555" s="10">
        <f t="shared" si="25"/>
        <v>1</v>
      </c>
      <c r="I555" s="10">
        <f t="shared" si="26"/>
        <v>24</v>
      </c>
      <c r="J555" s="9" t="s">
        <v>1540</v>
      </c>
      <c r="K555" s="2" t="s">
        <v>18</v>
      </c>
      <c r="L555" s="2">
        <v>70.45</v>
      </c>
      <c r="M555" s="2" t="s">
        <v>65</v>
      </c>
      <c r="N555" s="2" t="s">
        <v>26</v>
      </c>
      <c r="O555" s="2">
        <v>58</v>
      </c>
      <c r="P555" s="2">
        <v>1</v>
      </c>
    </row>
    <row r="556" spans="2:16" ht="21" hidden="1" x14ac:dyDescent="0.55000000000000004">
      <c r="B556" s="2" t="s">
        <v>1541</v>
      </c>
      <c r="C556" s="2" t="s">
        <v>1542</v>
      </c>
      <c r="D556" s="2" t="s">
        <v>53</v>
      </c>
      <c r="E556" s="2" t="s">
        <v>45</v>
      </c>
      <c r="F556" s="6" t="s">
        <v>102</v>
      </c>
      <c r="G556" s="10">
        <f t="shared" si="24"/>
        <v>2024</v>
      </c>
      <c r="H556" s="10">
        <f t="shared" si="25"/>
        <v>1</v>
      </c>
      <c r="I556" s="10">
        <f t="shared" si="26"/>
        <v>26</v>
      </c>
      <c r="J556" s="9" t="s">
        <v>1543</v>
      </c>
      <c r="K556" s="2" t="s">
        <v>48</v>
      </c>
      <c r="L556" s="2">
        <v>207.03</v>
      </c>
      <c r="M556" s="2" t="s">
        <v>49</v>
      </c>
      <c r="N556" s="2" t="s">
        <v>50</v>
      </c>
      <c r="O556" s="2">
        <v>44</v>
      </c>
      <c r="P556" s="2">
        <v>1</v>
      </c>
    </row>
    <row r="557" spans="2:16" ht="21" hidden="1" x14ac:dyDescent="0.55000000000000004">
      <c r="B557" s="2" t="s">
        <v>1544</v>
      </c>
      <c r="C557" s="2" t="s">
        <v>1545</v>
      </c>
      <c r="D557" s="2" t="s">
        <v>23</v>
      </c>
      <c r="E557" s="2" t="s">
        <v>125</v>
      </c>
      <c r="F557" s="6" t="s">
        <v>46</v>
      </c>
      <c r="G557" s="10">
        <f t="shared" si="24"/>
        <v>2024</v>
      </c>
      <c r="H557" s="10">
        <f t="shared" si="25"/>
        <v>1</v>
      </c>
      <c r="I557" s="10">
        <f t="shared" si="26"/>
        <v>17</v>
      </c>
      <c r="J557" s="9" t="s">
        <v>418</v>
      </c>
      <c r="K557" s="2" t="s">
        <v>33</v>
      </c>
      <c r="L557" s="2">
        <v>194.98</v>
      </c>
      <c r="M557" s="2" t="s">
        <v>19</v>
      </c>
      <c r="N557" s="2" t="s">
        <v>26</v>
      </c>
      <c r="O557" s="2">
        <v>90</v>
      </c>
      <c r="P557" s="2">
        <v>4</v>
      </c>
    </row>
    <row r="558" spans="2:16" ht="21" hidden="1" x14ac:dyDescent="0.55000000000000004">
      <c r="B558" s="2" t="s">
        <v>1546</v>
      </c>
      <c r="C558" s="2" t="s">
        <v>1547</v>
      </c>
      <c r="D558" s="2" t="s">
        <v>23</v>
      </c>
      <c r="E558" s="2" t="s">
        <v>45</v>
      </c>
      <c r="F558" s="6" t="s">
        <v>343</v>
      </c>
      <c r="G558" s="10">
        <f t="shared" si="24"/>
        <v>2024</v>
      </c>
      <c r="H558" s="10">
        <f t="shared" si="25"/>
        <v>1</v>
      </c>
      <c r="I558" s="10">
        <f t="shared" si="26"/>
        <v>13</v>
      </c>
      <c r="J558" s="9" t="s">
        <v>1548</v>
      </c>
      <c r="K558" s="2" t="s">
        <v>18</v>
      </c>
      <c r="L558" s="2">
        <v>250.21</v>
      </c>
      <c r="M558" s="2" t="s">
        <v>49</v>
      </c>
      <c r="N558" s="2" t="s">
        <v>41</v>
      </c>
      <c r="O558" s="2">
        <v>22</v>
      </c>
      <c r="P558" s="2">
        <v>4</v>
      </c>
    </row>
    <row r="559" spans="2:16" ht="21" hidden="1" x14ac:dyDescent="0.55000000000000004">
      <c r="B559" s="2" t="s">
        <v>1549</v>
      </c>
      <c r="C559" s="2" t="s">
        <v>1550</v>
      </c>
      <c r="D559" s="2" t="s">
        <v>14</v>
      </c>
      <c r="E559" s="2" t="s">
        <v>37</v>
      </c>
      <c r="F559" s="6" t="s">
        <v>85</v>
      </c>
      <c r="G559" s="10">
        <f t="shared" si="24"/>
        <v>2024</v>
      </c>
      <c r="H559" s="10">
        <f t="shared" si="25"/>
        <v>1</v>
      </c>
      <c r="I559" s="10">
        <f t="shared" si="26"/>
        <v>16</v>
      </c>
      <c r="J559" s="9" t="s">
        <v>165</v>
      </c>
      <c r="K559" s="2" t="s">
        <v>40</v>
      </c>
      <c r="L559" s="2">
        <v>434.61</v>
      </c>
      <c r="M559" s="2" t="s">
        <v>122</v>
      </c>
      <c r="N559" s="2" t="s">
        <v>26</v>
      </c>
      <c r="O559" s="2">
        <v>24</v>
      </c>
      <c r="P559" s="2">
        <v>1</v>
      </c>
    </row>
    <row r="560" spans="2:16" ht="21" hidden="1" x14ac:dyDescent="0.55000000000000004">
      <c r="B560" s="2" t="s">
        <v>1551</v>
      </c>
      <c r="C560" s="2" t="s">
        <v>1552</v>
      </c>
      <c r="D560" s="2" t="s">
        <v>117</v>
      </c>
      <c r="E560" s="2" t="s">
        <v>80</v>
      </c>
      <c r="F560" s="6" t="s">
        <v>473</v>
      </c>
      <c r="G560" s="10">
        <f t="shared" si="24"/>
        <v>2024</v>
      </c>
      <c r="H560" s="10">
        <f t="shared" si="25"/>
        <v>1</v>
      </c>
      <c r="I560" s="10">
        <f t="shared" si="26"/>
        <v>30</v>
      </c>
      <c r="J560" s="9" t="s">
        <v>1553</v>
      </c>
      <c r="K560" s="2" t="s">
        <v>33</v>
      </c>
      <c r="L560" s="2">
        <v>188.35</v>
      </c>
      <c r="M560" s="2" t="s">
        <v>65</v>
      </c>
      <c r="N560" s="2" t="s">
        <v>26</v>
      </c>
      <c r="O560" s="2">
        <v>52</v>
      </c>
      <c r="P560" s="2">
        <v>1</v>
      </c>
    </row>
    <row r="561" spans="2:16" ht="21" hidden="1" x14ac:dyDescent="0.55000000000000004">
      <c r="B561" s="2" t="s">
        <v>1554</v>
      </c>
      <c r="C561" s="2" t="s">
        <v>1555</v>
      </c>
      <c r="D561" s="2" t="s">
        <v>29</v>
      </c>
      <c r="E561" s="2" t="s">
        <v>74</v>
      </c>
      <c r="F561" s="6" t="s">
        <v>198</v>
      </c>
      <c r="G561" s="10">
        <f t="shared" si="24"/>
        <v>2024</v>
      </c>
      <c r="H561" s="10">
        <f t="shared" si="25"/>
        <v>1</v>
      </c>
      <c r="I561" s="10">
        <f t="shared" si="26"/>
        <v>4</v>
      </c>
      <c r="J561" s="9" t="s">
        <v>437</v>
      </c>
      <c r="K561" s="2" t="s">
        <v>48</v>
      </c>
      <c r="L561" s="2">
        <v>68.239999999999995</v>
      </c>
      <c r="M561" s="2" t="s">
        <v>122</v>
      </c>
      <c r="N561" s="2" t="s">
        <v>41</v>
      </c>
      <c r="O561" s="2">
        <v>23</v>
      </c>
      <c r="P561" s="2">
        <v>5</v>
      </c>
    </row>
    <row r="562" spans="2:16" ht="21" hidden="1" x14ac:dyDescent="0.55000000000000004">
      <c r="B562" s="2" t="s">
        <v>1556</v>
      </c>
      <c r="C562" s="2" t="s">
        <v>1557</v>
      </c>
      <c r="D562" s="2" t="s">
        <v>73</v>
      </c>
      <c r="E562" s="2" t="s">
        <v>45</v>
      </c>
      <c r="F562" s="6" t="s">
        <v>140</v>
      </c>
      <c r="G562" s="10">
        <f t="shared" si="24"/>
        <v>2024</v>
      </c>
      <c r="H562" s="10">
        <f t="shared" si="25"/>
        <v>1</v>
      </c>
      <c r="I562" s="10">
        <f t="shared" si="26"/>
        <v>29</v>
      </c>
      <c r="J562" s="9" t="s">
        <v>208</v>
      </c>
      <c r="K562" s="2" t="s">
        <v>57</v>
      </c>
      <c r="L562" s="2">
        <v>353.24</v>
      </c>
      <c r="M562" s="2" t="s">
        <v>19</v>
      </c>
      <c r="N562" s="2" t="s">
        <v>20</v>
      </c>
      <c r="O562" s="2">
        <v>45</v>
      </c>
      <c r="P562" s="2">
        <v>4</v>
      </c>
    </row>
    <row r="563" spans="2:16" ht="21" hidden="1" x14ac:dyDescent="0.55000000000000004">
      <c r="B563" s="2" t="s">
        <v>1558</v>
      </c>
      <c r="C563" s="2" t="s">
        <v>1559</v>
      </c>
      <c r="D563" s="2" t="s">
        <v>106</v>
      </c>
      <c r="E563" s="2" t="s">
        <v>74</v>
      </c>
      <c r="F563" s="6" t="s">
        <v>349</v>
      </c>
      <c r="G563" s="10">
        <f t="shared" si="24"/>
        <v>2024</v>
      </c>
      <c r="H563" s="10">
        <f t="shared" si="25"/>
        <v>1</v>
      </c>
      <c r="I563" s="10">
        <f t="shared" si="26"/>
        <v>12</v>
      </c>
      <c r="J563" s="9" t="s">
        <v>665</v>
      </c>
      <c r="K563" s="2" t="s">
        <v>48</v>
      </c>
      <c r="L563" s="2">
        <v>351.4</v>
      </c>
      <c r="M563" s="2" t="s">
        <v>65</v>
      </c>
      <c r="N563" s="2" t="s">
        <v>26</v>
      </c>
      <c r="O563" s="2">
        <v>64</v>
      </c>
      <c r="P563" s="2">
        <v>4</v>
      </c>
    </row>
    <row r="564" spans="2:16" ht="21" hidden="1" x14ac:dyDescent="0.55000000000000004">
      <c r="B564" s="2" t="s">
        <v>1560</v>
      </c>
      <c r="C564" s="2" t="s">
        <v>1561</v>
      </c>
      <c r="D564" s="2" t="s">
        <v>44</v>
      </c>
      <c r="E564" s="2" t="s">
        <v>125</v>
      </c>
      <c r="F564" s="6" t="s">
        <v>140</v>
      </c>
      <c r="G564" s="10">
        <f t="shared" si="24"/>
        <v>2024</v>
      </c>
      <c r="H564" s="10">
        <f t="shared" si="25"/>
        <v>1</v>
      </c>
      <c r="I564" s="10">
        <f t="shared" si="26"/>
        <v>29</v>
      </c>
      <c r="J564" s="9" t="s">
        <v>1562</v>
      </c>
      <c r="K564" s="2" t="s">
        <v>57</v>
      </c>
      <c r="L564" s="2">
        <v>383.74</v>
      </c>
      <c r="M564" s="2" t="s">
        <v>19</v>
      </c>
      <c r="N564" s="2" t="s">
        <v>50</v>
      </c>
      <c r="O564" s="2">
        <v>52</v>
      </c>
      <c r="P564" s="2">
        <v>4</v>
      </c>
    </row>
    <row r="565" spans="2:16" ht="21" hidden="1" x14ac:dyDescent="0.55000000000000004">
      <c r="B565" s="2" t="s">
        <v>1563</v>
      </c>
      <c r="C565" s="2" t="s">
        <v>1564</v>
      </c>
      <c r="D565" s="2" t="s">
        <v>60</v>
      </c>
      <c r="E565" s="2" t="s">
        <v>139</v>
      </c>
      <c r="F565" s="6" t="s">
        <v>31</v>
      </c>
      <c r="G565" s="10">
        <f t="shared" si="24"/>
        <v>2024</v>
      </c>
      <c r="H565" s="10">
        <f t="shared" si="25"/>
        <v>1</v>
      </c>
      <c r="I565" s="10">
        <f t="shared" si="26"/>
        <v>14</v>
      </c>
      <c r="J565" s="9" t="s">
        <v>882</v>
      </c>
      <c r="K565" s="2" t="s">
        <v>48</v>
      </c>
      <c r="L565" s="2">
        <v>184.89</v>
      </c>
      <c r="M565" s="2" t="s">
        <v>65</v>
      </c>
      <c r="N565" s="2" t="s">
        <v>20</v>
      </c>
      <c r="O565" s="2">
        <v>71</v>
      </c>
      <c r="P565" s="2">
        <v>1</v>
      </c>
    </row>
    <row r="566" spans="2:16" ht="21" hidden="1" x14ac:dyDescent="0.55000000000000004">
      <c r="B566" s="2" t="s">
        <v>1565</v>
      </c>
      <c r="C566" s="2" t="s">
        <v>1566</v>
      </c>
      <c r="D566" s="2" t="s">
        <v>44</v>
      </c>
      <c r="E566" s="2" t="s">
        <v>89</v>
      </c>
      <c r="F566" s="6" t="s">
        <v>75</v>
      </c>
      <c r="G566" s="10">
        <f t="shared" si="24"/>
        <v>2024</v>
      </c>
      <c r="H566" s="10">
        <f t="shared" si="25"/>
        <v>1</v>
      </c>
      <c r="I566" s="10">
        <f t="shared" si="26"/>
        <v>25</v>
      </c>
      <c r="J566" s="9" t="s">
        <v>1567</v>
      </c>
      <c r="K566" s="2" t="s">
        <v>33</v>
      </c>
      <c r="L566" s="2">
        <v>131.05000000000001</v>
      </c>
      <c r="M566" s="2" t="s">
        <v>19</v>
      </c>
      <c r="N566" s="2" t="s">
        <v>20</v>
      </c>
      <c r="O566" s="2">
        <v>56</v>
      </c>
      <c r="P566" s="2">
        <v>3</v>
      </c>
    </row>
    <row r="567" spans="2:16" ht="21" hidden="1" x14ac:dyDescent="0.55000000000000004">
      <c r="B567" s="2" t="s">
        <v>1568</v>
      </c>
      <c r="C567" s="2" t="s">
        <v>1569</v>
      </c>
      <c r="D567" s="2" t="s">
        <v>73</v>
      </c>
      <c r="E567" s="2" t="s">
        <v>89</v>
      </c>
      <c r="F567" s="6" t="s">
        <v>113</v>
      </c>
      <c r="G567" s="10">
        <f t="shared" si="24"/>
        <v>2024</v>
      </c>
      <c r="H567" s="10">
        <f t="shared" si="25"/>
        <v>1</v>
      </c>
      <c r="I567" s="10">
        <f t="shared" si="26"/>
        <v>15</v>
      </c>
      <c r="J567" s="9" t="s">
        <v>1570</v>
      </c>
      <c r="K567" s="2" t="s">
        <v>40</v>
      </c>
      <c r="L567" s="2">
        <v>56.73</v>
      </c>
      <c r="M567" s="2" t="s">
        <v>65</v>
      </c>
      <c r="N567" s="2" t="s">
        <v>20</v>
      </c>
      <c r="O567" s="2">
        <v>69</v>
      </c>
      <c r="P567" s="2">
        <v>2</v>
      </c>
    </row>
    <row r="568" spans="2:16" ht="21" hidden="1" x14ac:dyDescent="0.55000000000000004">
      <c r="B568" s="2" t="s">
        <v>1571</v>
      </c>
      <c r="C568" s="2" t="s">
        <v>1572</v>
      </c>
      <c r="D568" s="2" t="s">
        <v>68</v>
      </c>
      <c r="E568" s="2" t="s">
        <v>15</v>
      </c>
      <c r="F568" s="6" t="s">
        <v>113</v>
      </c>
      <c r="G568" s="10">
        <f t="shared" si="24"/>
        <v>2024</v>
      </c>
      <c r="H568" s="10">
        <f t="shared" si="25"/>
        <v>1</v>
      </c>
      <c r="I568" s="10">
        <f t="shared" si="26"/>
        <v>15</v>
      </c>
      <c r="J568" s="9" t="s">
        <v>849</v>
      </c>
      <c r="K568" s="2" t="s">
        <v>64</v>
      </c>
      <c r="L568" s="2">
        <v>495.43</v>
      </c>
      <c r="M568" s="2" t="s">
        <v>65</v>
      </c>
      <c r="N568" s="2" t="s">
        <v>26</v>
      </c>
      <c r="O568" s="2">
        <v>89</v>
      </c>
      <c r="P568" s="2"/>
    </row>
    <row r="569" spans="2:16" ht="21" hidden="1" x14ac:dyDescent="0.55000000000000004">
      <c r="B569" s="2" t="s">
        <v>1573</v>
      </c>
      <c r="C569" s="2" t="s">
        <v>1574</v>
      </c>
      <c r="D569" s="2" t="s">
        <v>23</v>
      </c>
      <c r="E569" s="2" t="s">
        <v>15</v>
      </c>
      <c r="F569" s="6" t="s">
        <v>129</v>
      </c>
      <c r="G569" s="10">
        <f t="shared" si="24"/>
        <v>2024</v>
      </c>
      <c r="H569" s="10">
        <f t="shared" si="25"/>
        <v>1</v>
      </c>
      <c r="I569" s="10">
        <f t="shared" si="26"/>
        <v>19</v>
      </c>
      <c r="J569" s="9" t="s">
        <v>502</v>
      </c>
      <c r="K569" s="2" t="s">
        <v>40</v>
      </c>
      <c r="L569" s="2">
        <v>242.52</v>
      </c>
      <c r="M569" s="2" t="s">
        <v>49</v>
      </c>
      <c r="N569" s="2" t="s">
        <v>26</v>
      </c>
      <c r="O569" s="2">
        <v>50</v>
      </c>
      <c r="P569" s="2">
        <v>3</v>
      </c>
    </row>
    <row r="570" spans="2:16" ht="21" hidden="1" x14ac:dyDescent="0.55000000000000004">
      <c r="B570" s="2" t="s">
        <v>1575</v>
      </c>
      <c r="C570" s="2" t="s">
        <v>1576</v>
      </c>
      <c r="D570" s="2" t="s">
        <v>29</v>
      </c>
      <c r="E570" s="2" t="s">
        <v>89</v>
      </c>
      <c r="F570" s="6" t="s">
        <v>180</v>
      </c>
      <c r="G570" s="10">
        <f t="shared" si="24"/>
        <v>2024</v>
      </c>
      <c r="H570" s="10">
        <f t="shared" si="25"/>
        <v>1</v>
      </c>
      <c r="I570" s="10">
        <f t="shared" si="26"/>
        <v>28</v>
      </c>
      <c r="J570" s="9" t="s">
        <v>1174</v>
      </c>
      <c r="K570" s="2" t="s">
        <v>64</v>
      </c>
      <c r="L570" s="2">
        <v>284.67</v>
      </c>
      <c r="M570" s="2" t="s">
        <v>49</v>
      </c>
      <c r="N570" s="2" t="s">
        <v>20</v>
      </c>
      <c r="O570" s="2">
        <v>23</v>
      </c>
      <c r="P570" s="2">
        <v>1</v>
      </c>
    </row>
    <row r="571" spans="2:16" ht="21" hidden="1" x14ac:dyDescent="0.55000000000000004">
      <c r="B571" s="2" t="s">
        <v>1577</v>
      </c>
      <c r="C571" s="2" t="s">
        <v>1578</v>
      </c>
      <c r="D571" s="2" t="s">
        <v>117</v>
      </c>
      <c r="E571" s="2" t="s">
        <v>45</v>
      </c>
      <c r="F571" s="6" t="s">
        <v>238</v>
      </c>
      <c r="G571" s="10">
        <f t="shared" si="24"/>
        <v>2024</v>
      </c>
      <c r="H571" s="10">
        <f t="shared" si="25"/>
        <v>1</v>
      </c>
      <c r="I571" s="10">
        <f t="shared" si="26"/>
        <v>20</v>
      </c>
      <c r="J571" s="9" t="s">
        <v>1579</v>
      </c>
      <c r="K571" s="2" t="s">
        <v>57</v>
      </c>
      <c r="L571" s="2">
        <v>109.98</v>
      </c>
      <c r="M571" s="2" t="s">
        <v>122</v>
      </c>
      <c r="N571" s="2" t="s">
        <v>26</v>
      </c>
      <c r="O571" s="2">
        <v>39</v>
      </c>
      <c r="P571" s="2">
        <v>5</v>
      </c>
    </row>
    <row r="572" spans="2:16" ht="21" hidden="1" x14ac:dyDescent="0.55000000000000004">
      <c r="B572" s="2" t="s">
        <v>1580</v>
      </c>
      <c r="C572" s="2" t="s">
        <v>1581</v>
      </c>
      <c r="D572" s="2" t="s">
        <v>44</v>
      </c>
      <c r="E572" s="2" t="s">
        <v>37</v>
      </c>
      <c r="F572" s="6" t="s">
        <v>180</v>
      </c>
      <c r="G572" s="10">
        <f t="shared" si="24"/>
        <v>2024</v>
      </c>
      <c r="H572" s="10">
        <f t="shared" si="25"/>
        <v>1</v>
      </c>
      <c r="I572" s="10">
        <f t="shared" si="26"/>
        <v>28</v>
      </c>
      <c r="J572" s="9" t="s">
        <v>1582</v>
      </c>
      <c r="K572" s="2" t="s">
        <v>91</v>
      </c>
      <c r="L572" s="2">
        <v>256.58</v>
      </c>
      <c r="M572" s="2" t="s">
        <v>19</v>
      </c>
      <c r="N572" s="2" t="s">
        <v>26</v>
      </c>
      <c r="O572" s="2">
        <v>46</v>
      </c>
      <c r="P572" s="2"/>
    </row>
    <row r="573" spans="2:16" ht="21" x14ac:dyDescent="0.55000000000000004">
      <c r="B573" s="2" t="s">
        <v>1583</v>
      </c>
      <c r="C573" s="2" t="s">
        <v>1584</v>
      </c>
      <c r="D573" s="2" t="s">
        <v>14</v>
      </c>
      <c r="E573" s="2" t="s">
        <v>54</v>
      </c>
      <c r="F573" s="6" t="s">
        <v>154</v>
      </c>
      <c r="G573" s="10">
        <f t="shared" si="24"/>
        <v>2024</v>
      </c>
      <c r="H573" s="10">
        <f t="shared" si="25"/>
        <v>1</v>
      </c>
      <c r="I573" s="10">
        <f t="shared" si="26"/>
        <v>22</v>
      </c>
      <c r="J573" s="9" t="s">
        <v>318</v>
      </c>
      <c r="K573" s="2" t="s">
        <v>33</v>
      </c>
      <c r="L573" s="2">
        <v>427.94</v>
      </c>
      <c r="M573" s="2" t="s">
        <v>122</v>
      </c>
      <c r="N573" s="2" t="s">
        <v>50</v>
      </c>
      <c r="O573" s="2">
        <v>20</v>
      </c>
      <c r="P573" s="2"/>
    </row>
    <row r="574" spans="2:16" ht="21" hidden="1" x14ac:dyDescent="0.55000000000000004">
      <c r="B574" s="2" t="s">
        <v>1585</v>
      </c>
      <c r="C574" s="2" t="s">
        <v>1586</v>
      </c>
      <c r="D574" s="2" t="s">
        <v>68</v>
      </c>
      <c r="E574" s="2" t="s">
        <v>61</v>
      </c>
      <c r="F574" s="6" t="s">
        <v>46</v>
      </c>
      <c r="G574" s="10">
        <f t="shared" si="24"/>
        <v>2024</v>
      </c>
      <c r="H574" s="10">
        <f t="shared" si="25"/>
        <v>1</v>
      </c>
      <c r="I574" s="10">
        <f t="shared" si="26"/>
        <v>17</v>
      </c>
      <c r="J574" s="9" t="s">
        <v>1587</v>
      </c>
      <c r="K574" s="2" t="s">
        <v>33</v>
      </c>
      <c r="L574" s="2">
        <v>201.87</v>
      </c>
      <c r="M574" s="2" t="s">
        <v>19</v>
      </c>
      <c r="N574" s="2" t="s">
        <v>26</v>
      </c>
      <c r="O574" s="2">
        <v>46</v>
      </c>
      <c r="P574" s="2">
        <v>3</v>
      </c>
    </row>
    <row r="575" spans="2:16" ht="21" hidden="1" x14ac:dyDescent="0.55000000000000004">
      <c r="B575" s="2" t="s">
        <v>1588</v>
      </c>
      <c r="C575" s="2" t="s">
        <v>1589</v>
      </c>
      <c r="D575" s="2" t="s">
        <v>106</v>
      </c>
      <c r="E575" s="2" t="s">
        <v>139</v>
      </c>
      <c r="F575" s="6" t="s">
        <v>198</v>
      </c>
      <c r="G575" s="10">
        <f t="shared" si="24"/>
        <v>2024</v>
      </c>
      <c r="H575" s="10">
        <f t="shared" si="25"/>
        <v>1</v>
      </c>
      <c r="I575" s="10">
        <f t="shared" si="26"/>
        <v>4</v>
      </c>
      <c r="J575" s="9" t="s">
        <v>829</v>
      </c>
      <c r="K575" s="2" t="s">
        <v>91</v>
      </c>
      <c r="L575" s="2">
        <v>192.48</v>
      </c>
      <c r="M575" s="2" t="s">
        <v>49</v>
      </c>
      <c r="N575" s="2" t="s">
        <v>41</v>
      </c>
      <c r="O575" s="2">
        <v>88</v>
      </c>
      <c r="P575" s="2"/>
    </row>
    <row r="576" spans="2:16" ht="21" hidden="1" x14ac:dyDescent="0.55000000000000004">
      <c r="B576" s="2" t="s">
        <v>1590</v>
      </c>
      <c r="C576" s="2" t="s">
        <v>1591</v>
      </c>
      <c r="D576" s="2" t="s">
        <v>44</v>
      </c>
      <c r="E576" s="2" t="s">
        <v>37</v>
      </c>
      <c r="F576" s="6" t="s">
        <v>38</v>
      </c>
      <c r="G576" s="10">
        <f t="shared" si="24"/>
        <v>2024</v>
      </c>
      <c r="H576" s="10">
        <f t="shared" si="25"/>
        <v>1</v>
      </c>
      <c r="I576" s="10">
        <f t="shared" si="26"/>
        <v>11</v>
      </c>
      <c r="J576" s="9" t="s">
        <v>1526</v>
      </c>
      <c r="K576" s="2" t="s">
        <v>18</v>
      </c>
      <c r="L576" s="2">
        <v>81.760000000000005</v>
      </c>
      <c r="M576" s="2" t="s">
        <v>19</v>
      </c>
      <c r="N576" s="2" t="s">
        <v>50</v>
      </c>
      <c r="O576" s="2">
        <v>79</v>
      </c>
      <c r="P576" s="2">
        <v>2</v>
      </c>
    </row>
    <row r="577" spans="2:16" ht="21" hidden="1" x14ac:dyDescent="0.55000000000000004">
      <c r="B577" s="2" t="s">
        <v>1592</v>
      </c>
      <c r="C577" s="2" t="s">
        <v>1593</v>
      </c>
      <c r="D577" s="2" t="s">
        <v>29</v>
      </c>
      <c r="E577" s="2" t="s">
        <v>74</v>
      </c>
      <c r="F577" s="6" t="s">
        <v>38</v>
      </c>
      <c r="G577" s="10">
        <f t="shared" si="24"/>
        <v>2024</v>
      </c>
      <c r="H577" s="10">
        <f t="shared" si="25"/>
        <v>1</v>
      </c>
      <c r="I577" s="10">
        <f t="shared" si="26"/>
        <v>11</v>
      </c>
      <c r="J577" s="9" t="s">
        <v>624</v>
      </c>
      <c r="K577" s="2" t="s">
        <v>57</v>
      </c>
      <c r="L577" s="2">
        <v>478.76</v>
      </c>
      <c r="M577" s="2" t="s">
        <v>65</v>
      </c>
      <c r="N577" s="2" t="s">
        <v>20</v>
      </c>
      <c r="O577" s="2">
        <v>86</v>
      </c>
      <c r="P577" s="2">
        <v>3</v>
      </c>
    </row>
    <row r="578" spans="2:16" ht="21" hidden="1" x14ac:dyDescent="0.55000000000000004">
      <c r="B578" s="2" t="s">
        <v>1594</v>
      </c>
      <c r="C578" s="2" t="s">
        <v>1595</v>
      </c>
      <c r="D578" s="2" t="s">
        <v>29</v>
      </c>
      <c r="E578" s="2" t="s">
        <v>37</v>
      </c>
      <c r="F578" s="6" t="s">
        <v>343</v>
      </c>
      <c r="G578" s="10">
        <f t="shared" si="24"/>
        <v>2024</v>
      </c>
      <c r="H578" s="10">
        <f t="shared" si="25"/>
        <v>1</v>
      </c>
      <c r="I578" s="10">
        <f t="shared" si="26"/>
        <v>13</v>
      </c>
      <c r="J578" s="9" t="s">
        <v>1596</v>
      </c>
      <c r="K578" s="2" t="s">
        <v>64</v>
      </c>
      <c r="L578" s="2">
        <v>100.21</v>
      </c>
      <c r="M578" s="2" t="s">
        <v>49</v>
      </c>
      <c r="N578" s="2" t="s">
        <v>41</v>
      </c>
      <c r="O578" s="2">
        <v>38</v>
      </c>
      <c r="P578" s="2">
        <v>5</v>
      </c>
    </row>
    <row r="579" spans="2:16" ht="21" hidden="1" x14ac:dyDescent="0.55000000000000004">
      <c r="B579" s="2" t="s">
        <v>1597</v>
      </c>
      <c r="C579" s="2" t="s">
        <v>1598</v>
      </c>
      <c r="D579" s="2" t="s">
        <v>117</v>
      </c>
      <c r="E579" s="2" t="s">
        <v>15</v>
      </c>
      <c r="F579" s="6" t="s">
        <v>97</v>
      </c>
      <c r="G579" s="10">
        <f t="shared" si="24"/>
        <v>2024</v>
      </c>
      <c r="H579" s="10">
        <f t="shared" si="25"/>
        <v>1</v>
      </c>
      <c r="I579" s="10">
        <f t="shared" si="26"/>
        <v>23</v>
      </c>
      <c r="J579" s="9" t="s">
        <v>1599</v>
      </c>
      <c r="K579" s="2" t="s">
        <v>77</v>
      </c>
      <c r="L579" s="2">
        <v>382.89</v>
      </c>
      <c r="M579" s="2" t="s">
        <v>122</v>
      </c>
      <c r="N579" s="2" t="s">
        <v>26</v>
      </c>
      <c r="O579" s="2">
        <v>82</v>
      </c>
      <c r="P579" s="2">
        <v>2</v>
      </c>
    </row>
    <row r="580" spans="2:16" ht="21" x14ac:dyDescent="0.55000000000000004">
      <c r="B580" s="2" t="s">
        <v>1600</v>
      </c>
      <c r="C580" s="2" t="s">
        <v>1601</v>
      </c>
      <c r="D580" s="2" t="s">
        <v>73</v>
      </c>
      <c r="E580" s="2" t="s">
        <v>54</v>
      </c>
      <c r="F580" s="6" t="s">
        <v>473</v>
      </c>
      <c r="G580" s="10">
        <f t="shared" ref="G580:G643" si="27">YEAR(F580)</f>
        <v>2024</v>
      </c>
      <c r="H580" s="10">
        <f t="shared" ref="H580:H643" si="28">MONTH(F580)</f>
        <v>1</v>
      </c>
      <c r="I580" s="10">
        <f t="shared" ref="I580:I643" si="29">DAY(F580)</f>
        <v>30</v>
      </c>
      <c r="J580" s="9" t="s">
        <v>264</v>
      </c>
      <c r="K580" s="2" t="s">
        <v>64</v>
      </c>
      <c r="L580" s="2">
        <v>76.760000000000005</v>
      </c>
      <c r="M580" s="2" t="s">
        <v>49</v>
      </c>
      <c r="N580" s="2" t="s">
        <v>20</v>
      </c>
      <c r="O580" s="2">
        <v>52</v>
      </c>
      <c r="P580" s="2">
        <v>1</v>
      </c>
    </row>
    <row r="581" spans="2:16" ht="21" hidden="1" x14ac:dyDescent="0.55000000000000004">
      <c r="B581" s="2" t="s">
        <v>1602</v>
      </c>
      <c r="C581" s="2" t="s">
        <v>1603</v>
      </c>
      <c r="D581" s="2" t="s">
        <v>106</v>
      </c>
      <c r="E581" s="2" t="s">
        <v>89</v>
      </c>
      <c r="F581" s="6" t="s">
        <v>46</v>
      </c>
      <c r="G581" s="10">
        <f t="shared" si="27"/>
        <v>2024</v>
      </c>
      <c r="H581" s="10">
        <f t="shared" si="28"/>
        <v>1</v>
      </c>
      <c r="I581" s="10">
        <f t="shared" si="29"/>
        <v>17</v>
      </c>
      <c r="J581" s="9" t="s">
        <v>1604</v>
      </c>
      <c r="K581" s="2" t="s">
        <v>48</v>
      </c>
      <c r="L581" s="2">
        <v>497.02</v>
      </c>
      <c r="M581" s="2" t="s">
        <v>122</v>
      </c>
      <c r="N581" s="2" t="s">
        <v>20</v>
      </c>
      <c r="O581" s="2">
        <v>19</v>
      </c>
      <c r="P581" s="2">
        <v>2</v>
      </c>
    </row>
    <row r="582" spans="2:16" ht="21" hidden="1" x14ac:dyDescent="0.55000000000000004">
      <c r="B582" s="2" t="s">
        <v>1605</v>
      </c>
      <c r="C582" s="2" t="s">
        <v>1606</v>
      </c>
      <c r="D582" s="2" t="s">
        <v>44</v>
      </c>
      <c r="E582" s="2" t="s">
        <v>74</v>
      </c>
      <c r="F582" s="6" t="s">
        <v>144</v>
      </c>
      <c r="G582" s="10">
        <f t="shared" si="27"/>
        <v>2024</v>
      </c>
      <c r="H582" s="10">
        <f t="shared" si="28"/>
        <v>1</v>
      </c>
      <c r="I582" s="10">
        <f t="shared" si="29"/>
        <v>7</v>
      </c>
      <c r="J582" s="9" t="s">
        <v>528</v>
      </c>
      <c r="K582" s="2" t="s">
        <v>33</v>
      </c>
      <c r="L582" s="2">
        <v>393.7</v>
      </c>
      <c r="M582" s="2" t="s">
        <v>49</v>
      </c>
      <c r="N582" s="2" t="s">
        <v>41</v>
      </c>
      <c r="O582" s="2">
        <v>72</v>
      </c>
      <c r="P582" s="2">
        <v>1</v>
      </c>
    </row>
    <row r="583" spans="2:16" ht="21" hidden="1" x14ac:dyDescent="0.55000000000000004">
      <c r="B583" s="2" t="s">
        <v>1607</v>
      </c>
      <c r="C583" s="2" t="s">
        <v>1608</v>
      </c>
      <c r="D583" s="2" t="s">
        <v>53</v>
      </c>
      <c r="E583" s="2" t="s">
        <v>61</v>
      </c>
      <c r="F583" s="6" t="s">
        <v>272</v>
      </c>
      <c r="G583" s="10">
        <f t="shared" si="27"/>
        <v>2024</v>
      </c>
      <c r="H583" s="10">
        <f t="shared" si="28"/>
        <v>1</v>
      </c>
      <c r="I583" s="10">
        <f t="shared" si="29"/>
        <v>1</v>
      </c>
      <c r="J583" s="9" t="s">
        <v>393</v>
      </c>
      <c r="K583" s="2" t="s">
        <v>48</v>
      </c>
      <c r="L583" s="2">
        <v>258.95999999999998</v>
      </c>
      <c r="M583" s="2" t="s">
        <v>19</v>
      </c>
      <c r="N583" s="2" t="s">
        <v>50</v>
      </c>
      <c r="O583" s="2">
        <v>75</v>
      </c>
      <c r="P583" s="2">
        <v>4</v>
      </c>
    </row>
    <row r="584" spans="2:16" ht="21" x14ac:dyDescent="0.55000000000000004">
      <c r="B584" s="2" t="s">
        <v>1609</v>
      </c>
      <c r="C584" s="2" t="s">
        <v>1610</v>
      </c>
      <c r="D584" s="2" t="s">
        <v>44</v>
      </c>
      <c r="E584" s="2" t="s">
        <v>54</v>
      </c>
      <c r="F584" s="6" t="s">
        <v>161</v>
      </c>
      <c r="G584" s="10">
        <f t="shared" si="27"/>
        <v>2024</v>
      </c>
      <c r="H584" s="10">
        <f t="shared" si="28"/>
        <v>1</v>
      </c>
      <c r="I584" s="10">
        <f t="shared" si="29"/>
        <v>5</v>
      </c>
      <c r="J584" s="9" t="s">
        <v>1611</v>
      </c>
      <c r="K584" s="2" t="s">
        <v>33</v>
      </c>
      <c r="L584" s="2">
        <v>328.02</v>
      </c>
      <c r="M584" s="2" t="s">
        <v>49</v>
      </c>
      <c r="N584" s="2" t="s">
        <v>20</v>
      </c>
      <c r="O584" s="2">
        <v>27</v>
      </c>
      <c r="P584" s="2">
        <v>4</v>
      </c>
    </row>
    <row r="585" spans="2:16" ht="21" hidden="1" x14ac:dyDescent="0.55000000000000004">
      <c r="B585" s="2" t="s">
        <v>1612</v>
      </c>
      <c r="C585" s="2" t="s">
        <v>1613</v>
      </c>
      <c r="D585" s="2" t="s">
        <v>60</v>
      </c>
      <c r="E585" s="2" t="s">
        <v>15</v>
      </c>
      <c r="F585" s="6" t="s">
        <v>97</v>
      </c>
      <c r="G585" s="10">
        <f t="shared" si="27"/>
        <v>2024</v>
      </c>
      <c r="H585" s="10">
        <f t="shared" si="28"/>
        <v>1</v>
      </c>
      <c r="I585" s="10">
        <f t="shared" si="29"/>
        <v>23</v>
      </c>
      <c r="J585" s="9" t="s">
        <v>211</v>
      </c>
      <c r="K585" s="2" t="s">
        <v>18</v>
      </c>
      <c r="L585" s="2">
        <v>353.78</v>
      </c>
      <c r="M585" s="2" t="s">
        <v>122</v>
      </c>
      <c r="N585" s="2" t="s">
        <v>50</v>
      </c>
      <c r="O585" s="2">
        <v>29</v>
      </c>
      <c r="P585" s="2">
        <v>2</v>
      </c>
    </row>
    <row r="586" spans="2:16" ht="21" hidden="1" x14ac:dyDescent="0.55000000000000004">
      <c r="B586" s="2" t="s">
        <v>1614</v>
      </c>
      <c r="C586" s="2" t="s">
        <v>1615</v>
      </c>
      <c r="D586" s="2" t="s">
        <v>60</v>
      </c>
      <c r="E586" s="2" t="s">
        <v>37</v>
      </c>
      <c r="F586" s="6" t="s">
        <v>75</v>
      </c>
      <c r="G586" s="10">
        <f t="shared" si="27"/>
        <v>2024</v>
      </c>
      <c r="H586" s="10">
        <f t="shared" si="28"/>
        <v>1</v>
      </c>
      <c r="I586" s="10">
        <f t="shared" si="29"/>
        <v>25</v>
      </c>
      <c r="J586" s="9" t="s">
        <v>1616</v>
      </c>
      <c r="K586" s="2" t="s">
        <v>57</v>
      </c>
      <c r="L586" s="2">
        <v>484.25</v>
      </c>
      <c r="M586" s="2" t="s">
        <v>122</v>
      </c>
      <c r="N586" s="2" t="s">
        <v>41</v>
      </c>
      <c r="O586" s="2">
        <v>19</v>
      </c>
      <c r="P586" s="2">
        <v>1</v>
      </c>
    </row>
    <row r="587" spans="2:16" ht="21" hidden="1" x14ac:dyDescent="0.55000000000000004">
      <c r="B587" s="2" t="s">
        <v>1617</v>
      </c>
      <c r="C587" s="2" t="s">
        <v>1618</v>
      </c>
      <c r="D587" s="2" t="s">
        <v>29</v>
      </c>
      <c r="E587" s="2" t="s">
        <v>89</v>
      </c>
      <c r="F587" s="6" t="s">
        <v>343</v>
      </c>
      <c r="G587" s="10">
        <f t="shared" si="27"/>
        <v>2024</v>
      </c>
      <c r="H587" s="10">
        <f t="shared" si="28"/>
        <v>1</v>
      </c>
      <c r="I587" s="10">
        <f t="shared" si="29"/>
        <v>13</v>
      </c>
      <c r="J587" s="9" t="s">
        <v>1619</v>
      </c>
      <c r="K587" s="2" t="s">
        <v>64</v>
      </c>
      <c r="L587" s="2">
        <v>378.36</v>
      </c>
      <c r="M587" s="2" t="s">
        <v>122</v>
      </c>
      <c r="N587" s="2" t="s">
        <v>26</v>
      </c>
      <c r="O587" s="2">
        <v>38</v>
      </c>
      <c r="P587" s="2"/>
    </row>
    <row r="588" spans="2:16" ht="21" hidden="1" x14ac:dyDescent="0.55000000000000004">
      <c r="B588" s="2" t="s">
        <v>1620</v>
      </c>
      <c r="C588" s="2" t="s">
        <v>1621</v>
      </c>
      <c r="D588" s="2" t="s">
        <v>44</v>
      </c>
      <c r="E588" s="2" t="s">
        <v>125</v>
      </c>
      <c r="F588" s="6" t="s">
        <v>161</v>
      </c>
      <c r="G588" s="10">
        <f t="shared" si="27"/>
        <v>2024</v>
      </c>
      <c r="H588" s="10">
        <f t="shared" si="28"/>
        <v>1</v>
      </c>
      <c r="I588" s="10">
        <f t="shared" si="29"/>
        <v>5</v>
      </c>
      <c r="J588" s="9" t="s">
        <v>1622</v>
      </c>
      <c r="K588" s="2" t="s">
        <v>57</v>
      </c>
      <c r="L588" s="2">
        <v>244.96</v>
      </c>
      <c r="M588" s="2" t="s">
        <v>122</v>
      </c>
      <c r="N588" s="2" t="s">
        <v>50</v>
      </c>
      <c r="O588" s="2">
        <v>54</v>
      </c>
      <c r="P588" s="2"/>
    </row>
    <row r="589" spans="2:16" ht="21" hidden="1" x14ac:dyDescent="0.55000000000000004">
      <c r="B589" s="2" t="s">
        <v>1623</v>
      </c>
      <c r="C589" s="2" t="s">
        <v>1276</v>
      </c>
      <c r="D589" s="2" t="s">
        <v>117</v>
      </c>
      <c r="E589" s="2" t="s">
        <v>139</v>
      </c>
      <c r="F589" s="6" t="s">
        <v>144</v>
      </c>
      <c r="G589" s="10">
        <f t="shared" si="27"/>
        <v>2024</v>
      </c>
      <c r="H589" s="10">
        <f t="shared" si="28"/>
        <v>1</v>
      </c>
      <c r="I589" s="10">
        <f t="shared" si="29"/>
        <v>7</v>
      </c>
      <c r="J589" s="9" t="s">
        <v>1624</v>
      </c>
      <c r="K589" s="2" t="s">
        <v>33</v>
      </c>
      <c r="L589" s="2">
        <v>204.03</v>
      </c>
      <c r="M589" s="2" t="s">
        <v>49</v>
      </c>
      <c r="N589" s="2" t="s">
        <v>20</v>
      </c>
      <c r="O589" s="2">
        <v>55</v>
      </c>
      <c r="P589" s="2">
        <v>4</v>
      </c>
    </row>
    <row r="590" spans="2:16" ht="21" hidden="1" x14ac:dyDescent="0.55000000000000004">
      <c r="B590" s="2" t="s">
        <v>1625</v>
      </c>
      <c r="C590" s="2" t="s">
        <v>1626</v>
      </c>
      <c r="D590" s="2" t="s">
        <v>60</v>
      </c>
      <c r="E590" s="2" t="s">
        <v>45</v>
      </c>
      <c r="F590" s="6" t="s">
        <v>97</v>
      </c>
      <c r="G590" s="10">
        <f t="shared" si="27"/>
        <v>2024</v>
      </c>
      <c r="H590" s="10">
        <f t="shared" si="28"/>
        <v>1</v>
      </c>
      <c r="I590" s="10">
        <f t="shared" si="29"/>
        <v>23</v>
      </c>
      <c r="J590" s="9" t="s">
        <v>1627</v>
      </c>
      <c r="K590" s="2" t="s">
        <v>33</v>
      </c>
      <c r="L590" s="2">
        <v>126.64</v>
      </c>
      <c r="M590" s="2" t="s">
        <v>49</v>
      </c>
      <c r="N590" s="2" t="s">
        <v>50</v>
      </c>
      <c r="O590" s="2">
        <v>56</v>
      </c>
      <c r="P590" s="2">
        <v>2</v>
      </c>
    </row>
    <row r="591" spans="2:16" ht="21" hidden="1" x14ac:dyDescent="0.55000000000000004">
      <c r="B591" s="2" t="s">
        <v>1628</v>
      </c>
      <c r="C591" s="2" t="s">
        <v>1629</v>
      </c>
      <c r="D591" s="2" t="s">
        <v>14</v>
      </c>
      <c r="E591" s="2" t="s">
        <v>45</v>
      </c>
      <c r="F591" s="6" t="s">
        <v>69</v>
      </c>
      <c r="G591" s="10">
        <f t="shared" si="27"/>
        <v>2024</v>
      </c>
      <c r="H591" s="10">
        <f t="shared" si="28"/>
        <v>1</v>
      </c>
      <c r="I591" s="10">
        <f t="shared" si="29"/>
        <v>27</v>
      </c>
      <c r="J591" s="9" t="s">
        <v>1619</v>
      </c>
      <c r="K591" s="2" t="s">
        <v>18</v>
      </c>
      <c r="L591" s="2">
        <v>146.1</v>
      </c>
      <c r="M591" s="2" t="s">
        <v>49</v>
      </c>
      <c r="N591" s="2" t="s">
        <v>41</v>
      </c>
      <c r="O591" s="2">
        <v>62</v>
      </c>
      <c r="P591" s="2">
        <v>4</v>
      </c>
    </row>
    <row r="592" spans="2:16" ht="21" x14ac:dyDescent="0.55000000000000004">
      <c r="B592" s="2" t="s">
        <v>1630</v>
      </c>
      <c r="C592" s="2" t="s">
        <v>1631</v>
      </c>
      <c r="D592" s="2" t="s">
        <v>106</v>
      </c>
      <c r="E592" s="2" t="s">
        <v>54</v>
      </c>
      <c r="F592" s="6" t="s">
        <v>473</v>
      </c>
      <c r="G592" s="10">
        <f t="shared" si="27"/>
        <v>2024</v>
      </c>
      <c r="H592" s="10">
        <f t="shared" si="28"/>
        <v>1</v>
      </c>
      <c r="I592" s="10">
        <f t="shared" si="29"/>
        <v>30</v>
      </c>
      <c r="J592" s="9" t="s">
        <v>558</v>
      </c>
      <c r="K592" s="2" t="s">
        <v>48</v>
      </c>
      <c r="L592" s="2">
        <v>413.22</v>
      </c>
      <c r="M592" s="2" t="s">
        <v>65</v>
      </c>
      <c r="N592" s="2" t="s">
        <v>50</v>
      </c>
      <c r="O592" s="2">
        <v>53</v>
      </c>
      <c r="P592" s="2"/>
    </row>
    <row r="593" spans="2:16" ht="21" hidden="1" x14ac:dyDescent="0.55000000000000004">
      <c r="B593" s="2" t="s">
        <v>1632</v>
      </c>
      <c r="C593" s="2" t="s">
        <v>1633</v>
      </c>
      <c r="D593" s="2" t="s">
        <v>29</v>
      </c>
      <c r="E593" s="2" t="s">
        <v>74</v>
      </c>
      <c r="F593" s="6" t="s">
        <v>69</v>
      </c>
      <c r="G593" s="10">
        <f t="shared" si="27"/>
        <v>2024</v>
      </c>
      <c r="H593" s="10">
        <f t="shared" si="28"/>
        <v>1</v>
      </c>
      <c r="I593" s="10">
        <f t="shared" si="29"/>
        <v>27</v>
      </c>
      <c r="J593" s="9" t="s">
        <v>497</v>
      </c>
      <c r="K593" s="2" t="s">
        <v>91</v>
      </c>
      <c r="L593" s="2">
        <v>493.22</v>
      </c>
      <c r="M593" s="2" t="s">
        <v>65</v>
      </c>
      <c r="N593" s="2" t="s">
        <v>50</v>
      </c>
      <c r="O593" s="2">
        <v>78</v>
      </c>
      <c r="P593" s="2">
        <v>5</v>
      </c>
    </row>
    <row r="594" spans="2:16" ht="21" hidden="1" x14ac:dyDescent="0.55000000000000004">
      <c r="B594" s="2" t="s">
        <v>1634</v>
      </c>
      <c r="C594" s="2" t="s">
        <v>1635</v>
      </c>
      <c r="D594" s="2" t="s">
        <v>53</v>
      </c>
      <c r="E594" s="2" t="s">
        <v>125</v>
      </c>
      <c r="F594" s="6" t="s">
        <v>272</v>
      </c>
      <c r="G594" s="10">
        <f t="shared" si="27"/>
        <v>2024</v>
      </c>
      <c r="H594" s="10">
        <f t="shared" si="28"/>
        <v>1</v>
      </c>
      <c r="I594" s="10">
        <f t="shared" si="29"/>
        <v>1</v>
      </c>
      <c r="J594" s="9" t="s">
        <v>1636</v>
      </c>
      <c r="K594" s="2" t="s">
        <v>18</v>
      </c>
      <c r="L594" s="2">
        <v>451.1</v>
      </c>
      <c r="M594" s="2" t="s">
        <v>65</v>
      </c>
      <c r="N594" s="2" t="s">
        <v>41</v>
      </c>
      <c r="O594" s="2">
        <v>82</v>
      </c>
      <c r="P594" s="2">
        <v>2</v>
      </c>
    </row>
    <row r="595" spans="2:16" ht="21" hidden="1" x14ac:dyDescent="0.55000000000000004">
      <c r="B595" s="2" t="s">
        <v>1637</v>
      </c>
      <c r="C595" s="2" t="s">
        <v>1638</v>
      </c>
      <c r="D595" s="2" t="s">
        <v>44</v>
      </c>
      <c r="E595" s="2" t="s">
        <v>74</v>
      </c>
      <c r="F595" s="6" t="s">
        <v>46</v>
      </c>
      <c r="G595" s="10">
        <f t="shared" si="27"/>
        <v>2024</v>
      </c>
      <c r="H595" s="10">
        <f t="shared" si="28"/>
        <v>1</v>
      </c>
      <c r="I595" s="10">
        <f t="shared" si="29"/>
        <v>17</v>
      </c>
      <c r="J595" s="9" t="s">
        <v>674</v>
      </c>
      <c r="K595" s="2" t="s">
        <v>18</v>
      </c>
      <c r="L595" s="2">
        <v>282.43</v>
      </c>
      <c r="M595" s="2" t="s">
        <v>19</v>
      </c>
      <c r="N595" s="2" t="s">
        <v>20</v>
      </c>
      <c r="O595" s="2">
        <v>52</v>
      </c>
      <c r="P595" s="2">
        <v>4</v>
      </c>
    </row>
    <row r="596" spans="2:16" ht="21" hidden="1" x14ac:dyDescent="0.55000000000000004">
      <c r="B596" s="2" t="s">
        <v>1639</v>
      </c>
      <c r="C596" s="2" t="s">
        <v>1640</v>
      </c>
      <c r="D596" s="2" t="s">
        <v>117</v>
      </c>
      <c r="E596" s="2" t="s">
        <v>45</v>
      </c>
      <c r="F596" s="6" t="s">
        <v>75</v>
      </c>
      <c r="G596" s="10">
        <f t="shared" si="27"/>
        <v>2024</v>
      </c>
      <c r="H596" s="10">
        <f t="shared" si="28"/>
        <v>1</v>
      </c>
      <c r="I596" s="10">
        <f t="shared" si="29"/>
        <v>25</v>
      </c>
      <c r="J596" s="9" t="s">
        <v>1641</v>
      </c>
      <c r="K596" s="2" t="s">
        <v>64</v>
      </c>
      <c r="L596" s="2">
        <v>396.98</v>
      </c>
      <c r="M596" s="2" t="s">
        <v>19</v>
      </c>
      <c r="N596" s="2" t="s">
        <v>26</v>
      </c>
      <c r="O596" s="2">
        <v>21</v>
      </c>
      <c r="P596" s="2">
        <v>3</v>
      </c>
    </row>
    <row r="597" spans="2:16" ht="21" hidden="1" x14ac:dyDescent="0.55000000000000004">
      <c r="B597" s="2" t="s">
        <v>1642</v>
      </c>
      <c r="C597" s="2" t="s">
        <v>1643</v>
      </c>
      <c r="D597" s="2" t="s">
        <v>117</v>
      </c>
      <c r="E597" s="2" t="s">
        <v>89</v>
      </c>
      <c r="F597" s="6" t="s">
        <v>132</v>
      </c>
      <c r="G597" s="10">
        <f t="shared" si="27"/>
        <v>2024</v>
      </c>
      <c r="H597" s="10">
        <f t="shared" si="28"/>
        <v>1</v>
      </c>
      <c r="I597" s="10">
        <f t="shared" si="29"/>
        <v>6</v>
      </c>
      <c r="J597" s="9" t="s">
        <v>1203</v>
      </c>
      <c r="K597" s="2" t="s">
        <v>57</v>
      </c>
      <c r="L597" s="2">
        <v>103.88</v>
      </c>
      <c r="M597" s="2" t="s">
        <v>122</v>
      </c>
      <c r="N597" s="2" t="s">
        <v>20</v>
      </c>
      <c r="O597" s="2">
        <v>20</v>
      </c>
      <c r="P597" s="2">
        <v>1</v>
      </c>
    </row>
    <row r="598" spans="2:16" ht="21" hidden="1" x14ac:dyDescent="0.55000000000000004">
      <c r="B598" s="2" t="s">
        <v>1644</v>
      </c>
      <c r="C598" s="2" t="s">
        <v>1645</v>
      </c>
      <c r="D598" s="2" t="s">
        <v>44</v>
      </c>
      <c r="E598" s="2" t="s">
        <v>80</v>
      </c>
      <c r="F598" s="6" t="s">
        <v>161</v>
      </c>
      <c r="G598" s="10">
        <f t="shared" si="27"/>
        <v>2024</v>
      </c>
      <c r="H598" s="10">
        <f t="shared" si="28"/>
        <v>1</v>
      </c>
      <c r="I598" s="10">
        <f t="shared" si="29"/>
        <v>5</v>
      </c>
      <c r="J598" s="9" t="s">
        <v>1646</v>
      </c>
      <c r="K598" s="2" t="s">
        <v>91</v>
      </c>
      <c r="L598" s="2">
        <v>425.22</v>
      </c>
      <c r="M598" s="2" t="s">
        <v>122</v>
      </c>
      <c r="N598" s="2" t="s">
        <v>20</v>
      </c>
      <c r="O598" s="2">
        <v>66</v>
      </c>
      <c r="P598" s="2">
        <v>3</v>
      </c>
    </row>
    <row r="599" spans="2:16" ht="21" hidden="1" x14ac:dyDescent="0.55000000000000004">
      <c r="B599" s="2" t="s">
        <v>1647</v>
      </c>
      <c r="C599" s="2" t="s">
        <v>1648</v>
      </c>
      <c r="D599" s="2" t="s">
        <v>29</v>
      </c>
      <c r="E599" s="2" t="s">
        <v>139</v>
      </c>
      <c r="F599" s="6" t="s">
        <v>198</v>
      </c>
      <c r="G599" s="10">
        <f t="shared" si="27"/>
        <v>2024</v>
      </c>
      <c r="H599" s="10">
        <f t="shared" si="28"/>
        <v>1</v>
      </c>
      <c r="I599" s="10">
        <f t="shared" si="29"/>
        <v>4</v>
      </c>
      <c r="J599" s="9" t="s">
        <v>1649</v>
      </c>
      <c r="K599" s="2" t="s">
        <v>33</v>
      </c>
      <c r="L599" s="2">
        <v>156.21</v>
      </c>
      <c r="M599" s="2" t="s">
        <v>49</v>
      </c>
      <c r="N599" s="2" t="s">
        <v>26</v>
      </c>
      <c r="O599" s="2">
        <v>71</v>
      </c>
      <c r="P599" s="2"/>
    </row>
    <row r="600" spans="2:16" ht="21" hidden="1" x14ac:dyDescent="0.55000000000000004">
      <c r="B600" s="2" t="s">
        <v>1650</v>
      </c>
      <c r="C600" s="2" t="s">
        <v>1651</v>
      </c>
      <c r="D600" s="2" t="s">
        <v>106</v>
      </c>
      <c r="E600" s="2" t="s">
        <v>61</v>
      </c>
      <c r="F600" s="6" t="s">
        <v>317</v>
      </c>
      <c r="G600" s="10">
        <f t="shared" si="27"/>
        <v>2024</v>
      </c>
      <c r="H600" s="10">
        <f t="shared" si="28"/>
        <v>1</v>
      </c>
      <c r="I600" s="10">
        <f t="shared" si="29"/>
        <v>3</v>
      </c>
      <c r="J600" s="9" t="s">
        <v>988</v>
      </c>
      <c r="K600" s="2" t="s">
        <v>77</v>
      </c>
      <c r="L600" s="2">
        <v>338.63</v>
      </c>
      <c r="M600" s="2" t="s">
        <v>49</v>
      </c>
      <c r="N600" s="2" t="s">
        <v>50</v>
      </c>
      <c r="O600" s="2">
        <v>62</v>
      </c>
      <c r="P600" s="2">
        <v>1</v>
      </c>
    </row>
    <row r="601" spans="2:16" ht="21" hidden="1" x14ac:dyDescent="0.55000000000000004">
      <c r="B601" s="2" t="s">
        <v>1652</v>
      </c>
      <c r="C601" s="2" t="s">
        <v>1653</v>
      </c>
      <c r="D601" s="2" t="s">
        <v>44</v>
      </c>
      <c r="E601" s="2" t="s">
        <v>80</v>
      </c>
      <c r="F601" s="6" t="s">
        <v>16</v>
      </c>
      <c r="G601" s="10">
        <f t="shared" si="27"/>
        <v>2024</v>
      </c>
      <c r="H601" s="10">
        <f t="shared" si="28"/>
        <v>1</v>
      </c>
      <c r="I601" s="10">
        <f t="shared" si="29"/>
        <v>9</v>
      </c>
      <c r="J601" s="9" t="s">
        <v>1113</v>
      </c>
      <c r="K601" s="2" t="s">
        <v>64</v>
      </c>
      <c r="L601" s="2">
        <v>426.35</v>
      </c>
      <c r="M601" s="2" t="s">
        <v>19</v>
      </c>
      <c r="N601" s="2" t="s">
        <v>41</v>
      </c>
      <c r="O601" s="2">
        <v>89</v>
      </c>
      <c r="P601" s="2">
        <v>3</v>
      </c>
    </row>
    <row r="602" spans="2:16" ht="21" hidden="1" x14ac:dyDescent="0.55000000000000004">
      <c r="B602" s="2" t="s">
        <v>1654</v>
      </c>
      <c r="C602" s="2" t="s">
        <v>1655</v>
      </c>
      <c r="D602" s="2" t="s">
        <v>14</v>
      </c>
      <c r="E602" s="2" t="s">
        <v>74</v>
      </c>
      <c r="F602" s="6" t="s">
        <v>16</v>
      </c>
      <c r="G602" s="10">
        <f t="shared" si="27"/>
        <v>2024</v>
      </c>
      <c r="H602" s="10">
        <f t="shared" si="28"/>
        <v>1</v>
      </c>
      <c r="I602" s="10">
        <f t="shared" si="29"/>
        <v>9</v>
      </c>
      <c r="J602" s="9" t="s">
        <v>1656</v>
      </c>
      <c r="K602" s="2" t="s">
        <v>18</v>
      </c>
      <c r="L602" s="2">
        <v>459.95</v>
      </c>
      <c r="M602" s="2" t="s">
        <v>122</v>
      </c>
      <c r="N602" s="2" t="s">
        <v>41</v>
      </c>
      <c r="O602" s="2">
        <v>62</v>
      </c>
      <c r="P602" s="2">
        <v>5</v>
      </c>
    </row>
    <row r="603" spans="2:16" ht="21" hidden="1" x14ac:dyDescent="0.55000000000000004">
      <c r="B603" s="2" t="s">
        <v>1657</v>
      </c>
      <c r="C603" s="2" t="s">
        <v>1658</v>
      </c>
      <c r="D603" s="2" t="s">
        <v>29</v>
      </c>
      <c r="E603" s="2" t="s">
        <v>15</v>
      </c>
      <c r="F603" s="6" t="s">
        <v>69</v>
      </c>
      <c r="G603" s="10">
        <f t="shared" si="27"/>
        <v>2024</v>
      </c>
      <c r="H603" s="10">
        <f t="shared" si="28"/>
        <v>1</v>
      </c>
      <c r="I603" s="10">
        <f t="shared" si="29"/>
        <v>27</v>
      </c>
      <c r="J603" s="9" t="s">
        <v>1316</v>
      </c>
      <c r="K603" s="2" t="s">
        <v>57</v>
      </c>
      <c r="L603" s="2">
        <v>287.17</v>
      </c>
      <c r="M603" s="2" t="s">
        <v>19</v>
      </c>
      <c r="N603" s="2" t="s">
        <v>26</v>
      </c>
      <c r="O603" s="2">
        <v>89</v>
      </c>
      <c r="P603" s="2">
        <v>1</v>
      </c>
    </row>
    <row r="604" spans="2:16" ht="21" x14ac:dyDescent="0.55000000000000004">
      <c r="B604" s="2" t="s">
        <v>1659</v>
      </c>
      <c r="C604" s="2" t="s">
        <v>1660</v>
      </c>
      <c r="D604" s="2" t="s">
        <v>60</v>
      </c>
      <c r="E604" s="2" t="s">
        <v>54</v>
      </c>
      <c r="F604" s="6" t="s">
        <v>24</v>
      </c>
      <c r="G604" s="10">
        <f t="shared" si="27"/>
        <v>2024</v>
      </c>
      <c r="H604" s="10">
        <f t="shared" si="28"/>
        <v>1</v>
      </c>
      <c r="I604" s="10">
        <f t="shared" si="29"/>
        <v>21</v>
      </c>
      <c r="J604" s="9" t="s">
        <v>1229</v>
      </c>
      <c r="K604" s="2" t="s">
        <v>91</v>
      </c>
      <c r="L604" s="2">
        <v>459.47</v>
      </c>
      <c r="M604" s="2" t="s">
        <v>65</v>
      </c>
      <c r="N604" s="2" t="s">
        <v>50</v>
      </c>
      <c r="O604" s="2">
        <v>78</v>
      </c>
      <c r="P604" s="2"/>
    </row>
    <row r="605" spans="2:16" ht="21" hidden="1" x14ac:dyDescent="0.55000000000000004">
      <c r="B605" s="2" t="s">
        <v>1661</v>
      </c>
      <c r="C605" s="2" t="s">
        <v>1662</v>
      </c>
      <c r="D605" s="2" t="s">
        <v>14</v>
      </c>
      <c r="E605" s="2" t="s">
        <v>37</v>
      </c>
      <c r="F605" s="6" t="s">
        <v>69</v>
      </c>
      <c r="G605" s="10">
        <f t="shared" si="27"/>
        <v>2024</v>
      </c>
      <c r="H605" s="10">
        <f t="shared" si="28"/>
        <v>1</v>
      </c>
      <c r="I605" s="10">
        <f t="shared" si="29"/>
        <v>27</v>
      </c>
      <c r="J605" s="9" t="s">
        <v>1663</v>
      </c>
      <c r="K605" s="2" t="s">
        <v>33</v>
      </c>
      <c r="L605" s="2">
        <v>334.22</v>
      </c>
      <c r="M605" s="2" t="s">
        <v>122</v>
      </c>
      <c r="N605" s="2" t="s">
        <v>26</v>
      </c>
      <c r="O605" s="2">
        <v>80</v>
      </c>
      <c r="P605" s="2">
        <v>3</v>
      </c>
    </row>
    <row r="606" spans="2:16" ht="21" hidden="1" x14ac:dyDescent="0.55000000000000004">
      <c r="B606" s="2" t="s">
        <v>1664</v>
      </c>
      <c r="C606" s="2" t="s">
        <v>1665</v>
      </c>
      <c r="D606" s="2" t="s">
        <v>14</v>
      </c>
      <c r="E606" s="2" t="s">
        <v>139</v>
      </c>
      <c r="F606" s="6" t="s">
        <v>62</v>
      </c>
      <c r="G606" s="10">
        <f t="shared" si="27"/>
        <v>2024</v>
      </c>
      <c r="H606" s="10">
        <f t="shared" si="28"/>
        <v>1</v>
      </c>
      <c r="I606" s="10">
        <f t="shared" si="29"/>
        <v>31</v>
      </c>
      <c r="J606" s="9" t="s">
        <v>1299</v>
      </c>
      <c r="K606" s="2" t="s">
        <v>77</v>
      </c>
      <c r="L606" s="2">
        <v>332.86</v>
      </c>
      <c r="M606" s="2" t="s">
        <v>122</v>
      </c>
      <c r="N606" s="2" t="s">
        <v>26</v>
      </c>
      <c r="O606" s="2">
        <v>45</v>
      </c>
      <c r="P606" s="2">
        <v>5</v>
      </c>
    </row>
    <row r="607" spans="2:16" ht="21" hidden="1" x14ac:dyDescent="0.55000000000000004">
      <c r="B607" s="2" t="s">
        <v>1666</v>
      </c>
      <c r="C607" s="2" t="s">
        <v>1667</v>
      </c>
      <c r="D607" s="2" t="s">
        <v>14</v>
      </c>
      <c r="E607" s="2" t="s">
        <v>37</v>
      </c>
      <c r="F607" s="6" t="s">
        <v>473</v>
      </c>
      <c r="G607" s="10">
        <f t="shared" si="27"/>
        <v>2024</v>
      </c>
      <c r="H607" s="10">
        <f t="shared" si="28"/>
        <v>1</v>
      </c>
      <c r="I607" s="10">
        <f t="shared" si="29"/>
        <v>30</v>
      </c>
      <c r="J607" s="9" t="s">
        <v>1668</v>
      </c>
      <c r="K607" s="2" t="s">
        <v>33</v>
      </c>
      <c r="L607" s="2">
        <v>307.57</v>
      </c>
      <c r="M607" s="2" t="s">
        <v>19</v>
      </c>
      <c r="N607" s="2" t="s">
        <v>50</v>
      </c>
      <c r="O607" s="2">
        <v>47</v>
      </c>
      <c r="P607" s="2">
        <v>2</v>
      </c>
    </row>
    <row r="608" spans="2:16" ht="21" hidden="1" x14ac:dyDescent="0.55000000000000004">
      <c r="B608" s="2" t="s">
        <v>1669</v>
      </c>
      <c r="C608" s="2" t="s">
        <v>1670</v>
      </c>
      <c r="D608" s="2" t="s">
        <v>60</v>
      </c>
      <c r="E608" s="2" t="s">
        <v>15</v>
      </c>
      <c r="F608" s="6" t="s">
        <v>38</v>
      </c>
      <c r="G608" s="10">
        <f t="shared" si="27"/>
        <v>2024</v>
      </c>
      <c r="H608" s="10">
        <f t="shared" si="28"/>
        <v>1</v>
      </c>
      <c r="I608" s="10">
        <f t="shared" si="29"/>
        <v>11</v>
      </c>
      <c r="J608" s="9" t="s">
        <v>1671</v>
      </c>
      <c r="K608" s="2" t="s">
        <v>33</v>
      </c>
      <c r="L608" s="2">
        <v>481.23</v>
      </c>
      <c r="M608" s="2" t="s">
        <v>65</v>
      </c>
      <c r="N608" s="2" t="s">
        <v>41</v>
      </c>
      <c r="O608" s="2">
        <v>27</v>
      </c>
      <c r="P608" s="2">
        <v>5</v>
      </c>
    </row>
    <row r="609" spans="2:16" ht="21" hidden="1" x14ac:dyDescent="0.55000000000000004">
      <c r="B609" s="2" t="s">
        <v>1672</v>
      </c>
      <c r="C609" s="2" t="s">
        <v>1673</v>
      </c>
      <c r="D609" s="2" t="s">
        <v>29</v>
      </c>
      <c r="E609" s="2" t="s">
        <v>15</v>
      </c>
      <c r="F609" s="6" t="s">
        <v>343</v>
      </c>
      <c r="G609" s="10">
        <f t="shared" si="27"/>
        <v>2024</v>
      </c>
      <c r="H609" s="10">
        <f t="shared" si="28"/>
        <v>1</v>
      </c>
      <c r="I609" s="10">
        <f t="shared" si="29"/>
        <v>13</v>
      </c>
      <c r="J609" s="9" t="s">
        <v>1235</v>
      </c>
      <c r="K609" s="2" t="s">
        <v>48</v>
      </c>
      <c r="L609" s="2">
        <v>198.85</v>
      </c>
      <c r="M609" s="2" t="s">
        <v>65</v>
      </c>
      <c r="N609" s="2" t="s">
        <v>41</v>
      </c>
      <c r="O609" s="2">
        <v>62</v>
      </c>
      <c r="P609" s="2">
        <v>3</v>
      </c>
    </row>
    <row r="610" spans="2:16" ht="21" hidden="1" x14ac:dyDescent="0.55000000000000004">
      <c r="B610" s="2" t="s">
        <v>1674</v>
      </c>
      <c r="C610" s="2" t="s">
        <v>1675</v>
      </c>
      <c r="D610" s="2" t="s">
        <v>29</v>
      </c>
      <c r="E610" s="2" t="s">
        <v>37</v>
      </c>
      <c r="F610" s="6" t="s">
        <v>257</v>
      </c>
      <c r="G610" s="10">
        <f t="shared" si="27"/>
        <v>2024</v>
      </c>
      <c r="H610" s="10">
        <f t="shared" si="28"/>
        <v>1</v>
      </c>
      <c r="I610" s="10">
        <f t="shared" si="29"/>
        <v>10</v>
      </c>
      <c r="J610" s="9" t="s">
        <v>1676</v>
      </c>
      <c r="K610" s="2" t="s">
        <v>64</v>
      </c>
      <c r="L610" s="2">
        <v>498.17</v>
      </c>
      <c r="M610" s="2" t="s">
        <v>122</v>
      </c>
      <c r="N610" s="2" t="s">
        <v>26</v>
      </c>
      <c r="O610" s="2">
        <v>41</v>
      </c>
      <c r="P610" s="2">
        <v>5</v>
      </c>
    </row>
    <row r="611" spans="2:16" ht="21" hidden="1" x14ac:dyDescent="0.55000000000000004">
      <c r="B611" s="2" t="s">
        <v>1677</v>
      </c>
      <c r="C611" s="2" t="s">
        <v>1678</v>
      </c>
      <c r="D611" s="2" t="s">
        <v>68</v>
      </c>
      <c r="E611" s="2" t="s">
        <v>45</v>
      </c>
      <c r="F611" s="6" t="s">
        <v>272</v>
      </c>
      <c r="G611" s="10">
        <f t="shared" si="27"/>
        <v>2024</v>
      </c>
      <c r="H611" s="10">
        <f t="shared" si="28"/>
        <v>1</v>
      </c>
      <c r="I611" s="10">
        <f t="shared" si="29"/>
        <v>1</v>
      </c>
      <c r="J611" s="9" t="s">
        <v>211</v>
      </c>
      <c r="K611" s="2" t="s">
        <v>57</v>
      </c>
      <c r="L611" s="2">
        <v>178.34</v>
      </c>
      <c r="M611" s="2" t="s">
        <v>49</v>
      </c>
      <c r="N611" s="2" t="s">
        <v>41</v>
      </c>
      <c r="O611" s="2">
        <v>39</v>
      </c>
      <c r="P611" s="2"/>
    </row>
    <row r="612" spans="2:16" ht="21" hidden="1" x14ac:dyDescent="0.55000000000000004">
      <c r="B612" s="2" t="s">
        <v>1679</v>
      </c>
      <c r="C612" s="2" t="s">
        <v>1680</v>
      </c>
      <c r="D612" s="2" t="s">
        <v>60</v>
      </c>
      <c r="E612" s="2" t="s">
        <v>15</v>
      </c>
      <c r="F612" s="6" t="s">
        <v>46</v>
      </c>
      <c r="G612" s="10">
        <f t="shared" si="27"/>
        <v>2024</v>
      </c>
      <c r="H612" s="10">
        <f t="shared" si="28"/>
        <v>1</v>
      </c>
      <c r="I612" s="10">
        <f t="shared" si="29"/>
        <v>17</v>
      </c>
      <c r="J612" s="9" t="s">
        <v>424</v>
      </c>
      <c r="K612" s="2" t="s">
        <v>18</v>
      </c>
      <c r="L612" s="2">
        <v>302.2</v>
      </c>
      <c r="M612" s="2" t="s">
        <v>19</v>
      </c>
      <c r="N612" s="2" t="s">
        <v>26</v>
      </c>
      <c r="O612" s="2">
        <v>61</v>
      </c>
      <c r="P612" s="2">
        <v>3</v>
      </c>
    </row>
    <row r="613" spans="2:16" ht="21" hidden="1" x14ac:dyDescent="0.55000000000000004">
      <c r="B613" s="2" t="s">
        <v>1681</v>
      </c>
      <c r="C613" s="2" t="s">
        <v>1682</v>
      </c>
      <c r="D613" s="2" t="s">
        <v>73</v>
      </c>
      <c r="E613" s="2" t="s">
        <v>15</v>
      </c>
      <c r="F613" s="6" t="s">
        <v>129</v>
      </c>
      <c r="G613" s="10">
        <f t="shared" si="27"/>
        <v>2024</v>
      </c>
      <c r="H613" s="10">
        <f t="shared" si="28"/>
        <v>1</v>
      </c>
      <c r="I613" s="10">
        <f t="shared" si="29"/>
        <v>19</v>
      </c>
      <c r="J613" s="9" t="s">
        <v>1683</v>
      </c>
      <c r="K613" s="2" t="s">
        <v>57</v>
      </c>
      <c r="L613" s="2">
        <v>170.67</v>
      </c>
      <c r="M613" s="2" t="s">
        <v>19</v>
      </c>
      <c r="N613" s="2" t="s">
        <v>41</v>
      </c>
      <c r="O613" s="2">
        <v>35</v>
      </c>
      <c r="P613" s="2">
        <v>4</v>
      </c>
    </row>
    <row r="614" spans="2:16" ht="21" hidden="1" x14ac:dyDescent="0.55000000000000004">
      <c r="B614" s="2" t="s">
        <v>1684</v>
      </c>
      <c r="C614" s="2" t="s">
        <v>1685</v>
      </c>
      <c r="D614" s="2" t="s">
        <v>106</v>
      </c>
      <c r="E614" s="2" t="s">
        <v>89</v>
      </c>
      <c r="F614" s="6" t="s">
        <v>46</v>
      </c>
      <c r="G614" s="10">
        <f t="shared" si="27"/>
        <v>2024</v>
      </c>
      <c r="H614" s="10">
        <f t="shared" si="28"/>
        <v>1</v>
      </c>
      <c r="I614" s="10">
        <f t="shared" si="29"/>
        <v>17</v>
      </c>
      <c r="J614" s="9" t="s">
        <v>1686</v>
      </c>
      <c r="K614" s="2" t="s">
        <v>33</v>
      </c>
      <c r="L614" s="2">
        <v>235.78</v>
      </c>
      <c r="M614" s="2" t="s">
        <v>65</v>
      </c>
      <c r="N614" s="2" t="s">
        <v>41</v>
      </c>
      <c r="O614" s="2">
        <v>69</v>
      </c>
      <c r="P614" s="2">
        <v>5</v>
      </c>
    </row>
    <row r="615" spans="2:16" ht="21" hidden="1" x14ac:dyDescent="0.55000000000000004">
      <c r="B615" s="2" t="s">
        <v>1687</v>
      </c>
      <c r="C615" s="2" t="s">
        <v>1688</v>
      </c>
      <c r="D615" s="2" t="s">
        <v>73</v>
      </c>
      <c r="E615" s="2" t="s">
        <v>74</v>
      </c>
      <c r="F615" s="6" t="s">
        <v>343</v>
      </c>
      <c r="G615" s="10">
        <f t="shared" si="27"/>
        <v>2024</v>
      </c>
      <c r="H615" s="10">
        <f t="shared" si="28"/>
        <v>1</v>
      </c>
      <c r="I615" s="10">
        <f t="shared" si="29"/>
        <v>13</v>
      </c>
      <c r="J615" s="9" t="s">
        <v>1689</v>
      </c>
      <c r="K615" s="2" t="s">
        <v>33</v>
      </c>
      <c r="L615" s="2">
        <v>134.56</v>
      </c>
      <c r="M615" s="2" t="s">
        <v>49</v>
      </c>
      <c r="N615" s="2" t="s">
        <v>20</v>
      </c>
      <c r="O615" s="2">
        <v>77</v>
      </c>
      <c r="P615" s="2">
        <v>3</v>
      </c>
    </row>
    <row r="616" spans="2:16" ht="21" hidden="1" x14ac:dyDescent="0.55000000000000004">
      <c r="B616" s="2" t="s">
        <v>1690</v>
      </c>
      <c r="C616" s="2" t="s">
        <v>1691</v>
      </c>
      <c r="D616" s="2" t="s">
        <v>73</v>
      </c>
      <c r="E616" s="2" t="s">
        <v>74</v>
      </c>
      <c r="F616" s="6" t="s">
        <v>198</v>
      </c>
      <c r="G616" s="10">
        <f t="shared" si="27"/>
        <v>2024</v>
      </c>
      <c r="H616" s="10">
        <f t="shared" si="28"/>
        <v>1</v>
      </c>
      <c r="I616" s="10">
        <f t="shared" si="29"/>
        <v>4</v>
      </c>
      <c r="J616" s="9" t="s">
        <v>709</v>
      </c>
      <c r="K616" s="2" t="s">
        <v>40</v>
      </c>
      <c r="L616" s="2">
        <v>334.7</v>
      </c>
      <c r="M616" s="2" t="s">
        <v>49</v>
      </c>
      <c r="N616" s="2" t="s">
        <v>26</v>
      </c>
      <c r="O616" s="2">
        <v>46</v>
      </c>
      <c r="P616" s="2">
        <v>2</v>
      </c>
    </row>
    <row r="617" spans="2:16" ht="21" hidden="1" x14ac:dyDescent="0.55000000000000004">
      <c r="B617" s="2" t="s">
        <v>1692</v>
      </c>
      <c r="C617" s="2" t="s">
        <v>1693</v>
      </c>
      <c r="D617" s="2" t="s">
        <v>14</v>
      </c>
      <c r="E617" s="2" t="s">
        <v>125</v>
      </c>
      <c r="F617" s="6" t="s">
        <v>198</v>
      </c>
      <c r="G617" s="10">
        <f t="shared" si="27"/>
        <v>2024</v>
      </c>
      <c r="H617" s="10">
        <f t="shared" si="28"/>
        <v>1</v>
      </c>
      <c r="I617" s="10">
        <f t="shared" si="29"/>
        <v>4</v>
      </c>
      <c r="J617" s="9" t="s">
        <v>1164</v>
      </c>
      <c r="K617" s="2" t="s">
        <v>18</v>
      </c>
      <c r="L617" s="2">
        <v>184.73</v>
      </c>
      <c r="M617" s="2" t="s">
        <v>19</v>
      </c>
      <c r="N617" s="2" t="s">
        <v>50</v>
      </c>
      <c r="O617" s="2">
        <v>61</v>
      </c>
      <c r="P617" s="2">
        <v>1</v>
      </c>
    </row>
    <row r="618" spans="2:16" ht="21" x14ac:dyDescent="0.55000000000000004">
      <c r="B618" s="2" t="s">
        <v>1694</v>
      </c>
      <c r="C618" s="2" t="s">
        <v>1695</v>
      </c>
      <c r="D618" s="2" t="s">
        <v>60</v>
      </c>
      <c r="E618" s="2" t="s">
        <v>54</v>
      </c>
      <c r="F618" s="6" t="s">
        <v>349</v>
      </c>
      <c r="G618" s="10">
        <f t="shared" si="27"/>
        <v>2024</v>
      </c>
      <c r="H618" s="10">
        <f t="shared" si="28"/>
        <v>1</v>
      </c>
      <c r="I618" s="10">
        <f t="shared" si="29"/>
        <v>12</v>
      </c>
      <c r="J618" s="9" t="s">
        <v>497</v>
      </c>
      <c r="K618" s="2" t="s">
        <v>48</v>
      </c>
      <c r="L618" s="2">
        <v>124.27</v>
      </c>
      <c r="M618" s="2" t="s">
        <v>19</v>
      </c>
      <c r="N618" s="2" t="s">
        <v>20</v>
      </c>
      <c r="O618" s="2">
        <v>23</v>
      </c>
      <c r="P618" s="2">
        <v>1</v>
      </c>
    </row>
    <row r="619" spans="2:16" ht="21" x14ac:dyDescent="0.55000000000000004">
      <c r="B619" s="2" t="s">
        <v>1696</v>
      </c>
      <c r="C619" s="2" t="s">
        <v>1697</v>
      </c>
      <c r="D619" s="2" t="s">
        <v>44</v>
      </c>
      <c r="E619" s="2" t="s">
        <v>54</v>
      </c>
      <c r="F619" s="6" t="s">
        <v>317</v>
      </c>
      <c r="G619" s="10">
        <f t="shared" si="27"/>
        <v>2024</v>
      </c>
      <c r="H619" s="10">
        <f t="shared" si="28"/>
        <v>1</v>
      </c>
      <c r="I619" s="10">
        <f t="shared" si="29"/>
        <v>3</v>
      </c>
      <c r="J619" s="9" t="s">
        <v>1562</v>
      </c>
      <c r="K619" s="2" t="s">
        <v>91</v>
      </c>
      <c r="L619" s="2">
        <v>401.39</v>
      </c>
      <c r="M619" s="2" t="s">
        <v>122</v>
      </c>
      <c r="N619" s="2" t="s">
        <v>50</v>
      </c>
      <c r="O619" s="2">
        <v>74</v>
      </c>
      <c r="P619" s="2">
        <v>4</v>
      </c>
    </row>
    <row r="620" spans="2:16" ht="21" hidden="1" x14ac:dyDescent="0.55000000000000004">
      <c r="B620" s="2" t="s">
        <v>1698</v>
      </c>
      <c r="C620" s="2" t="s">
        <v>1699</v>
      </c>
      <c r="D620" s="2" t="s">
        <v>73</v>
      </c>
      <c r="E620" s="2" t="s">
        <v>139</v>
      </c>
      <c r="F620" s="6" t="s">
        <v>38</v>
      </c>
      <c r="G620" s="10">
        <f t="shared" si="27"/>
        <v>2024</v>
      </c>
      <c r="H620" s="10">
        <f t="shared" si="28"/>
        <v>1</v>
      </c>
      <c r="I620" s="10">
        <f t="shared" si="29"/>
        <v>11</v>
      </c>
      <c r="J620" s="9" t="s">
        <v>211</v>
      </c>
      <c r="K620" s="2" t="s">
        <v>64</v>
      </c>
      <c r="L620" s="2">
        <v>498.76</v>
      </c>
      <c r="M620" s="2" t="s">
        <v>19</v>
      </c>
      <c r="N620" s="2" t="s">
        <v>26</v>
      </c>
      <c r="O620" s="2">
        <v>53</v>
      </c>
      <c r="P620" s="2">
        <v>1</v>
      </c>
    </row>
    <row r="621" spans="2:16" ht="21" hidden="1" x14ac:dyDescent="0.55000000000000004">
      <c r="B621" s="2" t="s">
        <v>1700</v>
      </c>
      <c r="C621" s="2" t="s">
        <v>1701</v>
      </c>
      <c r="D621" s="2" t="s">
        <v>68</v>
      </c>
      <c r="E621" s="2" t="s">
        <v>45</v>
      </c>
      <c r="F621" s="6" t="s">
        <v>154</v>
      </c>
      <c r="G621" s="10">
        <f t="shared" si="27"/>
        <v>2024</v>
      </c>
      <c r="H621" s="10">
        <f t="shared" si="28"/>
        <v>1</v>
      </c>
      <c r="I621" s="10">
        <f t="shared" si="29"/>
        <v>22</v>
      </c>
      <c r="J621" s="9" t="s">
        <v>730</v>
      </c>
      <c r="K621" s="2" t="s">
        <v>91</v>
      </c>
      <c r="L621" s="2">
        <v>255.95</v>
      </c>
      <c r="M621" s="2" t="s">
        <v>122</v>
      </c>
      <c r="N621" s="2" t="s">
        <v>41</v>
      </c>
      <c r="O621" s="2">
        <v>64</v>
      </c>
      <c r="P621" s="2"/>
    </row>
    <row r="622" spans="2:16" ht="21" hidden="1" x14ac:dyDescent="0.55000000000000004">
      <c r="B622" s="2" t="s">
        <v>1702</v>
      </c>
      <c r="C622" s="2" t="s">
        <v>1703</v>
      </c>
      <c r="D622" s="2" t="s">
        <v>53</v>
      </c>
      <c r="E622" s="2" t="s">
        <v>61</v>
      </c>
      <c r="F622" s="6" t="s">
        <v>161</v>
      </c>
      <c r="G622" s="10">
        <f t="shared" si="27"/>
        <v>2024</v>
      </c>
      <c r="H622" s="10">
        <f t="shared" si="28"/>
        <v>1</v>
      </c>
      <c r="I622" s="10">
        <f t="shared" si="29"/>
        <v>5</v>
      </c>
      <c r="J622" s="9" t="s">
        <v>1496</v>
      </c>
      <c r="K622" s="2" t="s">
        <v>18</v>
      </c>
      <c r="L622" s="2">
        <v>258.24</v>
      </c>
      <c r="M622" s="2" t="s">
        <v>122</v>
      </c>
      <c r="N622" s="2" t="s">
        <v>41</v>
      </c>
      <c r="O622" s="2">
        <v>80</v>
      </c>
      <c r="P622" s="2">
        <v>2</v>
      </c>
    </row>
    <row r="623" spans="2:16" ht="21" hidden="1" x14ac:dyDescent="0.55000000000000004">
      <c r="B623" s="2" t="s">
        <v>1704</v>
      </c>
      <c r="C623" s="2" t="s">
        <v>1705</v>
      </c>
      <c r="D623" s="2" t="s">
        <v>53</v>
      </c>
      <c r="E623" s="2" t="s">
        <v>37</v>
      </c>
      <c r="F623" s="6" t="s">
        <v>132</v>
      </c>
      <c r="G623" s="10">
        <f t="shared" si="27"/>
        <v>2024</v>
      </c>
      <c r="H623" s="10">
        <f t="shared" si="28"/>
        <v>1</v>
      </c>
      <c r="I623" s="10">
        <f t="shared" si="29"/>
        <v>6</v>
      </c>
      <c r="J623" s="9" t="s">
        <v>1212</v>
      </c>
      <c r="K623" s="2" t="s">
        <v>48</v>
      </c>
      <c r="L623" s="2">
        <v>148.85</v>
      </c>
      <c r="M623" s="2" t="s">
        <v>122</v>
      </c>
      <c r="N623" s="2" t="s">
        <v>41</v>
      </c>
      <c r="O623" s="2">
        <v>62</v>
      </c>
      <c r="P623" s="2"/>
    </row>
    <row r="624" spans="2:16" ht="21" hidden="1" x14ac:dyDescent="0.55000000000000004">
      <c r="B624" s="2" t="s">
        <v>1706</v>
      </c>
      <c r="C624" s="2" t="s">
        <v>1707</v>
      </c>
      <c r="D624" s="2" t="s">
        <v>23</v>
      </c>
      <c r="E624" s="2" t="s">
        <v>45</v>
      </c>
      <c r="F624" s="6" t="s">
        <v>349</v>
      </c>
      <c r="G624" s="10">
        <f t="shared" si="27"/>
        <v>2024</v>
      </c>
      <c r="H624" s="10">
        <f t="shared" si="28"/>
        <v>1</v>
      </c>
      <c r="I624" s="10">
        <f t="shared" si="29"/>
        <v>12</v>
      </c>
      <c r="J624" s="9" t="s">
        <v>1708</v>
      </c>
      <c r="K624" s="2" t="s">
        <v>91</v>
      </c>
      <c r="L624" s="2">
        <v>107.01</v>
      </c>
      <c r="M624" s="2" t="s">
        <v>19</v>
      </c>
      <c r="N624" s="2" t="s">
        <v>50</v>
      </c>
      <c r="O624" s="2">
        <v>41</v>
      </c>
      <c r="P624" s="2">
        <v>5</v>
      </c>
    </row>
    <row r="625" spans="2:16" ht="21" hidden="1" x14ac:dyDescent="0.55000000000000004">
      <c r="B625" s="2" t="s">
        <v>1709</v>
      </c>
      <c r="C625" s="2" t="s">
        <v>1710</v>
      </c>
      <c r="D625" s="2" t="s">
        <v>53</v>
      </c>
      <c r="E625" s="2" t="s">
        <v>89</v>
      </c>
      <c r="F625" s="6" t="s">
        <v>238</v>
      </c>
      <c r="G625" s="10">
        <f t="shared" si="27"/>
        <v>2024</v>
      </c>
      <c r="H625" s="10">
        <f t="shared" si="28"/>
        <v>1</v>
      </c>
      <c r="I625" s="10">
        <f t="shared" si="29"/>
        <v>20</v>
      </c>
      <c r="J625" s="9" t="s">
        <v>1711</v>
      </c>
      <c r="K625" s="2" t="s">
        <v>64</v>
      </c>
      <c r="L625" s="2">
        <v>372.39</v>
      </c>
      <c r="M625" s="2" t="s">
        <v>19</v>
      </c>
      <c r="N625" s="2" t="s">
        <v>20</v>
      </c>
      <c r="O625" s="2">
        <v>35</v>
      </c>
      <c r="P625" s="2">
        <v>5</v>
      </c>
    </row>
    <row r="626" spans="2:16" ht="21" hidden="1" x14ac:dyDescent="0.55000000000000004">
      <c r="B626" s="2" t="s">
        <v>1712</v>
      </c>
      <c r="C626" s="2" t="s">
        <v>1713</v>
      </c>
      <c r="D626" s="2" t="s">
        <v>117</v>
      </c>
      <c r="E626" s="2" t="s">
        <v>61</v>
      </c>
      <c r="F626" s="6" t="s">
        <v>118</v>
      </c>
      <c r="G626" s="10">
        <f t="shared" si="27"/>
        <v>2024</v>
      </c>
      <c r="H626" s="10">
        <f t="shared" si="28"/>
        <v>1</v>
      </c>
      <c r="I626" s="10">
        <f t="shared" si="29"/>
        <v>24</v>
      </c>
      <c r="J626" s="9" t="s">
        <v>1711</v>
      </c>
      <c r="K626" s="2" t="s">
        <v>57</v>
      </c>
      <c r="L626" s="2">
        <v>139.08000000000001</v>
      </c>
      <c r="M626" s="2" t="s">
        <v>49</v>
      </c>
      <c r="N626" s="2" t="s">
        <v>20</v>
      </c>
      <c r="O626" s="2">
        <v>87</v>
      </c>
      <c r="P626" s="2">
        <v>4</v>
      </c>
    </row>
    <row r="627" spans="2:16" ht="21" hidden="1" x14ac:dyDescent="0.55000000000000004">
      <c r="B627" s="2" t="s">
        <v>1714</v>
      </c>
      <c r="C627" s="2" t="s">
        <v>1715</v>
      </c>
      <c r="D627" s="2" t="s">
        <v>14</v>
      </c>
      <c r="E627" s="2" t="s">
        <v>139</v>
      </c>
      <c r="F627" s="6" t="s">
        <v>85</v>
      </c>
      <c r="G627" s="10">
        <f t="shared" si="27"/>
        <v>2024</v>
      </c>
      <c r="H627" s="10">
        <f t="shared" si="28"/>
        <v>1</v>
      </c>
      <c r="I627" s="10">
        <f t="shared" si="29"/>
        <v>16</v>
      </c>
      <c r="J627" s="9" t="s">
        <v>866</v>
      </c>
      <c r="K627" s="2" t="s">
        <v>40</v>
      </c>
      <c r="L627" s="2">
        <v>325.14</v>
      </c>
      <c r="M627" s="2" t="s">
        <v>65</v>
      </c>
      <c r="N627" s="2" t="s">
        <v>41</v>
      </c>
      <c r="O627" s="2">
        <v>82</v>
      </c>
      <c r="P627" s="2">
        <v>2</v>
      </c>
    </row>
    <row r="628" spans="2:16" ht="21" x14ac:dyDescent="0.55000000000000004">
      <c r="B628" s="2" t="s">
        <v>1716</v>
      </c>
      <c r="C628" s="2" t="s">
        <v>911</v>
      </c>
      <c r="D628" s="2" t="s">
        <v>23</v>
      </c>
      <c r="E628" s="2" t="s">
        <v>54</v>
      </c>
      <c r="F628" s="6" t="s">
        <v>257</v>
      </c>
      <c r="G628" s="10">
        <f t="shared" si="27"/>
        <v>2024</v>
      </c>
      <c r="H628" s="10">
        <f t="shared" si="28"/>
        <v>1</v>
      </c>
      <c r="I628" s="10">
        <f t="shared" si="29"/>
        <v>10</v>
      </c>
      <c r="J628" s="9" t="s">
        <v>819</v>
      </c>
      <c r="K628" s="2" t="s">
        <v>40</v>
      </c>
      <c r="L628" s="2">
        <v>291.24</v>
      </c>
      <c r="M628" s="2" t="s">
        <v>19</v>
      </c>
      <c r="N628" s="2" t="s">
        <v>41</v>
      </c>
      <c r="O628" s="2">
        <v>47</v>
      </c>
      <c r="P628" s="2">
        <v>1</v>
      </c>
    </row>
    <row r="629" spans="2:16" ht="21" hidden="1" x14ac:dyDescent="0.55000000000000004">
      <c r="B629" s="2" t="s">
        <v>1717</v>
      </c>
      <c r="C629" s="2" t="s">
        <v>1718</v>
      </c>
      <c r="D629" s="2" t="s">
        <v>23</v>
      </c>
      <c r="E629" s="2" t="s">
        <v>139</v>
      </c>
      <c r="F629" s="6" t="s">
        <v>62</v>
      </c>
      <c r="G629" s="10">
        <f t="shared" si="27"/>
        <v>2024</v>
      </c>
      <c r="H629" s="10">
        <f t="shared" si="28"/>
        <v>1</v>
      </c>
      <c r="I629" s="10">
        <f t="shared" si="29"/>
        <v>31</v>
      </c>
      <c r="J629" s="9" t="s">
        <v>1719</v>
      </c>
      <c r="K629" s="2" t="s">
        <v>77</v>
      </c>
      <c r="L629" s="2">
        <v>208.92</v>
      </c>
      <c r="M629" s="2" t="s">
        <v>19</v>
      </c>
      <c r="N629" s="2" t="s">
        <v>26</v>
      </c>
      <c r="O629" s="2">
        <v>77</v>
      </c>
      <c r="P629" s="2">
        <v>2</v>
      </c>
    </row>
    <row r="630" spans="2:16" ht="21" hidden="1" x14ac:dyDescent="0.55000000000000004">
      <c r="B630" s="2" t="s">
        <v>1720</v>
      </c>
      <c r="C630" s="2" t="s">
        <v>1721</v>
      </c>
      <c r="D630" s="2" t="s">
        <v>60</v>
      </c>
      <c r="E630" s="2" t="s">
        <v>80</v>
      </c>
      <c r="F630" s="6" t="s">
        <v>257</v>
      </c>
      <c r="G630" s="10">
        <f t="shared" si="27"/>
        <v>2024</v>
      </c>
      <c r="H630" s="10">
        <f t="shared" si="28"/>
        <v>1</v>
      </c>
      <c r="I630" s="10">
        <f t="shared" si="29"/>
        <v>10</v>
      </c>
      <c r="J630" s="9" t="s">
        <v>906</v>
      </c>
      <c r="K630" s="2" t="s">
        <v>40</v>
      </c>
      <c r="L630" s="2">
        <v>244.78</v>
      </c>
      <c r="M630" s="2" t="s">
        <v>49</v>
      </c>
      <c r="N630" s="2" t="s">
        <v>50</v>
      </c>
      <c r="O630" s="2">
        <v>90</v>
      </c>
      <c r="P630" s="2">
        <v>5</v>
      </c>
    </row>
    <row r="631" spans="2:16" ht="21" hidden="1" x14ac:dyDescent="0.55000000000000004">
      <c r="B631" s="2" t="s">
        <v>1722</v>
      </c>
      <c r="C631" s="2" t="s">
        <v>1723</v>
      </c>
      <c r="D631" s="2" t="s">
        <v>73</v>
      </c>
      <c r="E631" s="2" t="s">
        <v>37</v>
      </c>
      <c r="F631" s="6" t="s">
        <v>144</v>
      </c>
      <c r="G631" s="10">
        <f t="shared" si="27"/>
        <v>2024</v>
      </c>
      <c r="H631" s="10">
        <f t="shared" si="28"/>
        <v>1</v>
      </c>
      <c r="I631" s="10">
        <f t="shared" si="29"/>
        <v>7</v>
      </c>
      <c r="J631" s="9" t="s">
        <v>258</v>
      </c>
      <c r="K631" s="2" t="s">
        <v>91</v>
      </c>
      <c r="L631" s="2">
        <v>469.29</v>
      </c>
      <c r="M631" s="2" t="s">
        <v>49</v>
      </c>
      <c r="N631" s="2" t="s">
        <v>41</v>
      </c>
      <c r="O631" s="2">
        <v>40</v>
      </c>
      <c r="P631" s="2">
        <v>3</v>
      </c>
    </row>
    <row r="632" spans="2:16" ht="21" hidden="1" x14ac:dyDescent="0.55000000000000004">
      <c r="B632" s="2" t="s">
        <v>1724</v>
      </c>
      <c r="C632" s="2" t="s">
        <v>1725</v>
      </c>
      <c r="D632" s="2" t="s">
        <v>73</v>
      </c>
      <c r="E632" s="2" t="s">
        <v>74</v>
      </c>
      <c r="F632" s="6" t="s">
        <v>132</v>
      </c>
      <c r="G632" s="10">
        <f t="shared" si="27"/>
        <v>2024</v>
      </c>
      <c r="H632" s="10">
        <f t="shared" si="28"/>
        <v>1</v>
      </c>
      <c r="I632" s="10">
        <f t="shared" si="29"/>
        <v>6</v>
      </c>
      <c r="J632" s="9" t="s">
        <v>141</v>
      </c>
      <c r="K632" s="2" t="s">
        <v>64</v>
      </c>
      <c r="L632" s="2">
        <v>391.9</v>
      </c>
      <c r="M632" s="2" t="s">
        <v>19</v>
      </c>
      <c r="N632" s="2" t="s">
        <v>26</v>
      </c>
      <c r="O632" s="2">
        <v>89</v>
      </c>
      <c r="P632" s="2">
        <v>4</v>
      </c>
    </row>
    <row r="633" spans="2:16" ht="21" hidden="1" x14ac:dyDescent="0.55000000000000004">
      <c r="B633" s="2" t="s">
        <v>1726</v>
      </c>
      <c r="C633" s="2" t="s">
        <v>1727</v>
      </c>
      <c r="D633" s="2" t="s">
        <v>73</v>
      </c>
      <c r="E633" s="2" t="s">
        <v>80</v>
      </c>
      <c r="F633" s="6" t="s">
        <v>85</v>
      </c>
      <c r="G633" s="10">
        <f t="shared" si="27"/>
        <v>2024</v>
      </c>
      <c r="H633" s="10">
        <f t="shared" si="28"/>
        <v>1</v>
      </c>
      <c r="I633" s="10">
        <f t="shared" si="29"/>
        <v>16</v>
      </c>
      <c r="J633" s="9" t="s">
        <v>110</v>
      </c>
      <c r="K633" s="2" t="s">
        <v>57</v>
      </c>
      <c r="L633" s="2">
        <v>98.97</v>
      </c>
      <c r="M633" s="2" t="s">
        <v>19</v>
      </c>
      <c r="N633" s="2" t="s">
        <v>20</v>
      </c>
      <c r="O633" s="2">
        <v>85</v>
      </c>
      <c r="P633" s="2">
        <v>4</v>
      </c>
    </row>
    <row r="634" spans="2:16" ht="21" hidden="1" x14ac:dyDescent="0.55000000000000004">
      <c r="B634" s="2" t="s">
        <v>1728</v>
      </c>
      <c r="C634" s="2" t="s">
        <v>1729</v>
      </c>
      <c r="D634" s="2" t="s">
        <v>44</v>
      </c>
      <c r="E634" s="2" t="s">
        <v>80</v>
      </c>
      <c r="F634" s="6" t="s">
        <v>161</v>
      </c>
      <c r="G634" s="10">
        <f t="shared" si="27"/>
        <v>2024</v>
      </c>
      <c r="H634" s="10">
        <f t="shared" si="28"/>
        <v>1</v>
      </c>
      <c r="I634" s="10">
        <f t="shared" si="29"/>
        <v>5</v>
      </c>
      <c r="J634" s="9" t="s">
        <v>195</v>
      </c>
      <c r="K634" s="2" t="s">
        <v>77</v>
      </c>
      <c r="L634" s="2">
        <v>374.04</v>
      </c>
      <c r="M634" s="2" t="s">
        <v>49</v>
      </c>
      <c r="N634" s="2" t="s">
        <v>41</v>
      </c>
      <c r="O634" s="2">
        <v>89</v>
      </c>
      <c r="P634" s="2"/>
    </row>
    <row r="635" spans="2:16" ht="21" x14ac:dyDescent="0.55000000000000004">
      <c r="B635" s="2" t="s">
        <v>1730</v>
      </c>
      <c r="C635" s="2" t="s">
        <v>1731</v>
      </c>
      <c r="D635" s="2" t="s">
        <v>23</v>
      </c>
      <c r="E635" s="2" t="s">
        <v>54</v>
      </c>
      <c r="F635" s="6" t="s">
        <v>180</v>
      </c>
      <c r="G635" s="10">
        <f t="shared" si="27"/>
        <v>2024</v>
      </c>
      <c r="H635" s="10">
        <f t="shared" si="28"/>
        <v>1</v>
      </c>
      <c r="I635" s="10">
        <f t="shared" si="29"/>
        <v>28</v>
      </c>
      <c r="J635" s="9" t="s">
        <v>1319</v>
      </c>
      <c r="K635" s="2" t="s">
        <v>57</v>
      </c>
      <c r="L635" s="2">
        <v>238.8</v>
      </c>
      <c r="M635" s="2" t="s">
        <v>65</v>
      </c>
      <c r="N635" s="2" t="s">
        <v>26</v>
      </c>
      <c r="O635" s="2">
        <v>79</v>
      </c>
      <c r="P635" s="2">
        <v>4</v>
      </c>
    </row>
    <row r="636" spans="2:16" ht="21" hidden="1" x14ac:dyDescent="0.55000000000000004">
      <c r="B636" s="2" t="s">
        <v>1732</v>
      </c>
      <c r="C636" s="2" t="s">
        <v>1733</v>
      </c>
      <c r="D636" s="2" t="s">
        <v>73</v>
      </c>
      <c r="E636" s="2" t="s">
        <v>80</v>
      </c>
      <c r="F636" s="6" t="s">
        <v>272</v>
      </c>
      <c r="G636" s="10">
        <f t="shared" si="27"/>
        <v>2024</v>
      </c>
      <c r="H636" s="10">
        <f t="shared" si="28"/>
        <v>1</v>
      </c>
      <c r="I636" s="10">
        <f t="shared" si="29"/>
        <v>1</v>
      </c>
      <c r="J636" s="9" t="s">
        <v>1734</v>
      </c>
      <c r="K636" s="2" t="s">
        <v>18</v>
      </c>
      <c r="L636" s="2">
        <v>81.14</v>
      </c>
      <c r="M636" s="2" t="s">
        <v>65</v>
      </c>
      <c r="N636" s="2" t="s">
        <v>26</v>
      </c>
      <c r="O636" s="2">
        <v>65</v>
      </c>
      <c r="P636" s="2">
        <v>5</v>
      </c>
    </row>
    <row r="637" spans="2:16" ht="21" x14ac:dyDescent="0.55000000000000004">
      <c r="B637" s="2" t="s">
        <v>1735</v>
      </c>
      <c r="C637" s="2" t="s">
        <v>1736</v>
      </c>
      <c r="D637" s="2" t="s">
        <v>23</v>
      </c>
      <c r="E637" s="2" t="s">
        <v>54</v>
      </c>
      <c r="F637" s="6" t="s">
        <v>198</v>
      </c>
      <c r="G637" s="10">
        <f t="shared" si="27"/>
        <v>2024</v>
      </c>
      <c r="H637" s="10">
        <f t="shared" si="28"/>
        <v>1</v>
      </c>
      <c r="I637" s="10">
        <f t="shared" si="29"/>
        <v>4</v>
      </c>
      <c r="J637" s="9" t="s">
        <v>340</v>
      </c>
      <c r="K637" s="2" t="s">
        <v>57</v>
      </c>
      <c r="L637" s="2">
        <v>447.01</v>
      </c>
      <c r="M637" s="2" t="s">
        <v>49</v>
      </c>
      <c r="N637" s="2" t="s">
        <v>20</v>
      </c>
      <c r="O637" s="2">
        <v>38</v>
      </c>
      <c r="P637" s="2">
        <v>4</v>
      </c>
    </row>
    <row r="638" spans="2:16" ht="21" hidden="1" x14ac:dyDescent="0.55000000000000004">
      <c r="B638" s="2" t="s">
        <v>1737</v>
      </c>
      <c r="C638" s="2" t="s">
        <v>1738</v>
      </c>
      <c r="D638" s="2" t="s">
        <v>14</v>
      </c>
      <c r="E638" s="2" t="s">
        <v>74</v>
      </c>
      <c r="F638" s="6" t="s">
        <v>473</v>
      </c>
      <c r="G638" s="10">
        <f t="shared" si="27"/>
        <v>2024</v>
      </c>
      <c r="H638" s="10">
        <f t="shared" si="28"/>
        <v>1</v>
      </c>
      <c r="I638" s="10">
        <f t="shared" si="29"/>
        <v>30</v>
      </c>
      <c r="J638" s="9" t="s">
        <v>1739</v>
      </c>
      <c r="K638" s="2" t="s">
        <v>57</v>
      </c>
      <c r="L638" s="2">
        <v>160.87</v>
      </c>
      <c r="M638" s="2" t="s">
        <v>122</v>
      </c>
      <c r="N638" s="2" t="s">
        <v>50</v>
      </c>
      <c r="O638" s="2">
        <v>88</v>
      </c>
      <c r="P638" s="2">
        <v>1</v>
      </c>
    </row>
    <row r="639" spans="2:16" ht="21" hidden="1" x14ac:dyDescent="0.55000000000000004">
      <c r="B639" s="2" t="s">
        <v>1740</v>
      </c>
      <c r="C639" s="2" t="s">
        <v>1741</v>
      </c>
      <c r="D639" s="2" t="s">
        <v>29</v>
      </c>
      <c r="E639" s="2" t="s">
        <v>139</v>
      </c>
      <c r="F639" s="6" t="s">
        <v>38</v>
      </c>
      <c r="G639" s="10">
        <f t="shared" si="27"/>
        <v>2024</v>
      </c>
      <c r="H639" s="10">
        <f t="shared" si="28"/>
        <v>1</v>
      </c>
      <c r="I639" s="10">
        <f t="shared" si="29"/>
        <v>11</v>
      </c>
      <c r="J639" s="9" t="s">
        <v>211</v>
      </c>
      <c r="K639" s="2" t="s">
        <v>48</v>
      </c>
      <c r="L639" s="2">
        <v>286.77999999999997</v>
      </c>
      <c r="M639" s="2" t="s">
        <v>49</v>
      </c>
      <c r="N639" s="2" t="s">
        <v>50</v>
      </c>
      <c r="O639" s="2">
        <v>16</v>
      </c>
      <c r="P639" s="2">
        <v>3</v>
      </c>
    </row>
    <row r="640" spans="2:16" ht="21" x14ac:dyDescent="0.55000000000000004">
      <c r="B640" s="2" t="s">
        <v>1742</v>
      </c>
      <c r="C640" s="2" t="s">
        <v>1743</v>
      </c>
      <c r="D640" s="2" t="s">
        <v>29</v>
      </c>
      <c r="E640" s="2" t="s">
        <v>54</v>
      </c>
      <c r="F640" s="6" t="s">
        <v>75</v>
      </c>
      <c r="G640" s="10">
        <f t="shared" si="27"/>
        <v>2024</v>
      </c>
      <c r="H640" s="10">
        <f t="shared" si="28"/>
        <v>1</v>
      </c>
      <c r="I640" s="10">
        <f t="shared" si="29"/>
        <v>25</v>
      </c>
      <c r="J640" s="9" t="s">
        <v>1676</v>
      </c>
      <c r="K640" s="2" t="s">
        <v>57</v>
      </c>
      <c r="L640" s="2">
        <v>323.83</v>
      </c>
      <c r="M640" s="2" t="s">
        <v>65</v>
      </c>
      <c r="N640" s="2" t="s">
        <v>41</v>
      </c>
      <c r="O640" s="2">
        <v>56</v>
      </c>
      <c r="P640" s="2">
        <v>2</v>
      </c>
    </row>
    <row r="641" spans="2:16" ht="21" hidden="1" x14ac:dyDescent="0.55000000000000004">
      <c r="B641" s="2" t="s">
        <v>1744</v>
      </c>
      <c r="C641" s="2" t="s">
        <v>1745</v>
      </c>
      <c r="D641" s="2" t="s">
        <v>73</v>
      </c>
      <c r="E641" s="2" t="s">
        <v>37</v>
      </c>
      <c r="F641" s="6" t="s">
        <v>102</v>
      </c>
      <c r="G641" s="10">
        <f t="shared" si="27"/>
        <v>2024</v>
      </c>
      <c r="H641" s="10">
        <f t="shared" si="28"/>
        <v>1</v>
      </c>
      <c r="I641" s="10">
        <f t="shared" si="29"/>
        <v>26</v>
      </c>
      <c r="J641" s="9" t="s">
        <v>1005</v>
      </c>
      <c r="K641" s="2" t="s">
        <v>48</v>
      </c>
      <c r="L641" s="2">
        <v>361.76</v>
      </c>
      <c r="M641" s="2" t="s">
        <v>49</v>
      </c>
      <c r="N641" s="2" t="s">
        <v>26</v>
      </c>
      <c r="O641" s="2">
        <v>25</v>
      </c>
      <c r="P641" s="2">
        <v>5</v>
      </c>
    </row>
    <row r="642" spans="2:16" ht="21" x14ac:dyDescent="0.55000000000000004">
      <c r="B642" s="2" t="s">
        <v>1746</v>
      </c>
      <c r="C642" s="2" t="s">
        <v>1747</v>
      </c>
      <c r="D642" s="2" t="s">
        <v>53</v>
      </c>
      <c r="E642" s="2" t="s">
        <v>54</v>
      </c>
      <c r="F642" s="6" t="s">
        <v>55</v>
      </c>
      <c r="G642" s="10">
        <f t="shared" si="27"/>
        <v>2024</v>
      </c>
      <c r="H642" s="10">
        <f t="shared" si="28"/>
        <v>1</v>
      </c>
      <c r="I642" s="10">
        <f t="shared" si="29"/>
        <v>8</v>
      </c>
      <c r="J642" s="9" t="s">
        <v>470</v>
      </c>
      <c r="K642" s="2" t="s">
        <v>57</v>
      </c>
      <c r="L642" s="2">
        <v>354.95</v>
      </c>
      <c r="M642" s="2" t="s">
        <v>19</v>
      </c>
      <c r="N642" s="2" t="s">
        <v>41</v>
      </c>
      <c r="O642" s="2">
        <v>76</v>
      </c>
      <c r="P642" s="2"/>
    </row>
    <row r="643" spans="2:16" ht="21" hidden="1" x14ac:dyDescent="0.55000000000000004">
      <c r="B643" s="2" t="s">
        <v>1748</v>
      </c>
      <c r="C643" s="2" t="s">
        <v>1749</v>
      </c>
      <c r="D643" s="2" t="s">
        <v>53</v>
      </c>
      <c r="E643" s="2" t="s">
        <v>61</v>
      </c>
      <c r="F643" s="6" t="s">
        <v>198</v>
      </c>
      <c r="G643" s="10">
        <f t="shared" si="27"/>
        <v>2024</v>
      </c>
      <c r="H643" s="10">
        <f t="shared" si="28"/>
        <v>1</v>
      </c>
      <c r="I643" s="10">
        <f t="shared" si="29"/>
        <v>4</v>
      </c>
      <c r="J643" s="9" t="s">
        <v>925</v>
      </c>
      <c r="K643" s="2" t="s">
        <v>77</v>
      </c>
      <c r="L643" s="2">
        <v>51.6</v>
      </c>
      <c r="M643" s="2" t="s">
        <v>65</v>
      </c>
      <c r="N643" s="2" t="s">
        <v>26</v>
      </c>
      <c r="O643" s="2">
        <v>44</v>
      </c>
      <c r="P643" s="2">
        <v>2</v>
      </c>
    </row>
    <row r="644" spans="2:16" ht="21" hidden="1" x14ac:dyDescent="0.55000000000000004">
      <c r="B644" s="2" t="s">
        <v>1750</v>
      </c>
      <c r="C644" s="2" t="s">
        <v>1751</v>
      </c>
      <c r="D644" s="2" t="s">
        <v>53</v>
      </c>
      <c r="E644" s="2" t="s">
        <v>37</v>
      </c>
      <c r="F644" s="6" t="s">
        <v>272</v>
      </c>
      <c r="G644" s="10">
        <f t="shared" ref="G644:G707" si="30">YEAR(F644)</f>
        <v>2024</v>
      </c>
      <c r="H644" s="10">
        <f t="shared" ref="H644:H707" si="31">MONTH(F644)</f>
        <v>1</v>
      </c>
      <c r="I644" s="10">
        <f t="shared" ref="I644:I707" si="32">DAY(F644)</f>
        <v>1</v>
      </c>
      <c r="J644" s="9" t="s">
        <v>1752</v>
      </c>
      <c r="K644" s="2" t="s">
        <v>64</v>
      </c>
      <c r="L644" s="2">
        <v>52.19</v>
      </c>
      <c r="M644" s="2" t="s">
        <v>49</v>
      </c>
      <c r="N644" s="2" t="s">
        <v>50</v>
      </c>
      <c r="O644" s="2">
        <v>69</v>
      </c>
      <c r="P644" s="2">
        <v>3</v>
      </c>
    </row>
    <row r="645" spans="2:16" ht="21" hidden="1" x14ac:dyDescent="0.55000000000000004">
      <c r="B645" s="2" t="s">
        <v>1753</v>
      </c>
      <c r="C645" s="2" t="s">
        <v>1754</v>
      </c>
      <c r="D645" s="2" t="s">
        <v>68</v>
      </c>
      <c r="E645" s="2" t="s">
        <v>80</v>
      </c>
      <c r="F645" s="6" t="s">
        <v>257</v>
      </c>
      <c r="G645" s="10">
        <f t="shared" si="30"/>
        <v>2024</v>
      </c>
      <c r="H645" s="10">
        <f t="shared" si="31"/>
        <v>1</v>
      </c>
      <c r="I645" s="10">
        <f t="shared" si="32"/>
        <v>10</v>
      </c>
      <c r="J645" s="9" t="s">
        <v>145</v>
      </c>
      <c r="K645" s="2" t="s">
        <v>64</v>
      </c>
      <c r="L645" s="2">
        <v>393.9</v>
      </c>
      <c r="M645" s="2" t="s">
        <v>65</v>
      </c>
      <c r="N645" s="2" t="s">
        <v>41</v>
      </c>
      <c r="O645" s="2">
        <v>17</v>
      </c>
      <c r="P645" s="2">
        <v>3</v>
      </c>
    </row>
    <row r="646" spans="2:16" ht="21" hidden="1" x14ac:dyDescent="0.55000000000000004">
      <c r="B646" s="2" t="s">
        <v>1755</v>
      </c>
      <c r="C646" s="2" t="s">
        <v>1756</v>
      </c>
      <c r="D646" s="2" t="s">
        <v>68</v>
      </c>
      <c r="E646" s="2" t="s">
        <v>15</v>
      </c>
      <c r="F646" s="6" t="s">
        <v>161</v>
      </c>
      <c r="G646" s="10">
        <f t="shared" si="30"/>
        <v>2024</v>
      </c>
      <c r="H646" s="10">
        <f t="shared" si="31"/>
        <v>1</v>
      </c>
      <c r="I646" s="10">
        <f t="shared" si="32"/>
        <v>5</v>
      </c>
      <c r="J646" s="9" t="s">
        <v>1757</v>
      </c>
      <c r="K646" s="2" t="s">
        <v>18</v>
      </c>
      <c r="L646" s="2">
        <v>268.75</v>
      </c>
      <c r="M646" s="2" t="s">
        <v>65</v>
      </c>
      <c r="N646" s="2" t="s">
        <v>50</v>
      </c>
      <c r="O646" s="2">
        <v>39</v>
      </c>
      <c r="P646" s="2">
        <v>4</v>
      </c>
    </row>
    <row r="647" spans="2:16" ht="21" hidden="1" x14ac:dyDescent="0.55000000000000004">
      <c r="B647" s="2" t="s">
        <v>1758</v>
      </c>
      <c r="C647" s="2" t="s">
        <v>1759</v>
      </c>
      <c r="D647" s="2" t="s">
        <v>68</v>
      </c>
      <c r="E647" s="2" t="s">
        <v>80</v>
      </c>
      <c r="F647" s="6" t="s">
        <v>55</v>
      </c>
      <c r="G647" s="10">
        <f t="shared" si="30"/>
        <v>2024</v>
      </c>
      <c r="H647" s="10">
        <f t="shared" si="31"/>
        <v>1</v>
      </c>
      <c r="I647" s="10">
        <f t="shared" si="32"/>
        <v>8</v>
      </c>
      <c r="J647" s="9" t="s">
        <v>1760</v>
      </c>
      <c r="K647" s="2" t="s">
        <v>77</v>
      </c>
      <c r="L647" s="2">
        <v>100.25</v>
      </c>
      <c r="M647" s="2" t="s">
        <v>122</v>
      </c>
      <c r="N647" s="2" t="s">
        <v>50</v>
      </c>
      <c r="O647" s="2">
        <v>49</v>
      </c>
      <c r="P647" s="2">
        <v>5</v>
      </c>
    </row>
    <row r="648" spans="2:16" ht="21" x14ac:dyDescent="0.55000000000000004">
      <c r="B648" s="2" t="s">
        <v>1761</v>
      </c>
      <c r="C648" s="2" t="s">
        <v>1762</v>
      </c>
      <c r="D648" s="2" t="s">
        <v>68</v>
      </c>
      <c r="E648" s="2" t="s">
        <v>54</v>
      </c>
      <c r="F648" s="6" t="s">
        <v>118</v>
      </c>
      <c r="G648" s="10">
        <f t="shared" si="30"/>
        <v>2024</v>
      </c>
      <c r="H648" s="10">
        <f t="shared" si="31"/>
        <v>1</v>
      </c>
      <c r="I648" s="10">
        <f t="shared" si="32"/>
        <v>24</v>
      </c>
      <c r="J648" s="9" t="s">
        <v>616</v>
      </c>
      <c r="K648" s="2" t="s">
        <v>91</v>
      </c>
      <c r="L648" s="2">
        <v>470.15</v>
      </c>
      <c r="M648" s="2" t="s">
        <v>122</v>
      </c>
      <c r="N648" s="2" t="s">
        <v>41</v>
      </c>
      <c r="O648" s="2">
        <v>25</v>
      </c>
      <c r="P648" s="2">
        <v>5</v>
      </c>
    </row>
    <row r="649" spans="2:16" ht="21" x14ac:dyDescent="0.55000000000000004">
      <c r="B649" s="2" t="s">
        <v>1763</v>
      </c>
      <c r="C649" s="2" t="s">
        <v>1764</v>
      </c>
      <c r="D649" s="2" t="s">
        <v>23</v>
      </c>
      <c r="E649" s="2" t="s">
        <v>54</v>
      </c>
      <c r="F649" s="6" t="s">
        <v>102</v>
      </c>
      <c r="G649" s="10">
        <f t="shared" si="30"/>
        <v>2024</v>
      </c>
      <c r="H649" s="10">
        <f t="shared" si="31"/>
        <v>1</v>
      </c>
      <c r="I649" s="10">
        <f t="shared" si="32"/>
        <v>26</v>
      </c>
      <c r="J649" s="9" t="s">
        <v>1293</v>
      </c>
      <c r="K649" s="2" t="s">
        <v>91</v>
      </c>
      <c r="L649" s="2">
        <v>468.63</v>
      </c>
      <c r="M649" s="2" t="s">
        <v>65</v>
      </c>
      <c r="N649" s="2" t="s">
        <v>41</v>
      </c>
      <c r="O649" s="2">
        <v>27</v>
      </c>
      <c r="P649" s="2"/>
    </row>
    <row r="650" spans="2:16" ht="21" hidden="1" x14ac:dyDescent="0.55000000000000004">
      <c r="B650" s="2" t="s">
        <v>1765</v>
      </c>
      <c r="C650" s="2" t="s">
        <v>1766</v>
      </c>
      <c r="D650" s="2" t="s">
        <v>44</v>
      </c>
      <c r="E650" s="2" t="s">
        <v>125</v>
      </c>
      <c r="F650" s="6" t="s">
        <v>69</v>
      </c>
      <c r="G650" s="10">
        <f t="shared" si="30"/>
        <v>2024</v>
      </c>
      <c r="H650" s="10">
        <f t="shared" si="31"/>
        <v>1</v>
      </c>
      <c r="I650" s="10">
        <f t="shared" si="32"/>
        <v>27</v>
      </c>
      <c r="J650" s="9" t="s">
        <v>1767</v>
      </c>
      <c r="K650" s="2" t="s">
        <v>18</v>
      </c>
      <c r="L650" s="2">
        <v>291.2</v>
      </c>
      <c r="M650" s="2" t="s">
        <v>122</v>
      </c>
      <c r="N650" s="2" t="s">
        <v>50</v>
      </c>
      <c r="O650" s="2">
        <v>76</v>
      </c>
      <c r="P650" s="2">
        <v>1</v>
      </c>
    </row>
    <row r="651" spans="2:16" ht="21" hidden="1" x14ac:dyDescent="0.55000000000000004">
      <c r="B651" s="2" t="s">
        <v>1768</v>
      </c>
      <c r="C651" s="2" t="s">
        <v>1769</v>
      </c>
      <c r="D651" s="2" t="s">
        <v>68</v>
      </c>
      <c r="E651" s="2" t="s">
        <v>61</v>
      </c>
      <c r="F651" s="6" t="s">
        <v>129</v>
      </c>
      <c r="G651" s="10">
        <f t="shared" si="30"/>
        <v>2024</v>
      </c>
      <c r="H651" s="10">
        <f t="shared" si="31"/>
        <v>1</v>
      </c>
      <c r="I651" s="10">
        <f t="shared" si="32"/>
        <v>19</v>
      </c>
      <c r="J651" s="9" t="s">
        <v>1770</v>
      </c>
      <c r="K651" s="2" t="s">
        <v>18</v>
      </c>
      <c r="L651" s="2">
        <v>231.32</v>
      </c>
      <c r="M651" s="2" t="s">
        <v>49</v>
      </c>
      <c r="N651" s="2" t="s">
        <v>41</v>
      </c>
      <c r="O651" s="2">
        <v>35</v>
      </c>
      <c r="P651" s="2">
        <v>1</v>
      </c>
    </row>
    <row r="652" spans="2:16" ht="21" hidden="1" x14ac:dyDescent="0.55000000000000004">
      <c r="B652" s="2" t="s">
        <v>1771</v>
      </c>
      <c r="C652" s="2" t="s">
        <v>851</v>
      </c>
      <c r="D652" s="2" t="s">
        <v>117</v>
      </c>
      <c r="E652" s="2" t="s">
        <v>89</v>
      </c>
      <c r="F652" s="6" t="s">
        <v>317</v>
      </c>
      <c r="G652" s="10">
        <f t="shared" si="30"/>
        <v>2024</v>
      </c>
      <c r="H652" s="10">
        <f t="shared" si="31"/>
        <v>1</v>
      </c>
      <c r="I652" s="10">
        <f t="shared" si="32"/>
        <v>3</v>
      </c>
      <c r="J652" s="9" t="s">
        <v>1036</v>
      </c>
      <c r="K652" s="2" t="s">
        <v>48</v>
      </c>
      <c r="L652" s="2">
        <v>364</v>
      </c>
      <c r="M652" s="2" t="s">
        <v>49</v>
      </c>
      <c r="N652" s="2" t="s">
        <v>26</v>
      </c>
      <c r="O652" s="2">
        <v>57</v>
      </c>
      <c r="P652" s="2">
        <v>3</v>
      </c>
    </row>
    <row r="653" spans="2:16" ht="21" hidden="1" x14ac:dyDescent="0.55000000000000004">
      <c r="B653" s="2" t="s">
        <v>1772</v>
      </c>
      <c r="C653" s="2" t="s">
        <v>1773</v>
      </c>
      <c r="D653" s="2" t="s">
        <v>60</v>
      </c>
      <c r="E653" s="2" t="s">
        <v>139</v>
      </c>
      <c r="F653" s="6" t="s">
        <v>343</v>
      </c>
      <c r="G653" s="10">
        <f t="shared" si="30"/>
        <v>2024</v>
      </c>
      <c r="H653" s="10">
        <f t="shared" si="31"/>
        <v>1</v>
      </c>
      <c r="I653" s="10">
        <f t="shared" si="32"/>
        <v>13</v>
      </c>
      <c r="J653" s="9" t="s">
        <v>1531</v>
      </c>
      <c r="K653" s="2" t="s">
        <v>18</v>
      </c>
      <c r="L653" s="2">
        <v>293.64</v>
      </c>
      <c r="M653" s="2" t="s">
        <v>65</v>
      </c>
      <c r="N653" s="2" t="s">
        <v>41</v>
      </c>
      <c r="O653" s="2">
        <v>23</v>
      </c>
      <c r="P653" s="2">
        <v>3</v>
      </c>
    </row>
    <row r="654" spans="2:16" ht="21" hidden="1" x14ac:dyDescent="0.55000000000000004">
      <c r="B654" s="2" t="s">
        <v>1774</v>
      </c>
      <c r="C654" s="2" t="s">
        <v>1775</v>
      </c>
      <c r="D654" s="2" t="s">
        <v>29</v>
      </c>
      <c r="E654" s="2" t="s">
        <v>125</v>
      </c>
      <c r="F654" s="6" t="s">
        <v>62</v>
      </c>
      <c r="G654" s="10">
        <f t="shared" si="30"/>
        <v>2024</v>
      </c>
      <c r="H654" s="10">
        <f t="shared" si="31"/>
        <v>1</v>
      </c>
      <c r="I654" s="10">
        <f t="shared" si="32"/>
        <v>31</v>
      </c>
      <c r="J654" s="9" t="s">
        <v>482</v>
      </c>
      <c r="K654" s="2" t="s">
        <v>18</v>
      </c>
      <c r="L654" s="2">
        <v>445</v>
      </c>
      <c r="M654" s="2" t="s">
        <v>122</v>
      </c>
      <c r="N654" s="2" t="s">
        <v>50</v>
      </c>
      <c r="O654" s="2">
        <v>32</v>
      </c>
      <c r="P654" s="2">
        <v>1</v>
      </c>
    </row>
    <row r="655" spans="2:16" ht="21" hidden="1" x14ac:dyDescent="0.55000000000000004">
      <c r="B655" s="2" t="s">
        <v>1776</v>
      </c>
      <c r="C655" s="2" t="s">
        <v>1777</v>
      </c>
      <c r="D655" s="2" t="s">
        <v>60</v>
      </c>
      <c r="E655" s="2" t="s">
        <v>61</v>
      </c>
      <c r="F655" s="6" t="s">
        <v>238</v>
      </c>
      <c r="G655" s="10">
        <f t="shared" si="30"/>
        <v>2024</v>
      </c>
      <c r="H655" s="10">
        <f t="shared" si="31"/>
        <v>1</v>
      </c>
      <c r="I655" s="10">
        <f t="shared" si="32"/>
        <v>20</v>
      </c>
      <c r="J655" s="9" t="s">
        <v>110</v>
      </c>
      <c r="K655" s="2" t="s">
        <v>64</v>
      </c>
      <c r="L655" s="2">
        <v>358.64</v>
      </c>
      <c r="M655" s="2" t="s">
        <v>65</v>
      </c>
      <c r="N655" s="2" t="s">
        <v>41</v>
      </c>
      <c r="O655" s="2">
        <v>62</v>
      </c>
      <c r="P655" s="2">
        <v>1</v>
      </c>
    </row>
    <row r="656" spans="2:16" ht="21" hidden="1" x14ac:dyDescent="0.55000000000000004">
      <c r="B656" s="2" t="s">
        <v>1778</v>
      </c>
      <c r="C656" s="2" t="s">
        <v>1779</v>
      </c>
      <c r="D656" s="2" t="s">
        <v>44</v>
      </c>
      <c r="E656" s="2" t="s">
        <v>45</v>
      </c>
      <c r="F656" s="6" t="s">
        <v>257</v>
      </c>
      <c r="G656" s="10">
        <f t="shared" si="30"/>
        <v>2024</v>
      </c>
      <c r="H656" s="10">
        <f t="shared" si="31"/>
        <v>1</v>
      </c>
      <c r="I656" s="10">
        <f t="shared" si="32"/>
        <v>10</v>
      </c>
      <c r="J656" s="9" t="s">
        <v>806</v>
      </c>
      <c r="K656" s="2" t="s">
        <v>57</v>
      </c>
      <c r="L656" s="2">
        <v>418.93</v>
      </c>
      <c r="M656" s="2" t="s">
        <v>65</v>
      </c>
      <c r="N656" s="2" t="s">
        <v>50</v>
      </c>
      <c r="O656" s="2">
        <v>22</v>
      </c>
      <c r="P656" s="2">
        <v>4</v>
      </c>
    </row>
    <row r="657" spans="2:16" ht="21" hidden="1" x14ac:dyDescent="0.55000000000000004">
      <c r="B657" s="2" t="s">
        <v>1780</v>
      </c>
      <c r="C657" s="2" t="s">
        <v>1781</v>
      </c>
      <c r="D657" s="2" t="s">
        <v>44</v>
      </c>
      <c r="E657" s="2" t="s">
        <v>45</v>
      </c>
      <c r="F657" s="6" t="s">
        <v>154</v>
      </c>
      <c r="G657" s="10">
        <f t="shared" si="30"/>
        <v>2024</v>
      </c>
      <c r="H657" s="10">
        <f t="shared" si="31"/>
        <v>1</v>
      </c>
      <c r="I657" s="10">
        <f t="shared" si="32"/>
        <v>22</v>
      </c>
      <c r="J657" s="9" t="s">
        <v>1258</v>
      </c>
      <c r="K657" s="2" t="s">
        <v>18</v>
      </c>
      <c r="L657" s="2">
        <v>376.06</v>
      </c>
      <c r="M657" s="2" t="s">
        <v>122</v>
      </c>
      <c r="N657" s="2" t="s">
        <v>50</v>
      </c>
      <c r="O657" s="2">
        <v>22</v>
      </c>
      <c r="P657" s="2"/>
    </row>
    <row r="658" spans="2:16" ht="21" hidden="1" x14ac:dyDescent="0.55000000000000004">
      <c r="B658" s="2" t="s">
        <v>1782</v>
      </c>
      <c r="C658" s="2" t="s">
        <v>1453</v>
      </c>
      <c r="D658" s="2" t="s">
        <v>23</v>
      </c>
      <c r="E658" s="2" t="s">
        <v>74</v>
      </c>
      <c r="F658" s="6" t="s">
        <v>257</v>
      </c>
      <c r="G658" s="10">
        <f t="shared" si="30"/>
        <v>2024</v>
      </c>
      <c r="H658" s="10">
        <f t="shared" si="31"/>
        <v>1</v>
      </c>
      <c r="I658" s="10">
        <f t="shared" si="32"/>
        <v>10</v>
      </c>
      <c r="J658" s="9" t="s">
        <v>1783</v>
      </c>
      <c r="K658" s="2" t="s">
        <v>40</v>
      </c>
      <c r="L658" s="2">
        <v>95.26</v>
      </c>
      <c r="M658" s="2" t="s">
        <v>122</v>
      </c>
      <c r="N658" s="2" t="s">
        <v>26</v>
      </c>
      <c r="O658" s="2">
        <v>16</v>
      </c>
      <c r="P658" s="2">
        <v>1</v>
      </c>
    </row>
    <row r="659" spans="2:16" ht="21" x14ac:dyDescent="0.55000000000000004">
      <c r="B659" s="2" t="s">
        <v>1784</v>
      </c>
      <c r="C659" s="2" t="s">
        <v>1785</v>
      </c>
      <c r="D659" s="2" t="s">
        <v>53</v>
      </c>
      <c r="E659" s="2" t="s">
        <v>54</v>
      </c>
      <c r="F659" s="6" t="s">
        <v>31</v>
      </c>
      <c r="G659" s="10">
        <f t="shared" si="30"/>
        <v>2024</v>
      </c>
      <c r="H659" s="10">
        <f t="shared" si="31"/>
        <v>1</v>
      </c>
      <c r="I659" s="10">
        <f t="shared" si="32"/>
        <v>14</v>
      </c>
      <c r="J659" s="9" t="s">
        <v>470</v>
      </c>
      <c r="K659" s="2" t="s">
        <v>18</v>
      </c>
      <c r="L659" s="2">
        <v>53.71</v>
      </c>
      <c r="M659" s="2" t="s">
        <v>49</v>
      </c>
      <c r="N659" s="2" t="s">
        <v>50</v>
      </c>
      <c r="O659" s="2">
        <v>60</v>
      </c>
      <c r="P659" s="2">
        <v>3</v>
      </c>
    </row>
    <row r="660" spans="2:16" ht="21" hidden="1" x14ac:dyDescent="0.55000000000000004">
      <c r="B660" s="2" t="s">
        <v>1786</v>
      </c>
      <c r="C660" s="2" t="s">
        <v>1787</v>
      </c>
      <c r="D660" s="2" t="s">
        <v>73</v>
      </c>
      <c r="E660" s="2" t="s">
        <v>74</v>
      </c>
      <c r="F660" s="6" t="s">
        <v>272</v>
      </c>
      <c r="G660" s="10">
        <f t="shared" si="30"/>
        <v>2024</v>
      </c>
      <c r="H660" s="10">
        <f t="shared" si="31"/>
        <v>1</v>
      </c>
      <c r="I660" s="10">
        <f t="shared" si="32"/>
        <v>1</v>
      </c>
      <c r="J660" s="9" t="s">
        <v>1788</v>
      </c>
      <c r="K660" s="2" t="s">
        <v>40</v>
      </c>
      <c r="L660" s="2">
        <v>482.8</v>
      </c>
      <c r="M660" s="2" t="s">
        <v>19</v>
      </c>
      <c r="N660" s="2" t="s">
        <v>20</v>
      </c>
      <c r="O660" s="2">
        <v>77</v>
      </c>
      <c r="P660" s="2">
        <v>1</v>
      </c>
    </row>
    <row r="661" spans="2:16" ht="21" x14ac:dyDescent="0.55000000000000004">
      <c r="B661" s="2" t="s">
        <v>1789</v>
      </c>
      <c r="C661" s="2" t="s">
        <v>1790</v>
      </c>
      <c r="D661" s="2" t="s">
        <v>73</v>
      </c>
      <c r="E661" s="2" t="s">
        <v>54</v>
      </c>
      <c r="F661" s="6" t="s">
        <v>317</v>
      </c>
      <c r="G661" s="10">
        <f t="shared" si="30"/>
        <v>2024</v>
      </c>
      <c r="H661" s="10">
        <f t="shared" si="31"/>
        <v>1</v>
      </c>
      <c r="I661" s="10">
        <f t="shared" si="32"/>
        <v>3</v>
      </c>
      <c r="J661" s="9" t="s">
        <v>1269</v>
      </c>
      <c r="K661" s="2" t="s">
        <v>33</v>
      </c>
      <c r="L661" s="2">
        <v>294.68</v>
      </c>
      <c r="M661" s="2" t="s">
        <v>65</v>
      </c>
      <c r="N661" s="2" t="s">
        <v>50</v>
      </c>
      <c r="O661" s="2">
        <v>52</v>
      </c>
      <c r="P661" s="2">
        <v>2</v>
      </c>
    </row>
    <row r="662" spans="2:16" ht="21" hidden="1" x14ac:dyDescent="0.55000000000000004">
      <c r="B662" s="2" t="s">
        <v>1791</v>
      </c>
      <c r="C662" s="2" t="s">
        <v>1792</v>
      </c>
      <c r="D662" s="2" t="s">
        <v>44</v>
      </c>
      <c r="E662" s="2" t="s">
        <v>45</v>
      </c>
      <c r="F662" s="6" t="s">
        <v>272</v>
      </c>
      <c r="G662" s="10">
        <f t="shared" si="30"/>
        <v>2024</v>
      </c>
      <c r="H662" s="10">
        <f t="shared" si="31"/>
        <v>1</v>
      </c>
      <c r="I662" s="10">
        <f t="shared" si="32"/>
        <v>1</v>
      </c>
      <c r="J662" s="9" t="s">
        <v>1793</v>
      </c>
      <c r="K662" s="2" t="s">
        <v>77</v>
      </c>
      <c r="L662" s="2">
        <v>356.85</v>
      </c>
      <c r="M662" s="2" t="s">
        <v>19</v>
      </c>
      <c r="N662" s="2" t="s">
        <v>20</v>
      </c>
      <c r="O662" s="2">
        <v>18</v>
      </c>
      <c r="P662" s="2">
        <v>3</v>
      </c>
    </row>
    <row r="663" spans="2:16" ht="21" hidden="1" x14ac:dyDescent="0.55000000000000004">
      <c r="B663" s="2" t="s">
        <v>1794</v>
      </c>
      <c r="C663" s="2" t="s">
        <v>1795</v>
      </c>
      <c r="D663" s="2" t="s">
        <v>23</v>
      </c>
      <c r="E663" s="2" t="s">
        <v>45</v>
      </c>
      <c r="F663" s="6" t="s">
        <v>85</v>
      </c>
      <c r="G663" s="10">
        <f t="shared" si="30"/>
        <v>2024</v>
      </c>
      <c r="H663" s="10">
        <f t="shared" si="31"/>
        <v>1</v>
      </c>
      <c r="I663" s="10">
        <f t="shared" si="32"/>
        <v>16</v>
      </c>
      <c r="J663" s="9" t="s">
        <v>1796</v>
      </c>
      <c r="K663" s="2" t="s">
        <v>77</v>
      </c>
      <c r="L663" s="2">
        <v>220.87</v>
      </c>
      <c r="M663" s="2" t="s">
        <v>65</v>
      </c>
      <c r="N663" s="2" t="s">
        <v>26</v>
      </c>
      <c r="O663" s="2">
        <v>87</v>
      </c>
      <c r="P663" s="2">
        <v>2</v>
      </c>
    </row>
    <row r="664" spans="2:16" ht="21" hidden="1" x14ac:dyDescent="0.55000000000000004">
      <c r="B664" s="2" t="s">
        <v>1797</v>
      </c>
      <c r="C664" s="2" t="s">
        <v>1798</v>
      </c>
      <c r="D664" s="2" t="s">
        <v>29</v>
      </c>
      <c r="E664" s="2" t="s">
        <v>37</v>
      </c>
      <c r="F664" s="6" t="s">
        <v>198</v>
      </c>
      <c r="G664" s="10">
        <f t="shared" si="30"/>
        <v>2024</v>
      </c>
      <c r="H664" s="10">
        <f t="shared" si="31"/>
        <v>1</v>
      </c>
      <c r="I664" s="10">
        <f t="shared" si="32"/>
        <v>4</v>
      </c>
      <c r="J664" s="9" t="s">
        <v>627</v>
      </c>
      <c r="K664" s="2" t="s">
        <v>77</v>
      </c>
      <c r="L664" s="2">
        <v>186.27</v>
      </c>
      <c r="M664" s="2" t="s">
        <v>49</v>
      </c>
      <c r="N664" s="2" t="s">
        <v>20</v>
      </c>
      <c r="O664" s="2">
        <v>56</v>
      </c>
      <c r="P664" s="2"/>
    </row>
    <row r="665" spans="2:16" ht="21" hidden="1" x14ac:dyDescent="0.55000000000000004">
      <c r="B665" s="2" t="s">
        <v>1799</v>
      </c>
      <c r="C665" s="2" t="s">
        <v>1800</v>
      </c>
      <c r="D665" s="2" t="s">
        <v>68</v>
      </c>
      <c r="E665" s="2" t="s">
        <v>61</v>
      </c>
      <c r="F665" s="6" t="s">
        <v>238</v>
      </c>
      <c r="G665" s="10">
        <f t="shared" si="30"/>
        <v>2024</v>
      </c>
      <c r="H665" s="10">
        <f t="shared" si="31"/>
        <v>1</v>
      </c>
      <c r="I665" s="10">
        <f t="shared" si="32"/>
        <v>20</v>
      </c>
      <c r="J665" s="9" t="s">
        <v>1801</v>
      </c>
      <c r="K665" s="2" t="s">
        <v>33</v>
      </c>
      <c r="L665" s="2">
        <v>247.35</v>
      </c>
      <c r="M665" s="2" t="s">
        <v>49</v>
      </c>
      <c r="N665" s="2" t="s">
        <v>50</v>
      </c>
      <c r="O665" s="2">
        <v>64</v>
      </c>
      <c r="P665" s="2">
        <v>2</v>
      </c>
    </row>
    <row r="666" spans="2:16" ht="21" hidden="1" x14ac:dyDescent="0.55000000000000004">
      <c r="B666" s="2" t="s">
        <v>1802</v>
      </c>
      <c r="C666" s="2" t="s">
        <v>1803</v>
      </c>
      <c r="D666" s="2" t="s">
        <v>23</v>
      </c>
      <c r="E666" s="2" t="s">
        <v>139</v>
      </c>
      <c r="F666" s="6" t="s">
        <v>317</v>
      </c>
      <c r="G666" s="10">
        <f t="shared" si="30"/>
        <v>2024</v>
      </c>
      <c r="H666" s="10">
        <f t="shared" si="31"/>
        <v>1</v>
      </c>
      <c r="I666" s="10">
        <f t="shared" si="32"/>
        <v>3</v>
      </c>
      <c r="J666" s="9" t="s">
        <v>1711</v>
      </c>
      <c r="K666" s="2" t="s">
        <v>48</v>
      </c>
      <c r="L666" s="2">
        <v>238.86</v>
      </c>
      <c r="M666" s="2" t="s">
        <v>19</v>
      </c>
      <c r="N666" s="2" t="s">
        <v>50</v>
      </c>
      <c r="O666" s="2">
        <v>72</v>
      </c>
      <c r="P666" s="2">
        <v>5</v>
      </c>
    </row>
    <row r="667" spans="2:16" ht="21" hidden="1" x14ac:dyDescent="0.55000000000000004">
      <c r="B667" s="2" t="s">
        <v>1804</v>
      </c>
      <c r="C667" s="2" t="s">
        <v>1805</v>
      </c>
      <c r="D667" s="2" t="s">
        <v>117</v>
      </c>
      <c r="E667" s="2" t="s">
        <v>37</v>
      </c>
      <c r="F667" s="6" t="s">
        <v>180</v>
      </c>
      <c r="G667" s="10">
        <f t="shared" si="30"/>
        <v>2024</v>
      </c>
      <c r="H667" s="10">
        <f t="shared" si="31"/>
        <v>1</v>
      </c>
      <c r="I667" s="10">
        <f t="shared" si="32"/>
        <v>28</v>
      </c>
      <c r="J667" s="9" t="s">
        <v>973</v>
      </c>
      <c r="K667" s="2" t="s">
        <v>33</v>
      </c>
      <c r="L667" s="2">
        <v>307.52</v>
      </c>
      <c r="M667" s="2" t="s">
        <v>65</v>
      </c>
      <c r="N667" s="2" t="s">
        <v>20</v>
      </c>
      <c r="O667" s="2">
        <v>32</v>
      </c>
      <c r="P667" s="2">
        <v>4</v>
      </c>
    </row>
    <row r="668" spans="2:16" ht="21" hidden="1" x14ac:dyDescent="0.55000000000000004">
      <c r="B668" s="2" t="s">
        <v>1806</v>
      </c>
      <c r="C668" s="2" t="s">
        <v>1807</v>
      </c>
      <c r="D668" s="2" t="s">
        <v>44</v>
      </c>
      <c r="E668" s="2" t="s">
        <v>89</v>
      </c>
      <c r="F668" s="6" t="s">
        <v>24</v>
      </c>
      <c r="G668" s="10">
        <f t="shared" si="30"/>
        <v>2024</v>
      </c>
      <c r="H668" s="10">
        <f t="shared" si="31"/>
        <v>1</v>
      </c>
      <c r="I668" s="10">
        <f t="shared" si="32"/>
        <v>21</v>
      </c>
      <c r="J668" s="9" t="s">
        <v>945</v>
      </c>
      <c r="K668" s="2" t="s">
        <v>48</v>
      </c>
      <c r="L668" s="2">
        <v>53.92</v>
      </c>
      <c r="M668" s="2" t="s">
        <v>19</v>
      </c>
      <c r="N668" s="2" t="s">
        <v>20</v>
      </c>
      <c r="O668" s="2">
        <v>78</v>
      </c>
      <c r="P668" s="2">
        <v>4</v>
      </c>
    </row>
    <row r="669" spans="2:16" ht="21" x14ac:dyDescent="0.55000000000000004">
      <c r="B669" s="2" t="s">
        <v>1808</v>
      </c>
      <c r="C669" s="2" t="s">
        <v>1809</v>
      </c>
      <c r="D669" s="2" t="s">
        <v>29</v>
      </c>
      <c r="E669" s="2" t="s">
        <v>54</v>
      </c>
      <c r="F669" s="6" t="s">
        <v>161</v>
      </c>
      <c r="G669" s="10">
        <f t="shared" si="30"/>
        <v>2024</v>
      </c>
      <c r="H669" s="10">
        <f t="shared" si="31"/>
        <v>1</v>
      </c>
      <c r="I669" s="10">
        <f t="shared" si="32"/>
        <v>5</v>
      </c>
      <c r="J669" s="9" t="s">
        <v>1767</v>
      </c>
      <c r="K669" s="2" t="s">
        <v>18</v>
      </c>
      <c r="L669" s="2">
        <v>449.33</v>
      </c>
      <c r="M669" s="2" t="s">
        <v>122</v>
      </c>
      <c r="N669" s="2" t="s">
        <v>20</v>
      </c>
      <c r="O669" s="2">
        <v>59</v>
      </c>
      <c r="P669" s="2"/>
    </row>
    <row r="670" spans="2:16" ht="21" hidden="1" x14ac:dyDescent="0.55000000000000004">
      <c r="B670" s="2" t="s">
        <v>1810</v>
      </c>
      <c r="C670" s="2" t="s">
        <v>1811</v>
      </c>
      <c r="D670" s="2" t="s">
        <v>44</v>
      </c>
      <c r="E670" s="2" t="s">
        <v>45</v>
      </c>
      <c r="F670" s="6" t="s">
        <v>16</v>
      </c>
      <c r="G670" s="10">
        <f t="shared" si="30"/>
        <v>2024</v>
      </c>
      <c r="H670" s="10">
        <f t="shared" si="31"/>
        <v>1</v>
      </c>
      <c r="I670" s="10">
        <f t="shared" si="32"/>
        <v>9</v>
      </c>
      <c r="J670" s="9" t="s">
        <v>1812</v>
      </c>
      <c r="K670" s="2" t="s">
        <v>40</v>
      </c>
      <c r="L670" s="2">
        <v>257.87</v>
      </c>
      <c r="M670" s="2" t="s">
        <v>19</v>
      </c>
      <c r="N670" s="2" t="s">
        <v>26</v>
      </c>
      <c r="O670" s="2">
        <v>79</v>
      </c>
      <c r="P670" s="2">
        <v>2</v>
      </c>
    </row>
    <row r="671" spans="2:16" ht="21" hidden="1" x14ac:dyDescent="0.55000000000000004">
      <c r="B671" s="2" t="s">
        <v>1813</v>
      </c>
      <c r="C671" s="2" t="s">
        <v>1814</v>
      </c>
      <c r="D671" s="2" t="s">
        <v>14</v>
      </c>
      <c r="E671" s="2" t="s">
        <v>80</v>
      </c>
      <c r="F671" s="6" t="s">
        <v>144</v>
      </c>
      <c r="G671" s="10">
        <f t="shared" si="30"/>
        <v>2024</v>
      </c>
      <c r="H671" s="10">
        <f t="shared" si="31"/>
        <v>1</v>
      </c>
      <c r="I671" s="10">
        <f t="shared" si="32"/>
        <v>7</v>
      </c>
      <c r="J671" s="9" t="s">
        <v>1815</v>
      </c>
      <c r="K671" s="2" t="s">
        <v>18</v>
      </c>
      <c r="L671" s="2">
        <v>82.67</v>
      </c>
      <c r="M671" s="2" t="s">
        <v>19</v>
      </c>
      <c r="N671" s="2" t="s">
        <v>41</v>
      </c>
      <c r="O671" s="2">
        <v>18</v>
      </c>
      <c r="P671" s="2">
        <v>4</v>
      </c>
    </row>
    <row r="672" spans="2:16" ht="21" hidden="1" x14ac:dyDescent="0.55000000000000004">
      <c r="B672" s="2" t="s">
        <v>1816</v>
      </c>
      <c r="C672" s="2" t="s">
        <v>1817</v>
      </c>
      <c r="D672" s="2" t="s">
        <v>73</v>
      </c>
      <c r="E672" s="2" t="s">
        <v>45</v>
      </c>
      <c r="F672" s="6" t="s">
        <v>473</v>
      </c>
      <c r="G672" s="10">
        <f t="shared" si="30"/>
        <v>2024</v>
      </c>
      <c r="H672" s="10">
        <f t="shared" si="31"/>
        <v>1</v>
      </c>
      <c r="I672" s="10">
        <f t="shared" si="32"/>
        <v>30</v>
      </c>
      <c r="J672" s="9" t="s">
        <v>1818</v>
      </c>
      <c r="K672" s="2" t="s">
        <v>40</v>
      </c>
      <c r="L672" s="2">
        <v>286.85000000000002</v>
      </c>
      <c r="M672" s="2" t="s">
        <v>19</v>
      </c>
      <c r="N672" s="2" t="s">
        <v>26</v>
      </c>
      <c r="O672" s="2">
        <v>87</v>
      </c>
      <c r="P672" s="2">
        <v>4</v>
      </c>
    </row>
    <row r="673" spans="2:16" ht="21" hidden="1" x14ac:dyDescent="0.55000000000000004">
      <c r="B673" s="2" t="s">
        <v>1819</v>
      </c>
      <c r="C673" s="2" t="s">
        <v>1820</v>
      </c>
      <c r="D673" s="2" t="s">
        <v>117</v>
      </c>
      <c r="E673" s="2" t="s">
        <v>15</v>
      </c>
      <c r="F673" s="6" t="s">
        <v>102</v>
      </c>
      <c r="G673" s="10">
        <f t="shared" si="30"/>
        <v>2024</v>
      </c>
      <c r="H673" s="10">
        <f t="shared" si="31"/>
        <v>1</v>
      </c>
      <c r="I673" s="10">
        <f t="shared" si="32"/>
        <v>26</v>
      </c>
      <c r="J673" s="9" t="s">
        <v>1821</v>
      </c>
      <c r="K673" s="2" t="s">
        <v>48</v>
      </c>
      <c r="L673" s="2">
        <v>236.75</v>
      </c>
      <c r="M673" s="2" t="s">
        <v>65</v>
      </c>
      <c r="N673" s="2" t="s">
        <v>50</v>
      </c>
      <c r="O673" s="2">
        <v>20</v>
      </c>
      <c r="P673" s="2"/>
    </row>
    <row r="674" spans="2:16" ht="21" hidden="1" x14ac:dyDescent="0.55000000000000004">
      <c r="B674" s="2" t="s">
        <v>1822</v>
      </c>
      <c r="C674" s="2" t="s">
        <v>1823</v>
      </c>
      <c r="D674" s="2" t="s">
        <v>106</v>
      </c>
      <c r="E674" s="2" t="s">
        <v>74</v>
      </c>
      <c r="F674" s="6" t="s">
        <v>238</v>
      </c>
      <c r="G674" s="10">
        <f t="shared" si="30"/>
        <v>2024</v>
      </c>
      <c r="H674" s="10">
        <f t="shared" si="31"/>
        <v>1</v>
      </c>
      <c r="I674" s="10">
        <f t="shared" si="32"/>
        <v>20</v>
      </c>
      <c r="J674" s="9" t="s">
        <v>1824</v>
      </c>
      <c r="K674" s="2" t="s">
        <v>57</v>
      </c>
      <c r="L674" s="2">
        <v>152.12</v>
      </c>
      <c r="M674" s="2" t="s">
        <v>122</v>
      </c>
      <c r="N674" s="2" t="s">
        <v>20</v>
      </c>
      <c r="O674" s="2">
        <v>90</v>
      </c>
      <c r="P674" s="2">
        <v>5</v>
      </c>
    </row>
    <row r="675" spans="2:16" ht="21" hidden="1" x14ac:dyDescent="0.55000000000000004">
      <c r="B675" s="2" t="s">
        <v>1825</v>
      </c>
      <c r="C675" s="2" t="s">
        <v>1826</v>
      </c>
      <c r="D675" s="2" t="s">
        <v>73</v>
      </c>
      <c r="E675" s="2" t="s">
        <v>74</v>
      </c>
      <c r="F675" s="6" t="s">
        <v>144</v>
      </c>
      <c r="G675" s="10">
        <f t="shared" si="30"/>
        <v>2024</v>
      </c>
      <c r="H675" s="10">
        <f t="shared" si="31"/>
        <v>1</v>
      </c>
      <c r="I675" s="10">
        <f t="shared" si="32"/>
        <v>7</v>
      </c>
      <c r="J675" s="9" t="s">
        <v>1827</v>
      </c>
      <c r="K675" s="2" t="s">
        <v>40</v>
      </c>
      <c r="L675" s="2">
        <v>326.77999999999997</v>
      </c>
      <c r="M675" s="2" t="s">
        <v>122</v>
      </c>
      <c r="N675" s="2" t="s">
        <v>20</v>
      </c>
      <c r="O675" s="2">
        <v>75</v>
      </c>
      <c r="P675" s="2"/>
    </row>
    <row r="676" spans="2:16" ht="21" hidden="1" x14ac:dyDescent="0.55000000000000004">
      <c r="B676" s="2" t="s">
        <v>1828</v>
      </c>
      <c r="C676" s="2" t="s">
        <v>1829</v>
      </c>
      <c r="D676" s="2" t="s">
        <v>117</v>
      </c>
      <c r="E676" s="2" t="s">
        <v>37</v>
      </c>
      <c r="F676" s="6" t="s">
        <v>161</v>
      </c>
      <c r="G676" s="10">
        <f t="shared" si="30"/>
        <v>2024</v>
      </c>
      <c r="H676" s="10">
        <f t="shared" si="31"/>
        <v>1</v>
      </c>
      <c r="I676" s="10">
        <f t="shared" si="32"/>
        <v>5</v>
      </c>
      <c r="J676" s="9" t="s">
        <v>1248</v>
      </c>
      <c r="K676" s="2" t="s">
        <v>40</v>
      </c>
      <c r="L676" s="2">
        <v>187.2</v>
      </c>
      <c r="M676" s="2" t="s">
        <v>122</v>
      </c>
      <c r="N676" s="2" t="s">
        <v>41</v>
      </c>
      <c r="O676" s="2">
        <v>74</v>
      </c>
      <c r="P676" s="2">
        <v>5</v>
      </c>
    </row>
    <row r="677" spans="2:16" ht="21" hidden="1" x14ac:dyDescent="0.55000000000000004">
      <c r="B677" s="2" t="s">
        <v>1830</v>
      </c>
      <c r="C677" s="2" t="s">
        <v>1831</v>
      </c>
      <c r="D677" s="2" t="s">
        <v>68</v>
      </c>
      <c r="E677" s="2" t="s">
        <v>45</v>
      </c>
      <c r="F677" s="6" t="s">
        <v>144</v>
      </c>
      <c r="G677" s="10">
        <f t="shared" si="30"/>
        <v>2024</v>
      </c>
      <c r="H677" s="10">
        <f t="shared" si="31"/>
        <v>1</v>
      </c>
      <c r="I677" s="10">
        <f t="shared" si="32"/>
        <v>7</v>
      </c>
      <c r="J677" s="9" t="s">
        <v>613</v>
      </c>
      <c r="K677" s="2" t="s">
        <v>77</v>
      </c>
      <c r="L677" s="2">
        <v>254.1</v>
      </c>
      <c r="M677" s="2" t="s">
        <v>65</v>
      </c>
      <c r="N677" s="2" t="s">
        <v>41</v>
      </c>
      <c r="O677" s="2">
        <v>79</v>
      </c>
      <c r="P677" s="2">
        <v>3</v>
      </c>
    </row>
    <row r="678" spans="2:16" ht="21" hidden="1" x14ac:dyDescent="0.55000000000000004">
      <c r="B678" s="2" t="s">
        <v>1832</v>
      </c>
      <c r="C678" s="2" t="s">
        <v>1833</v>
      </c>
      <c r="D678" s="2" t="s">
        <v>23</v>
      </c>
      <c r="E678" s="2" t="s">
        <v>45</v>
      </c>
      <c r="F678" s="6" t="s">
        <v>129</v>
      </c>
      <c r="G678" s="10">
        <f t="shared" si="30"/>
        <v>2024</v>
      </c>
      <c r="H678" s="10">
        <f t="shared" si="31"/>
        <v>1</v>
      </c>
      <c r="I678" s="10">
        <f t="shared" si="32"/>
        <v>19</v>
      </c>
      <c r="J678" s="9" t="s">
        <v>199</v>
      </c>
      <c r="K678" s="2" t="s">
        <v>33</v>
      </c>
      <c r="L678" s="2">
        <v>138.78</v>
      </c>
      <c r="M678" s="2" t="s">
        <v>122</v>
      </c>
      <c r="N678" s="2" t="s">
        <v>50</v>
      </c>
      <c r="O678" s="2">
        <v>34</v>
      </c>
      <c r="P678" s="2"/>
    </row>
    <row r="679" spans="2:16" ht="21" hidden="1" x14ac:dyDescent="0.55000000000000004">
      <c r="B679" s="2" t="s">
        <v>1834</v>
      </c>
      <c r="C679" s="2" t="s">
        <v>1513</v>
      </c>
      <c r="D679" s="2" t="s">
        <v>117</v>
      </c>
      <c r="E679" s="2" t="s">
        <v>15</v>
      </c>
      <c r="F679" s="6" t="s">
        <v>161</v>
      </c>
      <c r="G679" s="10">
        <f t="shared" si="30"/>
        <v>2024</v>
      </c>
      <c r="H679" s="10">
        <f t="shared" si="31"/>
        <v>1</v>
      </c>
      <c r="I679" s="10">
        <f t="shared" si="32"/>
        <v>5</v>
      </c>
      <c r="J679" s="9" t="s">
        <v>1835</v>
      </c>
      <c r="K679" s="2" t="s">
        <v>48</v>
      </c>
      <c r="L679" s="2">
        <v>182.02</v>
      </c>
      <c r="M679" s="2" t="s">
        <v>65</v>
      </c>
      <c r="N679" s="2" t="s">
        <v>41</v>
      </c>
      <c r="O679" s="2">
        <v>50</v>
      </c>
      <c r="P679" s="2">
        <v>2</v>
      </c>
    </row>
    <row r="680" spans="2:16" ht="21" hidden="1" x14ac:dyDescent="0.55000000000000004">
      <c r="B680" s="2" t="s">
        <v>1836</v>
      </c>
      <c r="C680" s="2" t="s">
        <v>1837</v>
      </c>
      <c r="D680" s="2" t="s">
        <v>117</v>
      </c>
      <c r="E680" s="2" t="s">
        <v>80</v>
      </c>
      <c r="F680" s="6" t="s">
        <v>132</v>
      </c>
      <c r="G680" s="10">
        <f t="shared" si="30"/>
        <v>2024</v>
      </c>
      <c r="H680" s="10">
        <f t="shared" si="31"/>
        <v>1</v>
      </c>
      <c r="I680" s="10">
        <f t="shared" si="32"/>
        <v>6</v>
      </c>
      <c r="J680" s="9" t="s">
        <v>706</v>
      </c>
      <c r="K680" s="2" t="s">
        <v>64</v>
      </c>
      <c r="L680" s="2">
        <v>196.46</v>
      </c>
      <c r="M680" s="2" t="s">
        <v>65</v>
      </c>
      <c r="N680" s="2" t="s">
        <v>50</v>
      </c>
      <c r="O680" s="2">
        <v>15</v>
      </c>
      <c r="P680" s="2"/>
    </row>
    <row r="681" spans="2:16" ht="21" x14ac:dyDescent="0.55000000000000004">
      <c r="B681" s="2" t="s">
        <v>1838</v>
      </c>
      <c r="C681" s="2" t="s">
        <v>1839</v>
      </c>
      <c r="D681" s="2" t="s">
        <v>29</v>
      </c>
      <c r="E681" s="2" t="s">
        <v>54</v>
      </c>
      <c r="F681" s="6" t="s">
        <v>257</v>
      </c>
      <c r="G681" s="10">
        <f t="shared" si="30"/>
        <v>2024</v>
      </c>
      <c r="H681" s="10">
        <f t="shared" si="31"/>
        <v>1</v>
      </c>
      <c r="I681" s="10">
        <f t="shared" si="32"/>
        <v>10</v>
      </c>
      <c r="J681" s="9" t="s">
        <v>906</v>
      </c>
      <c r="K681" s="2" t="s">
        <v>64</v>
      </c>
      <c r="L681" s="2">
        <v>471.04</v>
      </c>
      <c r="M681" s="2" t="s">
        <v>49</v>
      </c>
      <c r="N681" s="2" t="s">
        <v>50</v>
      </c>
      <c r="O681" s="2">
        <v>65</v>
      </c>
      <c r="P681" s="2">
        <v>5</v>
      </c>
    </row>
    <row r="682" spans="2:16" ht="21" hidden="1" x14ac:dyDescent="0.55000000000000004">
      <c r="B682" s="2" t="s">
        <v>1840</v>
      </c>
      <c r="C682" s="2" t="s">
        <v>1841</v>
      </c>
      <c r="D682" s="2" t="s">
        <v>68</v>
      </c>
      <c r="E682" s="2" t="s">
        <v>37</v>
      </c>
      <c r="F682" s="6" t="s">
        <v>113</v>
      </c>
      <c r="G682" s="10">
        <f t="shared" si="30"/>
        <v>2024</v>
      </c>
      <c r="H682" s="10">
        <f t="shared" si="31"/>
        <v>1</v>
      </c>
      <c r="I682" s="10">
        <f t="shared" si="32"/>
        <v>15</v>
      </c>
      <c r="J682" s="9" t="s">
        <v>770</v>
      </c>
      <c r="K682" s="2" t="s">
        <v>48</v>
      </c>
      <c r="L682" s="2">
        <v>444.85</v>
      </c>
      <c r="M682" s="2" t="s">
        <v>122</v>
      </c>
      <c r="N682" s="2" t="s">
        <v>50</v>
      </c>
      <c r="O682" s="2">
        <v>21</v>
      </c>
      <c r="P682" s="2">
        <v>4</v>
      </c>
    </row>
    <row r="683" spans="2:16" ht="21" hidden="1" x14ac:dyDescent="0.55000000000000004">
      <c r="B683" s="2" t="s">
        <v>1842</v>
      </c>
      <c r="C683" s="2" t="s">
        <v>1843</v>
      </c>
      <c r="D683" s="2" t="s">
        <v>23</v>
      </c>
      <c r="E683" s="2" t="s">
        <v>37</v>
      </c>
      <c r="F683" s="6" t="s">
        <v>62</v>
      </c>
      <c r="G683" s="10">
        <f t="shared" si="30"/>
        <v>2024</v>
      </c>
      <c r="H683" s="10">
        <f t="shared" si="31"/>
        <v>1</v>
      </c>
      <c r="I683" s="10">
        <f t="shared" si="32"/>
        <v>31</v>
      </c>
      <c r="J683" s="9" t="s">
        <v>1499</v>
      </c>
      <c r="K683" s="2" t="s">
        <v>57</v>
      </c>
      <c r="L683" s="2">
        <v>90.82</v>
      </c>
      <c r="M683" s="2" t="s">
        <v>122</v>
      </c>
      <c r="N683" s="2" t="s">
        <v>50</v>
      </c>
      <c r="O683" s="2">
        <v>40</v>
      </c>
      <c r="P683" s="2">
        <v>3</v>
      </c>
    </row>
    <row r="684" spans="2:16" ht="21" hidden="1" x14ac:dyDescent="0.55000000000000004">
      <c r="B684" s="2" t="s">
        <v>1844</v>
      </c>
      <c r="C684" s="2" t="s">
        <v>1845</v>
      </c>
      <c r="D684" s="2" t="s">
        <v>106</v>
      </c>
      <c r="E684" s="2" t="s">
        <v>61</v>
      </c>
      <c r="F684" s="6" t="s">
        <v>198</v>
      </c>
      <c r="G684" s="10">
        <f t="shared" si="30"/>
        <v>2024</v>
      </c>
      <c r="H684" s="10">
        <f t="shared" si="31"/>
        <v>1</v>
      </c>
      <c r="I684" s="10">
        <f t="shared" si="32"/>
        <v>4</v>
      </c>
      <c r="J684" s="9" t="s">
        <v>365</v>
      </c>
      <c r="K684" s="2" t="s">
        <v>48</v>
      </c>
      <c r="L684" s="2">
        <v>86.96</v>
      </c>
      <c r="M684" s="2" t="s">
        <v>122</v>
      </c>
      <c r="N684" s="2" t="s">
        <v>26</v>
      </c>
      <c r="O684" s="2">
        <v>20</v>
      </c>
      <c r="P684" s="2">
        <v>4</v>
      </c>
    </row>
    <row r="685" spans="2:16" ht="21" hidden="1" x14ac:dyDescent="0.55000000000000004">
      <c r="B685" s="2" t="s">
        <v>1846</v>
      </c>
      <c r="C685" s="2" t="s">
        <v>1847</v>
      </c>
      <c r="D685" s="2" t="s">
        <v>117</v>
      </c>
      <c r="E685" s="2" t="s">
        <v>74</v>
      </c>
      <c r="F685" s="6" t="s">
        <v>132</v>
      </c>
      <c r="G685" s="10">
        <f t="shared" si="30"/>
        <v>2024</v>
      </c>
      <c r="H685" s="10">
        <f t="shared" si="31"/>
        <v>1</v>
      </c>
      <c r="I685" s="10">
        <f t="shared" si="32"/>
        <v>6</v>
      </c>
      <c r="J685" s="9" t="s">
        <v>1579</v>
      </c>
      <c r="K685" s="2" t="s">
        <v>33</v>
      </c>
      <c r="L685" s="2">
        <v>131.86000000000001</v>
      </c>
      <c r="M685" s="2" t="s">
        <v>19</v>
      </c>
      <c r="N685" s="2" t="s">
        <v>20</v>
      </c>
      <c r="O685" s="2">
        <v>20</v>
      </c>
      <c r="P685" s="2">
        <v>3</v>
      </c>
    </row>
    <row r="686" spans="2:16" ht="21" hidden="1" x14ac:dyDescent="0.55000000000000004">
      <c r="B686" s="2" t="s">
        <v>1848</v>
      </c>
      <c r="C686" s="2" t="s">
        <v>1849</v>
      </c>
      <c r="D686" s="2" t="s">
        <v>14</v>
      </c>
      <c r="E686" s="2" t="s">
        <v>80</v>
      </c>
      <c r="F686" s="6" t="s">
        <v>85</v>
      </c>
      <c r="G686" s="10">
        <f t="shared" si="30"/>
        <v>2024</v>
      </c>
      <c r="H686" s="10">
        <f t="shared" si="31"/>
        <v>1</v>
      </c>
      <c r="I686" s="10">
        <f t="shared" si="32"/>
        <v>16</v>
      </c>
      <c r="J686" s="9" t="s">
        <v>1850</v>
      </c>
      <c r="K686" s="2" t="s">
        <v>91</v>
      </c>
      <c r="L686" s="2">
        <v>80.7</v>
      </c>
      <c r="M686" s="2" t="s">
        <v>65</v>
      </c>
      <c r="N686" s="2" t="s">
        <v>26</v>
      </c>
      <c r="O686" s="2">
        <v>87</v>
      </c>
      <c r="P686" s="2">
        <v>1</v>
      </c>
    </row>
    <row r="687" spans="2:16" ht="21" hidden="1" x14ac:dyDescent="0.55000000000000004">
      <c r="B687" s="2" t="s">
        <v>1851</v>
      </c>
      <c r="C687" s="2" t="s">
        <v>1852</v>
      </c>
      <c r="D687" s="2" t="s">
        <v>23</v>
      </c>
      <c r="E687" s="2" t="s">
        <v>125</v>
      </c>
      <c r="F687" s="6" t="s">
        <v>38</v>
      </c>
      <c r="G687" s="10">
        <f t="shared" si="30"/>
        <v>2024</v>
      </c>
      <c r="H687" s="10">
        <f t="shared" si="31"/>
        <v>1</v>
      </c>
      <c r="I687" s="10">
        <f t="shared" si="32"/>
        <v>11</v>
      </c>
      <c r="J687" s="9" t="s">
        <v>1636</v>
      </c>
      <c r="K687" s="2" t="s">
        <v>18</v>
      </c>
      <c r="L687" s="2">
        <v>108.59</v>
      </c>
      <c r="M687" s="2" t="s">
        <v>65</v>
      </c>
      <c r="N687" s="2" t="s">
        <v>20</v>
      </c>
      <c r="O687" s="2">
        <v>71</v>
      </c>
      <c r="P687" s="2"/>
    </row>
    <row r="688" spans="2:16" ht="21" hidden="1" x14ac:dyDescent="0.55000000000000004">
      <c r="B688" s="2" t="s">
        <v>1853</v>
      </c>
      <c r="C688" s="2" t="s">
        <v>1854</v>
      </c>
      <c r="D688" s="2" t="s">
        <v>73</v>
      </c>
      <c r="E688" s="2" t="s">
        <v>61</v>
      </c>
      <c r="F688" s="6" t="s">
        <v>46</v>
      </c>
      <c r="G688" s="10">
        <f t="shared" si="30"/>
        <v>2024</v>
      </c>
      <c r="H688" s="10">
        <f t="shared" si="31"/>
        <v>1</v>
      </c>
      <c r="I688" s="10">
        <f t="shared" si="32"/>
        <v>17</v>
      </c>
      <c r="J688" s="9" t="s">
        <v>1855</v>
      </c>
      <c r="K688" s="2" t="s">
        <v>57</v>
      </c>
      <c r="L688" s="2">
        <v>467.96</v>
      </c>
      <c r="M688" s="2" t="s">
        <v>65</v>
      </c>
      <c r="N688" s="2" t="s">
        <v>20</v>
      </c>
      <c r="O688" s="2">
        <v>65</v>
      </c>
      <c r="P688" s="2">
        <v>4</v>
      </c>
    </row>
    <row r="689" spans="2:16" ht="21" hidden="1" x14ac:dyDescent="0.55000000000000004">
      <c r="B689" s="2" t="s">
        <v>1856</v>
      </c>
      <c r="C689" s="2" t="s">
        <v>1857</v>
      </c>
      <c r="D689" s="2" t="s">
        <v>14</v>
      </c>
      <c r="E689" s="2" t="s">
        <v>80</v>
      </c>
      <c r="F689" s="6" t="s">
        <v>85</v>
      </c>
      <c r="G689" s="10">
        <f t="shared" si="30"/>
        <v>2024</v>
      </c>
      <c r="H689" s="10">
        <f t="shared" si="31"/>
        <v>1</v>
      </c>
      <c r="I689" s="10">
        <f t="shared" si="32"/>
        <v>16</v>
      </c>
      <c r="J689" s="9" t="s">
        <v>736</v>
      </c>
      <c r="K689" s="2" t="s">
        <v>57</v>
      </c>
      <c r="L689" s="2">
        <v>404.95</v>
      </c>
      <c r="M689" s="2" t="s">
        <v>122</v>
      </c>
      <c r="N689" s="2" t="s">
        <v>26</v>
      </c>
      <c r="O689" s="2">
        <v>73</v>
      </c>
      <c r="P689" s="2">
        <v>5</v>
      </c>
    </row>
    <row r="690" spans="2:16" ht="21" x14ac:dyDescent="0.55000000000000004">
      <c r="B690" s="2" t="s">
        <v>1858</v>
      </c>
      <c r="C690" s="2" t="s">
        <v>1859</v>
      </c>
      <c r="D690" s="2" t="s">
        <v>68</v>
      </c>
      <c r="E690" s="2" t="s">
        <v>54</v>
      </c>
      <c r="F690" s="6" t="s">
        <v>198</v>
      </c>
      <c r="G690" s="10">
        <f t="shared" si="30"/>
        <v>2024</v>
      </c>
      <c r="H690" s="10">
        <f t="shared" si="31"/>
        <v>1</v>
      </c>
      <c r="I690" s="10">
        <f t="shared" si="32"/>
        <v>4</v>
      </c>
      <c r="J690" s="9" t="s">
        <v>1238</v>
      </c>
      <c r="K690" s="2" t="s">
        <v>40</v>
      </c>
      <c r="L690" s="2">
        <v>340.96</v>
      </c>
      <c r="M690" s="2" t="s">
        <v>65</v>
      </c>
      <c r="N690" s="2" t="s">
        <v>50</v>
      </c>
      <c r="O690" s="2">
        <v>87</v>
      </c>
      <c r="P690" s="2">
        <v>4</v>
      </c>
    </row>
    <row r="691" spans="2:16" ht="21" hidden="1" x14ac:dyDescent="0.55000000000000004">
      <c r="B691" s="2" t="s">
        <v>1860</v>
      </c>
      <c r="C691" s="2" t="s">
        <v>1861</v>
      </c>
      <c r="D691" s="2" t="s">
        <v>60</v>
      </c>
      <c r="E691" s="2" t="s">
        <v>80</v>
      </c>
      <c r="F691" s="6" t="s">
        <v>144</v>
      </c>
      <c r="G691" s="10">
        <f t="shared" si="30"/>
        <v>2024</v>
      </c>
      <c r="H691" s="10">
        <f t="shared" si="31"/>
        <v>1</v>
      </c>
      <c r="I691" s="10">
        <f t="shared" si="32"/>
        <v>7</v>
      </c>
      <c r="J691" s="9" t="s">
        <v>1082</v>
      </c>
      <c r="K691" s="2" t="s">
        <v>57</v>
      </c>
      <c r="L691" s="2">
        <v>478.11</v>
      </c>
      <c r="M691" s="2" t="s">
        <v>122</v>
      </c>
      <c r="N691" s="2" t="s">
        <v>50</v>
      </c>
      <c r="O691" s="2">
        <v>31</v>
      </c>
      <c r="P691" s="2">
        <v>5</v>
      </c>
    </row>
    <row r="692" spans="2:16" ht="21" x14ac:dyDescent="0.55000000000000004">
      <c r="B692" s="2" t="s">
        <v>1862</v>
      </c>
      <c r="C692" s="2" t="s">
        <v>1863</v>
      </c>
      <c r="D692" s="2" t="s">
        <v>29</v>
      </c>
      <c r="E692" s="2" t="s">
        <v>54</v>
      </c>
      <c r="F692" s="6" t="s">
        <v>24</v>
      </c>
      <c r="G692" s="10">
        <f t="shared" si="30"/>
        <v>2024</v>
      </c>
      <c r="H692" s="10">
        <f t="shared" si="31"/>
        <v>1</v>
      </c>
      <c r="I692" s="10">
        <f t="shared" si="32"/>
        <v>21</v>
      </c>
      <c r="J692" s="9" t="s">
        <v>1864</v>
      </c>
      <c r="K692" s="2" t="s">
        <v>57</v>
      </c>
      <c r="L692" s="2">
        <v>498.65</v>
      </c>
      <c r="M692" s="2" t="s">
        <v>49</v>
      </c>
      <c r="N692" s="2" t="s">
        <v>50</v>
      </c>
      <c r="O692" s="2">
        <v>28</v>
      </c>
      <c r="P692" s="2">
        <v>5</v>
      </c>
    </row>
    <row r="693" spans="2:16" ht="21" hidden="1" x14ac:dyDescent="0.55000000000000004">
      <c r="B693" s="2" t="s">
        <v>1865</v>
      </c>
      <c r="C693" s="2" t="s">
        <v>1866</v>
      </c>
      <c r="D693" s="2" t="s">
        <v>117</v>
      </c>
      <c r="E693" s="2" t="s">
        <v>125</v>
      </c>
      <c r="F693" s="6" t="s">
        <v>272</v>
      </c>
      <c r="G693" s="10">
        <f t="shared" si="30"/>
        <v>2024</v>
      </c>
      <c r="H693" s="10">
        <f t="shared" si="31"/>
        <v>1</v>
      </c>
      <c r="I693" s="10">
        <f t="shared" si="32"/>
        <v>1</v>
      </c>
      <c r="J693" s="9" t="s">
        <v>920</v>
      </c>
      <c r="K693" s="2" t="s">
        <v>57</v>
      </c>
      <c r="L693" s="2">
        <v>150.19</v>
      </c>
      <c r="M693" s="2" t="s">
        <v>49</v>
      </c>
      <c r="N693" s="2" t="s">
        <v>20</v>
      </c>
      <c r="O693" s="2">
        <v>87</v>
      </c>
      <c r="P693" s="2">
        <v>1</v>
      </c>
    </row>
    <row r="694" spans="2:16" ht="21" hidden="1" x14ac:dyDescent="0.55000000000000004">
      <c r="B694" s="2" t="s">
        <v>1867</v>
      </c>
      <c r="C694" s="2" t="s">
        <v>1868</v>
      </c>
      <c r="D694" s="2" t="s">
        <v>117</v>
      </c>
      <c r="E694" s="2" t="s">
        <v>61</v>
      </c>
      <c r="F694" s="6" t="s">
        <v>257</v>
      </c>
      <c r="G694" s="10">
        <f t="shared" si="30"/>
        <v>2024</v>
      </c>
      <c r="H694" s="10">
        <f t="shared" si="31"/>
        <v>1</v>
      </c>
      <c r="I694" s="10">
        <f t="shared" si="32"/>
        <v>10</v>
      </c>
      <c r="J694" s="9" t="s">
        <v>1869</v>
      </c>
      <c r="K694" s="2" t="s">
        <v>57</v>
      </c>
      <c r="L694" s="2">
        <v>76.790000000000006</v>
      </c>
      <c r="M694" s="2" t="s">
        <v>49</v>
      </c>
      <c r="N694" s="2" t="s">
        <v>41</v>
      </c>
      <c r="O694" s="2">
        <v>83</v>
      </c>
      <c r="P694" s="2">
        <v>2</v>
      </c>
    </row>
    <row r="695" spans="2:16" ht="21" hidden="1" x14ac:dyDescent="0.55000000000000004">
      <c r="B695" s="2" t="s">
        <v>1870</v>
      </c>
      <c r="C695" s="2" t="s">
        <v>1871</v>
      </c>
      <c r="D695" s="2" t="s">
        <v>23</v>
      </c>
      <c r="E695" s="2" t="s">
        <v>61</v>
      </c>
      <c r="F695" s="6" t="s">
        <v>102</v>
      </c>
      <c r="G695" s="10">
        <f t="shared" si="30"/>
        <v>2024</v>
      </c>
      <c r="H695" s="10">
        <f t="shared" si="31"/>
        <v>1</v>
      </c>
      <c r="I695" s="10">
        <f t="shared" si="32"/>
        <v>26</v>
      </c>
      <c r="J695" s="9" t="s">
        <v>1872</v>
      </c>
      <c r="K695" s="2" t="s">
        <v>57</v>
      </c>
      <c r="L695" s="2">
        <v>113.78</v>
      </c>
      <c r="M695" s="2" t="s">
        <v>122</v>
      </c>
      <c r="N695" s="2" t="s">
        <v>41</v>
      </c>
      <c r="O695" s="2">
        <v>74</v>
      </c>
      <c r="P695" s="2">
        <v>2</v>
      </c>
    </row>
    <row r="696" spans="2:16" ht="21" hidden="1" x14ac:dyDescent="0.55000000000000004">
      <c r="B696" s="2" t="s">
        <v>1873</v>
      </c>
      <c r="C696" s="2" t="s">
        <v>1874</v>
      </c>
      <c r="D696" s="2" t="s">
        <v>117</v>
      </c>
      <c r="E696" s="2" t="s">
        <v>37</v>
      </c>
      <c r="F696" s="6" t="s">
        <v>69</v>
      </c>
      <c r="G696" s="10">
        <f t="shared" si="30"/>
        <v>2024</v>
      </c>
      <c r="H696" s="10">
        <f t="shared" si="31"/>
        <v>1</v>
      </c>
      <c r="I696" s="10">
        <f t="shared" si="32"/>
        <v>27</v>
      </c>
      <c r="J696" s="9" t="s">
        <v>1875</v>
      </c>
      <c r="K696" s="2" t="s">
        <v>18</v>
      </c>
      <c r="L696" s="2">
        <v>498.8</v>
      </c>
      <c r="M696" s="2" t="s">
        <v>19</v>
      </c>
      <c r="N696" s="2" t="s">
        <v>26</v>
      </c>
      <c r="O696" s="2">
        <v>65</v>
      </c>
      <c r="P696" s="2"/>
    </row>
    <row r="697" spans="2:16" ht="21" hidden="1" x14ac:dyDescent="0.55000000000000004">
      <c r="B697" s="2" t="s">
        <v>1876</v>
      </c>
      <c r="C697" s="2" t="s">
        <v>1877</v>
      </c>
      <c r="D697" s="2" t="s">
        <v>53</v>
      </c>
      <c r="E697" s="2" t="s">
        <v>37</v>
      </c>
      <c r="F697" s="6" t="s">
        <v>349</v>
      </c>
      <c r="G697" s="10">
        <f t="shared" si="30"/>
        <v>2024</v>
      </c>
      <c r="H697" s="10">
        <f t="shared" si="31"/>
        <v>1</v>
      </c>
      <c r="I697" s="10">
        <f t="shared" si="32"/>
        <v>12</v>
      </c>
      <c r="J697" s="9" t="s">
        <v>1229</v>
      </c>
      <c r="K697" s="2" t="s">
        <v>40</v>
      </c>
      <c r="L697" s="2">
        <v>212.45</v>
      </c>
      <c r="M697" s="2" t="s">
        <v>19</v>
      </c>
      <c r="N697" s="2" t="s">
        <v>20</v>
      </c>
      <c r="O697" s="2">
        <v>17</v>
      </c>
      <c r="P697" s="2">
        <v>4</v>
      </c>
    </row>
    <row r="698" spans="2:16" ht="21" hidden="1" x14ac:dyDescent="0.55000000000000004">
      <c r="B698" s="2" t="s">
        <v>1878</v>
      </c>
      <c r="C698" s="2" t="s">
        <v>1879</v>
      </c>
      <c r="D698" s="2" t="s">
        <v>44</v>
      </c>
      <c r="E698" s="2" t="s">
        <v>45</v>
      </c>
      <c r="F698" s="6" t="s">
        <v>75</v>
      </c>
      <c r="G698" s="10">
        <f t="shared" si="30"/>
        <v>2024</v>
      </c>
      <c r="H698" s="10">
        <f t="shared" si="31"/>
        <v>1</v>
      </c>
      <c r="I698" s="10">
        <f t="shared" si="32"/>
        <v>25</v>
      </c>
      <c r="J698" s="9" t="s">
        <v>1483</v>
      </c>
      <c r="K698" s="2" t="s">
        <v>48</v>
      </c>
      <c r="L698" s="2">
        <v>167.44</v>
      </c>
      <c r="M698" s="2" t="s">
        <v>65</v>
      </c>
      <c r="N698" s="2" t="s">
        <v>20</v>
      </c>
      <c r="O698" s="2">
        <v>63</v>
      </c>
      <c r="P698" s="2">
        <v>2</v>
      </c>
    </row>
    <row r="699" spans="2:16" ht="21" hidden="1" x14ac:dyDescent="0.55000000000000004">
      <c r="B699" s="2" t="s">
        <v>1880</v>
      </c>
      <c r="C699" s="2" t="s">
        <v>1881</v>
      </c>
      <c r="D699" s="2" t="s">
        <v>106</v>
      </c>
      <c r="E699" s="2" t="s">
        <v>37</v>
      </c>
      <c r="F699" s="6" t="s">
        <v>154</v>
      </c>
      <c r="G699" s="10">
        <f t="shared" si="30"/>
        <v>2024</v>
      </c>
      <c r="H699" s="10">
        <f t="shared" si="31"/>
        <v>1</v>
      </c>
      <c r="I699" s="10">
        <f t="shared" si="32"/>
        <v>22</v>
      </c>
      <c r="J699" s="9" t="s">
        <v>1882</v>
      </c>
      <c r="K699" s="2" t="s">
        <v>18</v>
      </c>
      <c r="L699" s="2">
        <v>298.97000000000003</v>
      </c>
      <c r="M699" s="2" t="s">
        <v>122</v>
      </c>
      <c r="N699" s="2" t="s">
        <v>50</v>
      </c>
      <c r="O699" s="2">
        <v>28</v>
      </c>
      <c r="P699" s="2"/>
    </row>
    <row r="700" spans="2:16" ht="21" hidden="1" x14ac:dyDescent="0.55000000000000004">
      <c r="B700" s="2" t="s">
        <v>1883</v>
      </c>
      <c r="C700" s="2" t="s">
        <v>1884</v>
      </c>
      <c r="D700" s="2" t="s">
        <v>23</v>
      </c>
      <c r="E700" s="2" t="s">
        <v>89</v>
      </c>
      <c r="F700" s="6" t="s">
        <v>97</v>
      </c>
      <c r="G700" s="10">
        <f t="shared" si="30"/>
        <v>2024</v>
      </c>
      <c r="H700" s="10">
        <f t="shared" si="31"/>
        <v>1</v>
      </c>
      <c r="I700" s="10">
        <f t="shared" si="32"/>
        <v>23</v>
      </c>
      <c r="J700" s="9" t="s">
        <v>1885</v>
      </c>
      <c r="K700" s="2" t="s">
        <v>91</v>
      </c>
      <c r="L700" s="2">
        <v>405.67</v>
      </c>
      <c r="M700" s="2" t="s">
        <v>65</v>
      </c>
      <c r="N700" s="2" t="s">
        <v>26</v>
      </c>
      <c r="O700" s="2">
        <v>59</v>
      </c>
      <c r="P700" s="2">
        <v>5</v>
      </c>
    </row>
    <row r="701" spans="2:16" ht="21" hidden="1" x14ac:dyDescent="0.55000000000000004">
      <c r="B701" s="2" t="s">
        <v>1886</v>
      </c>
      <c r="C701" s="2" t="s">
        <v>1887</v>
      </c>
      <c r="D701" s="2" t="s">
        <v>44</v>
      </c>
      <c r="E701" s="2" t="s">
        <v>125</v>
      </c>
      <c r="F701" s="6" t="s">
        <v>24</v>
      </c>
      <c r="G701" s="10">
        <f t="shared" si="30"/>
        <v>2024</v>
      </c>
      <c r="H701" s="10">
        <f t="shared" si="31"/>
        <v>1</v>
      </c>
      <c r="I701" s="10">
        <f t="shared" si="32"/>
        <v>21</v>
      </c>
      <c r="J701" s="9" t="s">
        <v>220</v>
      </c>
      <c r="K701" s="2" t="s">
        <v>64</v>
      </c>
      <c r="L701" s="2">
        <v>474.47</v>
      </c>
      <c r="M701" s="2" t="s">
        <v>122</v>
      </c>
      <c r="N701" s="2" t="s">
        <v>26</v>
      </c>
      <c r="O701" s="2">
        <v>38</v>
      </c>
      <c r="P701" s="2">
        <v>2</v>
      </c>
    </row>
    <row r="702" spans="2:16" ht="21" hidden="1" x14ac:dyDescent="0.55000000000000004">
      <c r="B702" s="2" t="s">
        <v>1888</v>
      </c>
      <c r="C702" s="2" t="s">
        <v>1889</v>
      </c>
      <c r="D702" s="2" t="s">
        <v>68</v>
      </c>
      <c r="E702" s="2" t="s">
        <v>15</v>
      </c>
      <c r="F702" s="6" t="s">
        <v>257</v>
      </c>
      <c r="G702" s="10">
        <f t="shared" si="30"/>
        <v>2024</v>
      </c>
      <c r="H702" s="10">
        <f t="shared" si="31"/>
        <v>1</v>
      </c>
      <c r="I702" s="10">
        <f t="shared" si="32"/>
        <v>10</v>
      </c>
      <c r="J702" s="9" t="s">
        <v>522</v>
      </c>
      <c r="K702" s="2" t="s">
        <v>77</v>
      </c>
      <c r="L702" s="2">
        <v>320.47000000000003</v>
      </c>
      <c r="M702" s="2" t="s">
        <v>65</v>
      </c>
      <c r="N702" s="2" t="s">
        <v>26</v>
      </c>
      <c r="O702" s="2">
        <v>73</v>
      </c>
      <c r="P702" s="2"/>
    </row>
    <row r="703" spans="2:16" ht="21" hidden="1" x14ac:dyDescent="0.55000000000000004">
      <c r="B703" s="2" t="s">
        <v>1890</v>
      </c>
      <c r="C703" s="2" t="s">
        <v>1891</v>
      </c>
      <c r="D703" s="2" t="s">
        <v>60</v>
      </c>
      <c r="E703" s="2" t="s">
        <v>37</v>
      </c>
      <c r="F703" s="6" t="s">
        <v>69</v>
      </c>
      <c r="G703" s="10">
        <f t="shared" si="30"/>
        <v>2024</v>
      </c>
      <c r="H703" s="10">
        <f t="shared" si="31"/>
        <v>1</v>
      </c>
      <c r="I703" s="10">
        <f t="shared" si="32"/>
        <v>27</v>
      </c>
      <c r="J703" s="9" t="s">
        <v>814</v>
      </c>
      <c r="K703" s="2" t="s">
        <v>91</v>
      </c>
      <c r="L703" s="2">
        <v>389.26</v>
      </c>
      <c r="M703" s="2" t="s">
        <v>122</v>
      </c>
      <c r="N703" s="2" t="s">
        <v>26</v>
      </c>
      <c r="O703" s="2">
        <v>22</v>
      </c>
      <c r="P703" s="2">
        <v>3</v>
      </c>
    </row>
    <row r="704" spans="2:16" ht="21" hidden="1" x14ac:dyDescent="0.55000000000000004">
      <c r="B704" s="2" t="s">
        <v>1892</v>
      </c>
      <c r="C704" s="2" t="s">
        <v>1893</v>
      </c>
      <c r="D704" s="2" t="s">
        <v>106</v>
      </c>
      <c r="E704" s="2" t="s">
        <v>89</v>
      </c>
      <c r="F704" s="6" t="s">
        <v>69</v>
      </c>
      <c r="G704" s="10">
        <f t="shared" si="30"/>
        <v>2024</v>
      </c>
      <c r="H704" s="10">
        <f t="shared" si="31"/>
        <v>1</v>
      </c>
      <c r="I704" s="10">
        <f t="shared" si="32"/>
        <v>27</v>
      </c>
      <c r="J704" s="9" t="s">
        <v>1366</v>
      </c>
      <c r="K704" s="2" t="s">
        <v>57</v>
      </c>
      <c r="L704" s="2">
        <v>108.26</v>
      </c>
      <c r="M704" s="2" t="s">
        <v>65</v>
      </c>
      <c r="N704" s="2" t="s">
        <v>20</v>
      </c>
      <c r="O704" s="2">
        <v>64</v>
      </c>
      <c r="P704" s="2"/>
    </row>
    <row r="705" spans="2:16" ht="21" hidden="1" x14ac:dyDescent="0.55000000000000004">
      <c r="B705" s="2" t="s">
        <v>1894</v>
      </c>
      <c r="C705" s="2" t="s">
        <v>1895</v>
      </c>
      <c r="D705" s="2" t="s">
        <v>68</v>
      </c>
      <c r="E705" s="2" t="s">
        <v>125</v>
      </c>
      <c r="F705" s="6" t="s">
        <v>144</v>
      </c>
      <c r="G705" s="10">
        <f t="shared" si="30"/>
        <v>2024</v>
      </c>
      <c r="H705" s="10">
        <f t="shared" si="31"/>
        <v>1</v>
      </c>
      <c r="I705" s="10">
        <f t="shared" si="32"/>
        <v>7</v>
      </c>
      <c r="J705" s="9" t="s">
        <v>739</v>
      </c>
      <c r="K705" s="2" t="s">
        <v>33</v>
      </c>
      <c r="L705" s="2">
        <v>219.51</v>
      </c>
      <c r="M705" s="2" t="s">
        <v>122</v>
      </c>
      <c r="N705" s="2" t="s">
        <v>20</v>
      </c>
      <c r="O705" s="2">
        <v>40</v>
      </c>
      <c r="P705" s="2">
        <v>3</v>
      </c>
    </row>
    <row r="706" spans="2:16" ht="21" hidden="1" x14ac:dyDescent="0.55000000000000004">
      <c r="B706" s="2" t="s">
        <v>1896</v>
      </c>
      <c r="C706" s="2" t="s">
        <v>1897</v>
      </c>
      <c r="D706" s="2" t="s">
        <v>68</v>
      </c>
      <c r="E706" s="2" t="s">
        <v>80</v>
      </c>
      <c r="F706" s="6" t="s">
        <v>16</v>
      </c>
      <c r="G706" s="10">
        <f t="shared" si="30"/>
        <v>2024</v>
      </c>
      <c r="H706" s="10">
        <f t="shared" si="31"/>
        <v>1</v>
      </c>
      <c r="I706" s="10">
        <f t="shared" si="32"/>
        <v>9</v>
      </c>
      <c r="J706" s="9" t="s">
        <v>94</v>
      </c>
      <c r="K706" s="2" t="s">
        <v>77</v>
      </c>
      <c r="L706" s="2">
        <v>118.3</v>
      </c>
      <c r="M706" s="2" t="s">
        <v>19</v>
      </c>
      <c r="N706" s="2" t="s">
        <v>26</v>
      </c>
      <c r="O706" s="2">
        <v>55</v>
      </c>
      <c r="P706" s="2">
        <v>1</v>
      </c>
    </row>
    <row r="707" spans="2:16" ht="21" hidden="1" x14ac:dyDescent="0.55000000000000004">
      <c r="B707" s="2" t="s">
        <v>1898</v>
      </c>
      <c r="C707" s="2" t="s">
        <v>1899</v>
      </c>
      <c r="D707" s="2" t="s">
        <v>68</v>
      </c>
      <c r="E707" s="2" t="s">
        <v>139</v>
      </c>
      <c r="F707" s="6" t="s">
        <v>132</v>
      </c>
      <c r="G707" s="10">
        <f t="shared" si="30"/>
        <v>2024</v>
      </c>
      <c r="H707" s="10">
        <f t="shared" si="31"/>
        <v>1</v>
      </c>
      <c r="I707" s="10">
        <f t="shared" si="32"/>
        <v>6</v>
      </c>
      <c r="J707" s="9" t="s">
        <v>1900</v>
      </c>
      <c r="K707" s="2" t="s">
        <v>18</v>
      </c>
      <c r="L707" s="2">
        <v>84.44</v>
      </c>
      <c r="M707" s="2" t="s">
        <v>122</v>
      </c>
      <c r="N707" s="2" t="s">
        <v>26</v>
      </c>
      <c r="O707" s="2">
        <v>27</v>
      </c>
      <c r="P707" s="2">
        <v>1</v>
      </c>
    </row>
    <row r="708" spans="2:16" ht="21" hidden="1" x14ac:dyDescent="0.55000000000000004">
      <c r="B708" s="2" t="s">
        <v>1901</v>
      </c>
      <c r="C708" s="2" t="s">
        <v>1902</v>
      </c>
      <c r="D708" s="2" t="s">
        <v>29</v>
      </c>
      <c r="E708" s="2" t="s">
        <v>74</v>
      </c>
      <c r="F708" s="6" t="s">
        <v>198</v>
      </c>
      <c r="G708" s="10">
        <f t="shared" ref="G708:G771" si="33">YEAR(F708)</f>
        <v>2024</v>
      </c>
      <c r="H708" s="10">
        <f t="shared" ref="H708:H771" si="34">MONTH(F708)</f>
        <v>1</v>
      </c>
      <c r="I708" s="10">
        <f t="shared" ref="I708:I771" si="35">DAY(F708)</f>
        <v>4</v>
      </c>
      <c r="J708" s="9" t="s">
        <v>1903</v>
      </c>
      <c r="K708" s="2" t="s">
        <v>48</v>
      </c>
      <c r="L708" s="2">
        <v>388.54</v>
      </c>
      <c r="M708" s="2" t="s">
        <v>122</v>
      </c>
      <c r="N708" s="2" t="s">
        <v>50</v>
      </c>
      <c r="O708" s="2">
        <v>88</v>
      </c>
      <c r="P708" s="2">
        <v>1</v>
      </c>
    </row>
    <row r="709" spans="2:16" ht="21" hidden="1" x14ac:dyDescent="0.55000000000000004">
      <c r="B709" s="2" t="s">
        <v>1904</v>
      </c>
      <c r="C709" s="2" t="s">
        <v>1905</v>
      </c>
      <c r="D709" s="2" t="s">
        <v>68</v>
      </c>
      <c r="E709" s="2" t="s">
        <v>45</v>
      </c>
      <c r="F709" s="6" t="s">
        <v>113</v>
      </c>
      <c r="G709" s="10">
        <f t="shared" si="33"/>
        <v>2024</v>
      </c>
      <c r="H709" s="10">
        <f t="shared" si="34"/>
        <v>1</v>
      </c>
      <c r="I709" s="10">
        <f t="shared" si="35"/>
        <v>15</v>
      </c>
      <c r="J709" s="9" t="s">
        <v>242</v>
      </c>
      <c r="K709" s="2" t="s">
        <v>48</v>
      </c>
      <c r="L709" s="2">
        <v>296.22000000000003</v>
      </c>
      <c r="M709" s="2" t="s">
        <v>122</v>
      </c>
      <c r="N709" s="2" t="s">
        <v>26</v>
      </c>
      <c r="O709" s="2">
        <v>30</v>
      </c>
      <c r="P709" s="2">
        <v>4</v>
      </c>
    </row>
    <row r="710" spans="2:16" ht="21" hidden="1" x14ac:dyDescent="0.55000000000000004">
      <c r="B710" s="2" t="s">
        <v>1906</v>
      </c>
      <c r="C710" s="2" t="s">
        <v>1907</v>
      </c>
      <c r="D710" s="2" t="s">
        <v>106</v>
      </c>
      <c r="E710" s="2" t="s">
        <v>61</v>
      </c>
      <c r="F710" s="6" t="s">
        <v>38</v>
      </c>
      <c r="G710" s="10">
        <f t="shared" si="33"/>
        <v>2024</v>
      </c>
      <c r="H710" s="10">
        <f t="shared" si="34"/>
        <v>1</v>
      </c>
      <c r="I710" s="10">
        <f t="shared" si="35"/>
        <v>11</v>
      </c>
      <c r="J710" s="9" t="s">
        <v>1663</v>
      </c>
      <c r="K710" s="2" t="s">
        <v>64</v>
      </c>
      <c r="L710" s="2">
        <v>57.67</v>
      </c>
      <c r="M710" s="2" t="s">
        <v>122</v>
      </c>
      <c r="N710" s="2" t="s">
        <v>26</v>
      </c>
      <c r="O710" s="2">
        <v>31</v>
      </c>
      <c r="P710" s="2">
        <v>5</v>
      </c>
    </row>
    <row r="711" spans="2:16" ht="21" hidden="1" x14ac:dyDescent="0.55000000000000004">
      <c r="B711" s="2" t="s">
        <v>1908</v>
      </c>
      <c r="C711" s="2" t="s">
        <v>1909</v>
      </c>
      <c r="D711" s="2" t="s">
        <v>23</v>
      </c>
      <c r="E711" s="2" t="s">
        <v>89</v>
      </c>
      <c r="F711" s="6" t="s">
        <v>113</v>
      </c>
      <c r="G711" s="10">
        <f t="shared" si="33"/>
        <v>2024</v>
      </c>
      <c r="H711" s="10">
        <f t="shared" si="34"/>
        <v>1</v>
      </c>
      <c r="I711" s="10">
        <f t="shared" si="35"/>
        <v>15</v>
      </c>
      <c r="J711" s="9" t="s">
        <v>350</v>
      </c>
      <c r="K711" s="2" t="s">
        <v>48</v>
      </c>
      <c r="L711" s="2">
        <v>289.58999999999997</v>
      </c>
      <c r="M711" s="2" t="s">
        <v>19</v>
      </c>
      <c r="N711" s="2" t="s">
        <v>41</v>
      </c>
      <c r="O711" s="2">
        <v>22</v>
      </c>
      <c r="P711" s="2">
        <v>2</v>
      </c>
    </row>
    <row r="712" spans="2:16" ht="21" hidden="1" x14ac:dyDescent="0.55000000000000004">
      <c r="B712" s="2" t="s">
        <v>1910</v>
      </c>
      <c r="C712" s="2" t="s">
        <v>1911</v>
      </c>
      <c r="D712" s="2" t="s">
        <v>106</v>
      </c>
      <c r="E712" s="2" t="s">
        <v>15</v>
      </c>
      <c r="F712" s="6" t="s">
        <v>132</v>
      </c>
      <c r="G712" s="10">
        <f t="shared" si="33"/>
        <v>2024</v>
      </c>
      <c r="H712" s="10">
        <f t="shared" si="34"/>
        <v>1</v>
      </c>
      <c r="I712" s="10">
        <f t="shared" si="35"/>
        <v>6</v>
      </c>
      <c r="J712" s="9" t="s">
        <v>1313</v>
      </c>
      <c r="K712" s="2" t="s">
        <v>40</v>
      </c>
      <c r="L712" s="2">
        <v>455.06</v>
      </c>
      <c r="M712" s="2" t="s">
        <v>65</v>
      </c>
      <c r="N712" s="2" t="s">
        <v>20</v>
      </c>
      <c r="O712" s="2">
        <v>84</v>
      </c>
      <c r="P712" s="2">
        <v>4</v>
      </c>
    </row>
    <row r="713" spans="2:16" ht="21" hidden="1" x14ac:dyDescent="0.55000000000000004">
      <c r="B713" s="2" t="s">
        <v>1912</v>
      </c>
      <c r="C713" s="2" t="s">
        <v>1913</v>
      </c>
      <c r="D713" s="2" t="s">
        <v>60</v>
      </c>
      <c r="E713" s="2" t="s">
        <v>139</v>
      </c>
      <c r="F713" s="6" t="s">
        <v>132</v>
      </c>
      <c r="G713" s="10">
        <f t="shared" si="33"/>
        <v>2024</v>
      </c>
      <c r="H713" s="10">
        <f t="shared" si="34"/>
        <v>1</v>
      </c>
      <c r="I713" s="10">
        <f t="shared" si="35"/>
        <v>6</v>
      </c>
      <c r="J713" s="9" t="s">
        <v>1269</v>
      </c>
      <c r="K713" s="2" t="s">
        <v>48</v>
      </c>
      <c r="L713" s="2">
        <v>176.71</v>
      </c>
      <c r="M713" s="2" t="s">
        <v>122</v>
      </c>
      <c r="N713" s="2" t="s">
        <v>41</v>
      </c>
      <c r="O713" s="2">
        <v>82</v>
      </c>
      <c r="P713" s="2">
        <v>3</v>
      </c>
    </row>
    <row r="714" spans="2:16" ht="21" hidden="1" x14ac:dyDescent="0.55000000000000004">
      <c r="B714" s="2" t="s">
        <v>1914</v>
      </c>
      <c r="C714" s="2" t="s">
        <v>1374</v>
      </c>
      <c r="D714" s="2" t="s">
        <v>53</v>
      </c>
      <c r="E714" s="2" t="s">
        <v>89</v>
      </c>
      <c r="F714" s="6" t="s">
        <v>16</v>
      </c>
      <c r="G714" s="10">
        <f t="shared" si="33"/>
        <v>2024</v>
      </c>
      <c r="H714" s="10">
        <f t="shared" si="34"/>
        <v>1</v>
      </c>
      <c r="I714" s="10">
        <f t="shared" si="35"/>
        <v>9</v>
      </c>
      <c r="J714" s="9" t="s">
        <v>920</v>
      </c>
      <c r="K714" s="2" t="s">
        <v>77</v>
      </c>
      <c r="L714" s="2">
        <v>403.16</v>
      </c>
      <c r="M714" s="2" t="s">
        <v>65</v>
      </c>
      <c r="N714" s="2" t="s">
        <v>26</v>
      </c>
      <c r="O714" s="2">
        <v>43</v>
      </c>
      <c r="P714" s="2">
        <v>5</v>
      </c>
    </row>
    <row r="715" spans="2:16" ht="21" hidden="1" x14ac:dyDescent="0.55000000000000004">
      <c r="B715" s="2" t="s">
        <v>1915</v>
      </c>
      <c r="C715" s="2" t="s">
        <v>1916</v>
      </c>
      <c r="D715" s="2" t="s">
        <v>106</v>
      </c>
      <c r="E715" s="2" t="s">
        <v>125</v>
      </c>
      <c r="F715" s="6" t="s">
        <v>55</v>
      </c>
      <c r="G715" s="10">
        <f t="shared" si="33"/>
        <v>2024</v>
      </c>
      <c r="H715" s="10">
        <f t="shared" si="34"/>
        <v>1</v>
      </c>
      <c r="I715" s="10">
        <f t="shared" si="35"/>
        <v>8</v>
      </c>
      <c r="J715" s="9" t="s">
        <v>440</v>
      </c>
      <c r="K715" s="2" t="s">
        <v>33</v>
      </c>
      <c r="L715" s="2">
        <v>324.79000000000002</v>
      </c>
      <c r="M715" s="2" t="s">
        <v>122</v>
      </c>
      <c r="N715" s="2" t="s">
        <v>50</v>
      </c>
      <c r="O715" s="2">
        <v>74</v>
      </c>
      <c r="P715" s="2"/>
    </row>
    <row r="716" spans="2:16" ht="21" hidden="1" x14ac:dyDescent="0.55000000000000004">
      <c r="B716" s="2" t="s">
        <v>1917</v>
      </c>
      <c r="C716" s="2" t="s">
        <v>1918</v>
      </c>
      <c r="D716" s="2" t="s">
        <v>44</v>
      </c>
      <c r="E716" s="2" t="s">
        <v>45</v>
      </c>
      <c r="F716" s="6" t="s">
        <v>161</v>
      </c>
      <c r="G716" s="10">
        <f t="shared" si="33"/>
        <v>2024</v>
      </c>
      <c r="H716" s="10">
        <f t="shared" si="34"/>
        <v>1</v>
      </c>
      <c r="I716" s="10">
        <f t="shared" si="35"/>
        <v>5</v>
      </c>
      <c r="J716" s="9" t="s">
        <v>857</v>
      </c>
      <c r="K716" s="2" t="s">
        <v>18</v>
      </c>
      <c r="L716" s="2">
        <v>432.51</v>
      </c>
      <c r="M716" s="2" t="s">
        <v>19</v>
      </c>
      <c r="N716" s="2" t="s">
        <v>50</v>
      </c>
      <c r="O716" s="2">
        <v>82</v>
      </c>
      <c r="P716" s="2">
        <v>4</v>
      </c>
    </row>
    <row r="717" spans="2:16" ht="21" hidden="1" x14ac:dyDescent="0.55000000000000004">
      <c r="B717" s="2" t="s">
        <v>1919</v>
      </c>
      <c r="C717" s="2" t="s">
        <v>1920</v>
      </c>
      <c r="D717" s="2" t="s">
        <v>117</v>
      </c>
      <c r="E717" s="2" t="s">
        <v>89</v>
      </c>
      <c r="F717" s="6" t="s">
        <v>257</v>
      </c>
      <c r="G717" s="10">
        <f t="shared" si="33"/>
        <v>2024</v>
      </c>
      <c r="H717" s="10">
        <f t="shared" si="34"/>
        <v>1</v>
      </c>
      <c r="I717" s="10">
        <f t="shared" si="35"/>
        <v>10</v>
      </c>
      <c r="J717" s="9" t="s">
        <v>1921</v>
      </c>
      <c r="K717" s="2" t="s">
        <v>40</v>
      </c>
      <c r="L717" s="2">
        <v>227.22</v>
      </c>
      <c r="M717" s="2" t="s">
        <v>19</v>
      </c>
      <c r="N717" s="2" t="s">
        <v>41</v>
      </c>
      <c r="O717" s="2">
        <v>19</v>
      </c>
      <c r="P717" s="2">
        <v>4</v>
      </c>
    </row>
    <row r="718" spans="2:16" ht="21" hidden="1" x14ac:dyDescent="0.55000000000000004">
      <c r="B718" s="2" t="s">
        <v>1922</v>
      </c>
      <c r="C718" s="2" t="s">
        <v>1923</v>
      </c>
      <c r="D718" s="2" t="s">
        <v>53</v>
      </c>
      <c r="E718" s="2" t="s">
        <v>45</v>
      </c>
      <c r="F718" s="6" t="s">
        <v>69</v>
      </c>
      <c r="G718" s="10">
        <f t="shared" si="33"/>
        <v>2024</v>
      </c>
      <c r="H718" s="10">
        <f t="shared" si="34"/>
        <v>1</v>
      </c>
      <c r="I718" s="10">
        <f t="shared" si="35"/>
        <v>27</v>
      </c>
      <c r="J718" s="9" t="s">
        <v>1483</v>
      </c>
      <c r="K718" s="2" t="s">
        <v>40</v>
      </c>
      <c r="L718" s="2">
        <v>215.19</v>
      </c>
      <c r="M718" s="2" t="s">
        <v>19</v>
      </c>
      <c r="N718" s="2" t="s">
        <v>26</v>
      </c>
      <c r="O718" s="2">
        <v>38</v>
      </c>
      <c r="P718" s="2">
        <v>2</v>
      </c>
    </row>
    <row r="719" spans="2:16" ht="21" hidden="1" x14ac:dyDescent="0.55000000000000004">
      <c r="B719" s="2" t="s">
        <v>1924</v>
      </c>
      <c r="C719" s="2" t="s">
        <v>1925</v>
      </c>
      <c r="D719" s="2" t="s">
        <v>23</v>
      </c>
      <c r="E719" s="2" t="s">
        <v>89</v>
      </c>
      <c r="F719" s="6" t="s">
        <v>473</v>
      </c>
      <c r="G719" s="10">
        <f t="shared" si="33"/>
        <v>2024</v>
      </c>
      <c r="H719" s="10">
        <f t="shared" si="34"/>
        <v>1</v>
      </c>
      <c r="I719" s="10">
        <f t="shared" si="35"/>
        <v>30</v>
      </c>
      <c r="J719" s="9" t="s">
        <v>1232</v>
      </c>
      <c r="K719" s="2" t="s">
        <v>77</v>
      </c>
      <c r="L719" s="2">
        <v>201.22</v>
      </c>
      <c r="M719" s="2" t="s">
        <v>65</v>
      </c>
      <c r="N719" s="2" t="s">
        <v>26</v>
      </c>
      <c r="O719" s="2">
        <v>54</v>
      </c>
      <c r="P719" s="2">
        <v>1</v>
      </c>
    </row>
    <row r="720" spans="2:16" ht="21" hidden="1" x14ac:dyDescent="0.55000000000000004">
      <c r="B720" s="2" t="s">
        <v>1926</v>
      </c>
      <c r="C720" s="2" t="s">
        <v>1927</v>
      </c>
      <c r="D720" s="2" t="s">
        <v>23</v>
      </c>
      <c r="E720" s="2" t="s">
        <v>80</v>
      </c>
      <c r="F720" s="6" t="s">
        <v>55</v>
      </c>
      <c r="G720" s="10">
        <f t="shared" si="33"/>
        <v>2024</v>
      </c>
      <c r="H720" s="10">
        <f t="shared" si="34"/>
        <v>1</v>
      </c>
      <c r="I720" s="10">
        <f t="shared" si="35"/>
        <v>8</v>
      </c>
      <c r="J720" s="9" t="s">
        <v>165</v>
      </c>
      <c r="K720" s="2" t="s">
        <v>91</v>
      </c>
      <c r="L720" s="2">
        <v>130.43</v>
      </c>
      <c r="M720" s="2" t="s">
        <v>65</v>
      </c>
      <c r="N720" s="2" t="s">
        <v>50</v>
      </c>
      <c r="O720" s="2">
        <v>35</v>
      </c>
      <c r="P720" s="2">
        <v>3</v>
      </c>
    </row>
    <row r="721" spans="2:16" ht="21" x14ac:dyDescent="0.55000000000000004">
      <c r="B721" s="2" t="s">
        <v>1928</v>
      </c>
      <c r="C721" s="2" t="s">
        <v>1929</v>
      </c>
      <c r="D721" s="2" t="s">
        <v>73</v>
      </c>
      <c r="E721" s="2" t="s">
        <v>54</v>
      </c>
      <c r="F721" s="6" t="s">
        <v>75</v>
      </c>
      <c r="G721" s="10">
        <f t="shared" si="33"/>
        <v>2024</v>
      </c>
      <c r="H721" s="10">
        <f t="shared" si="34"/>
        <v>1</v>
      </c>
      <c r="I721" s="10">
        <f t="shared" si="35"/>
        <v>25</v>
      </c>
      <c r="J721" s="9" t="s">
        <v>1930</v>
      </c>
      <c r="K721" s="2" t="s">
        <v>57</v>
      </c>
      <c r="L721" s="2">
        <v>395.59</v>
      </c>
      <c r="M721" s="2" t="s">
        <v>65</v>
      </c>
      <c r="N721" s="2" t="s">
        <v>26</v>
      </c>
      <c r="O721" s="2">
        <v>48</v>
      </c>
      <c r="P721" s="2">
        <v>1</v>
      </c>
    </row>
    <row r="722" spans="2:16" ht="21" hidden="1" x14ac:dyDescent="0.55000000000000004">
      <c r="B722" s="2" t="s">
        <v>1931</v>
      </c>
      <c r="C722" s="2" t="s">
        <v>1932</v>
      </c>
      <c r="D722" s="2" t="s">
        <v>14</v>
      </c>
      <c r="E722" s="2" t="s">
        <v>80</v>
      </c>
      <c r="F722" s="6" t="s">
        <v>31</v>
      </c>
      <c r="G722" s="10">
        <f t="shared" si="33"/>
        <v>2024</v>
      </c>
      <c r="H722" s="10">
        <f t="shared" si="34"/>
        <v>1</v>
      </c>
      <c r="I722" s="10">
        <f t="shared" si="35"/>
        <v>14</v>
      </c>
      <c r="J722" s="9" t="s">
        <v>1933</v>
      </c>
      <c r="K722" s="2" t="s">
        <v>57</v>
      </c>
      <c r="L722" s="2">
        <v>175.99</v>
      </c>
      <c r="M722" s="2" t="s">
        <v>65</v>
      </c>
      <c r="N722" s="2" t="s">
        <v>50</v>
      </c>
      <c r="O722" s="2">
        <v>80</v>
      </c>
      <c r="P722" s="2">
        <v>3</v>
      </c>
    </row>
    <row r="723" spans="2:16" ht="21" hidden="1" x14ac:dyDescent="0.55000000000000004">
      <c r="B723" s="2" t="s">
        <v>1934</v>
      </c>
      <c r="C723" s="2" t="s">
        <v>1935</v>
      </c>
      <c r="D723" s="2" t="s">
        <v>23</v>
      </c>
      <c r="E723" s="2" t="s">
        <v>15</v>
      </c>
      <c r="F723" s="6" t="s">
        <v>75</v>
      </c>
      <c r="G723" s="10">
        <f t="shared" si="33"/>
        <v>2024</v>
      </c>
      <c r="H723" s="10">
        <f t="shared" si="34"/>
        <v>1</v>
      </c>
      <c r="I723" s="10">
        <f t="shared" si="35"/>
        <v>25</v>
      </c>
      <c r="J723" s="9" t="s">
        <v>1936</v>
      </c>
      <c r="K723" s="2" t="s">
        <v>33</v>
      </c>
      <c r="L723" s="2">
        <v>326.83999999999997</v>
      </c>
      <c r="M723" s="2" t="s">
        <v>65</v>
      </c>
      <c r="N723" s="2" t="s">
        <v>26</v>
      </c>
      <c r="O723" s="2">
        <v>25</v>
      </c>
      <c r="P723" s="2">
        <v>2</v>
      </c>
    </row>
    <row r="724" spans="2:16" ht="21" hidden="1" x14ac:dyDescent="0.55000000000000004">
      <c r="B724" s="2" t="s">
        <v>1937</v>
      </c>
      <c r="C724" s="2" t="s">
        <v>1938</v>
      </c>
      <c r="D724" s="2" t="s">
        <v>60</v>
      </c>
      <c r="E724" s="2" t="s">
        <v>125</v>
      </c>
      <c r="F724" s="6" t="s">
        <v>16</v>
      </c>
      <c r="G724" s="10">
        <f t="shared" si="33"/>
        <v>2024</v>
      </c>
      <c r="H724" s="10">
        <f t="shared" si="34"/>
        <v>1</v>
      </c>
      <c r="I724" s="10">
        <f t="shared" si="35"/>
        <v>9</v>
      </c>
      <c r="J724" s="9" t="s">
        <v>936</v>
      </c>
      <c r="K724" s="2" t="s">
        <v>57</v>
      </c>
      <c r="L724" s="2">
        <v>209.29</v>
      </c>
      <c r="M724" s="2" t="s">
        <v>49</v>
      </c>
      <c r="N724" s="2" t="s">
        <v>20</v>
      </c>
      <c r="O724" s="2">
        <v>32</v>
      </c>
      <c r="P724" s="2">
        <v>4</v>
      </c>
    </row>
    <row r="725" spans="2:16" ht="21" hidden="1" x14ac:dyDescent="0.55000000000000004">
      <c r="B725" s="2" t="s">
        <v>1939</v>
      </c>
      <c r="C725" s="2" t="s">
        <v>1940</v>
      </c>
      <c r="D725" s="2" t="s">
        <v>73</v>
      </c>
      <c r="E725" s="2" t="s">
        <v>45</v>
      </c>
      <c r="F725" s="6" t="s">
        <v>102</v>
      </c>
      <c r="G725" s="10">
        <f t="shared" si="33"/>
        <v>2024</v>
      </c>
      <c r="H725" s="10">
        <f t="shared" si="34"/>
        <v>1</v>
      </c>
      <c r="I725" s="10">
        <f t="shared" si="35"/>
        <v>26</v>
      </c>
      <c r="J725" s="9" t="s">
        <v>1941</v>
      </c>
      <c r="K725" s="2" t="s">
        <v>33</v>
      </c>
      <c r="L725" s="2">
        <v>467.04</v>
      </c>
      <c r="M725" s="2" t="s">
        <v>122</v>
      </c>
      <c r="N725" s="2" t="s">
        <v>41</v>
      </c>
      <c r="O725" s="2">
        <v>16</v>
      </c>
      <c r="P725" s="2">
        <v>4</v>
      </c>
    </row>
    <row r="726" spans="2:16" ht="21" hidden="1" x14ac:dyDescent="0.55000000000000004">
      <c r="B726" s="2" t="s">
        <v>1942</v>
      </c>
      <c r="C726" s="2" t="s">
        <v>1943</v>
      </c>
      <c r="D726" s="2" t="s">
        <v>60</v>
      </c>
      <c r="E726" s="2" t="s">
        <v>125</v>
      </c>
      <c r="F726" s="6" t="s">
        <v>38</v>
      </c>
      <c r="G726" s="10">
        <f t="shared" si="33"/>
        <v>2024</v>
      </c>
      <c r="H726" s="10">
        <f t="shared" si="34"/>
        <v>1</v>
      </c>
      <c r="I726" s="10">
        <f t="shared" si="35"/>
        <v>11</v>
      </c>
      <c r="J726" s="9" t="s">
        <v>1815</v>
      </c>
      <c r="K726" s="2" t="s">
        <v>77</v>
      </c>
      <c r="L726" s="2">
        <v>145.66</v>
      </c>
      <c r="M726" s="2" t="s">
        <v>65</v>
      </c>
      <c r="N726" s="2" t="s">
        <v>50</v>
      </c>
      <c r="O726" s="2">
        <v>42</v>
      </c>
      <c r="P726" s="2"/>
    </row>
    <row r="727" spans="2:16" ht="21" hidden="1" x14ac:dyDescent="0.55000000000000004">
      <c r="B727" s="2" t="s">
        <v>1944</v>
      </c>
      <c r="C727" s="2" t="s">
        <v>1945</v>
      </c>
      <c r="D727" s="2" t="s">
        <v>117</v>
      </c>
      <c r="E727" s="2" t="s">
        <v>15</v>
      </c>
      <c r="F727" s="6" t="s">
        <v>118</v>
      </c>
      <c r="G727" s="10">
        <f t="shared" si="33"/>
        <v>2024</v>
      </c>
      <c r="H727" s="10">
        <f t="shared" si="34"/>
        <v>1</v>
      </c>
      <c r="I727" s="10">
        <f t="shared" si="35"/>
        <v>24</v>
      </c>
      <c r="J727" s="9" t="s">
        <v>1310</v>
      </c>
      <c r="K727" s="2" t="s">
        <v>40</v>
      </c>
      <c r="L727" s="2">
        <v>414.72</v>
      </c>
      <c r="M727" s="2" t="s">
        <v>65</v>
      </c>
      <c r="N727" s="2" t="s">
        <v>20</v>
      </c>
      <c r="O727" s="2">
        <v>39</v>
      </c>
      <c r="P727" s="2">
        <v>5</v>
      </c>
    </row>
    <row r="728" spans="2:16" ht="21" hidden="1" x14ac:dyDescent="0.55000000000000004">
      <c r="B728" s="2" t="s">
        <v>1946</v>
      </c>
      <c r="C728" s="2" t="s">
        <v>1947</v>
      </c>
      <c r="D728" s="2" t="s">
        <v>68</v>
      </c>
      <c r="E728" s="2" t="s">
        <v>89</v>
      </c>
      <c r="F728" s="6" t="s">
        <v>343</v>
      </c>
      <c r="G728" s="10">
        <f t="shared" si="33"/>
        <v>2024</v>
      </c>
      <c r="H728" s="10">
        <f t="shared" si="34"/>
        <v>1</v>
      </c>
      <c r="I728" s="10">
        <f t="shared" si="35"/>
        <v>13</v>
      </c>
      <c r="J728" s="9" t="s">
        <v>1948</v>
      </c>
      <c r="K728" s="2" t="s">
        <v>64</v>
      </c>
      <c r="L728" s="2">
        <v>160.63</v>
      </c>
      <c r="M728" s="2" t="s">
        <v>49</v>
      </c>
      <c r="N728" s="2" t="s">
        <v>41</v>
      </c>
      <c r="O728" s="2">
        <v>35</v>
      </c>
      <c r="P728" s="2">
        <v>4</v>
      </c>
    </row>
    <row r="729" spans="2:16" ht="21" hidden="1" x14ac:dyDescent="0.55000000000000004">
      <c r="B729" s="2" t="s">
        <v>1949</v>
      </c>
      <c r="C729" s="2" t="s">
        <v>1950</v>
      </c>
      <c r="D729" s="2" t="s">
        <v>60</v>
      </c>
      <c r="E729" s="2" t="s">
        <v>89</v>
      </c>
      <c r="F729" s="6" t="s">
        <v>62</v>
      </c>
      <c r="G729" s="10">
        <f t="shared" si="33"/>
        <v>2024</v>
      </c>
      <c r="H729" s="10">
        <f t="shared" si="34"/>
        <v>1</v>
      </c>
      <c r="I729" s="10">
        <f t="shared" si="35"/>
        <v>31</v>
      </c>
      <c r="J729" s="9" t="s">
        <v>1951</v>
      </c>
      <c r="K729" s="2" t="s">
        <v>40</v>
      </c>
      <c r="L729" s="2">
        <v>309.43</v>
      </c>
      <c r="M729" s="2" t="s">
        <v>19</v>
      </c>
      <c r="N729" s="2" t="s">
        <v>41</v>
      </c>
      <c r="O729" s="2">
        <v>65</v>
      </c>
      <c r="P729" s="2">
        <v>1</v>
      </c>
    </row>
    <row r="730" spans="2:16" ht="21" hidden="1" x14ac:dyDescent="0.55000000000000004">
      <c r="B730" s="2" t="s">
        <v>1952</v>
      </c>
      <c r="C730" s="2" t="s">
        <v>1953</v>
      </c>
      <c r="D730" s="2" t="s">
        <v>44</v>
      </c>
      <c r="E730" s="2" t="s">
        <v>139</v>
      </c>
      <c r="F730" s="6" t="s">
        <v>81</v>
      </c>
      <c r="G730" s="10">
        <f t="shared" si="33"/>
        <v>2024</v>
      </c>
      <c r="H730" s="10">
        <f t="shared" si="34"/>
        <v>1</v>
      </c>
      <c r="I730" s="10">
        <f t="shared" si="35"/>
        <v>18</v>
      </c>
      <c r="J730" s="9" t="s">
        <v>1954</v>
      </c>
      <c r="K730" s="2" t="s">
        <v>40</v>
      </c>
      <c r="L730" s="2">
        <v>242.41</v>
      </c>
      <c r="M730" s="2" t="s">
        <v>19</v>
      </c>
      <c r="N730" s="2" t="s">
        <v>26</v>
      </c>
      <c r="O730" s="2">
        <v>88</v>
      </c>
      <c r="P730" s="2">
        <v>3</v>
      </c>
    </row>
    <row r="731" spans="2:16" ht="21" x14ac:dyDescent="0.55000000000000004">
      <c r="B731" s="2" t="s">
        <v>1955</v>
      </c>
      <c r="C731" s="2" t="s">
        <v>1956</v>
      </c>
      <c r="D731" s="2" t="s">
        <v>29</v>
      </c>
      <c r="E731" s="2" t="s">
        <v>54</v>
      </c>
      <c r="F731" s="6" t="s">
        <v>62</v>
      </c>
      <c r="G731" s="10">
        <f t="shared" si="33"/>
        <v>2024</v>
      </c>
      <c r="H731" s="10">
        <f t="shared" si="34"/>
        <v>1</v>
      </c>
      <c r="I731" s="10">
        <f t="shared" si="35"/>
        <v>31</v>
      </c>
      <c r="J731" s="9" t="s">
        <v>1582</v>
      </c>
      <c r="K731" s="2" t="s">
        <v>91</v>
      </c>
      <c r="L731" s="2">
        <v>72.62</v>
      </c>
      <c r="M731" s="2" t="s">
        <v>19</v>
      </c>
      <c r="N731" s="2" t="s">
        <v>20</v>
      </c>
      <c r="O731" s="2">
        <v>81</v>
      </c>
      <c r="P731" s="2"/>
    </row>
    <row r="732" spans="2:16" ht="21" hidden="1" x14ac:dyDescent="0.55000000000000004">
      <c r="B732" s="2" t="s">
        <v>1957</v>
      </c>
      <c r="C732" s="2" t="s">
        <v>1958</v>
      </c>
      <c r="D732" s="2" t="s">
        <v>29</v>
      </c>
      <c r="E732" s="2" t="s">
        <v>139</v>
      </c>
      <c r="F732" s="6" t="s">
        <v>302</v>
      </c>
      <c r="G732" s="10">
        <f t="shared" si="33"/>
        <v>2024</v>
      </c>
      <c r="H732" s="10">
        <f t="shared" si="34"/>
        <v>1</v>
      </c>
      <c r="I732" s="10">
        <f t="shared" si="35"/>
        <v>2</v>
      </c>
      <c r="J732" s="9" t="s">
        <v>1959</v>
      </c>
      <c r="K732" s="2" t="s">
        <v>40</v>
      </c>
      <c r="L732" s="2">
        <v>223.1</v>
      </c>
      <c r="M732" s="2" t="s">
        <v>122</v>
      </c>
      <c r="N732" s="2" t="s">
        <v>50</v>
      </c>
      <c r="O732" s="2">
        <v>51</v>
      </c>
      <c r="P732" s="2">
        <v>2</v>
      </c>
    </row>
    <row r="733" spans="2:16" ht="21" hidden="1" x14ac:dyDescent="0.55000000000000004">
      <c r="B733" s="2" t="s">
        <v>1960</v>
      </c>
      <c r="C733" s="2" t="s">
        <v>1961</v>
      </c>
      <c r="D733" s="2" t="s">
        <v>60</v>
      </c>
      <c r="E733" s="2" t="s">
        <v>89</v>
      </c>
      <c r="F733" s="6" t="s">
        <v>24</v>
      </c>
      <c r="G733" s="10">
        <f t="shared" si="33"/>
        <v>2024</v>
      </c>
      <c r="H733" s="10">
        <f t="shared" si="34"/>
        <v>1</v>
      </c>
      <c r="I733" s="10">
        <f t="shared" si="35"/>
        <v>21</v>
      </c>
      <c r="J733" s="9" t="s">
        <v>824</v>
      </c>
      <c r="K733" s="2" t="s">
        <v>40</v>
      </c>
      <c r="L733" s="2">
        <v>405.52</v>
      </c>
      <c r="M733" s="2" t="s">
        <v>19</v>
      </c>
      <c r="N733" s="2" t="s">
        <v>41</v>
      </c>
      <c r="O733" s="2">
        <v>22</v>
      </c>
      <c r="P733" s="2">
        <v>3</v>
      </c>
    </row>
    <row r="734" spans="2:16" ht="21" x14ac:dyDescent="0.55000000000000004">
      <c r="B734" s="2" t="s">
        <v>1962</v>
      </c>
      <c r="C734" s="2" t="s">
        <v>1963</v>
      </c>
      <c r="D734" s="2" t="s">
        <v>117</v>
      </c>
      <c r="E734" s="2" t="s">
        <v>54</v>
      </c>
      <c r="F734" s="6" t="s">
        <v>161</v>
      </c>
      <c r="G734" s="10">
        <f t="shared" si="33"/>
        <v>2024</v>
      </c>
      <c r="H734" s="10">
        <f t="shared" si="34"/>
        <v>1</v>
      </c>
      <c r="I734" s="10">
        <f t="shared" si="35"/>
        <v>5</v>
      </c>
      <c r="J734" s="9" t="s">
        <v>1031</v>
      </c>
      <c r="K734" s="2" t="s">
        <v>48</v>
      </c>
      <c r="L734" s="2">
        <v>236.15</v>
      </c>
      <c r="M734" s="2" t="s">
        <v>122</v>
      </c>
      <c r="N734" s="2" t="s">
        <v>50</v>
      </c>
      <c r="O734" s="2">
        <v>34</v>
      </c>
      <c r="P734" s="2">
        <v>4</v>
      </c>
    </row>
    <row r="735" spans="2:16" ht="21" hidden="1" x14ac:dyDescent="0.55000000000000004">
      <c r="B735" s="2" t="s">
        <v>1964</v>
      </c>
      <c r="C735" s="2" t="s">
        <v>1965</v>
      </c>
      <c r="D735" s="2" t="s">
        <v>68</v>
      </c>
      <c r="E735" s="2" t="s">
        <v>45</v>
      </c>
      <c r="F735" s="6" t="s">
        <v>140</v>
      </c>
      <c r="G735" s="10">
        <f t="shared" si="33"/>
        <v>2024</v>
      </c>
      <c r="H735" s="10">
        <f t="shared" si="34"/>
        <v>1</v>
      </c>
      <c r="I735" s="10">
        <f t="shared" si="35"/>
        <v>29</v>
      </c>
      <c r="J735" s="9" t="s">
        <v>1966</v>
      </c>
      <c r="K735" s="2" t="s">
        <v>64</v>
      </c>
      <c r="L735" s="2">
        <v>361.87</v>
      </c>
      <c r="M735" s="2" t="s">
        <v>122</v>
      </c>
      <c r="N735" s="2" t="s">
        <v>26</v>
      </c>
      <c r="O735" s="2">
        <v>57</v>
      </c>
      <c r="P735" s="2">
        <v>4</v>
      </c>
    </row>
    <row r="736" spans="2:16" ht="21" hidden="1" x14ac:dyDescent="0.55000000000000004">
      <c r="B736" s="2" t="s">
        <v>1967</v>
      </c>
      <c r="C736" s="2" t="s">
        <v>1968</v>
      </c>
      <c r="D736" s="2" t="s">
        <v>73</v>
      </c>
      <c r="E736" s="2" t="s">
        <v>89</v>
      </c>
      <c r="F736" s="6" t="s">
        <v>75</v>
      </c>
      <c r="G736" s="10">
        <f t="shared" si="33"/>
        <v>2024</v>
      </c>
      <c r="H736" s="10">
        <f t="shared" si="34"/>
        <v>1</v>
      </c>
      <c r="I736" s="10">
        <f t="shared" si="35"/>
        <v>25</v>
      </c>
      <c r="J736" s="9" t="s">
        <v>1969</v>
      </c>
      <c r="K736" s="2" t="s">
        <v>40</v>
      </c>
      <c r="L736" s="2">
        <v>109.22</v>
      </c>
      <c r="M736" s="2" t="s">
        <v>19</v>
      </c>
      <c r="N736" s="2" t="s">
        <v>20</v>
      </c>
      <c r="O736" s="2">
        <v>22</v>
      </c>
      <c r="P736" s="2">
        <v>1</v>
      </c>
    </row>
    <row r="737" spans="2:16" ht="21" hidden="1" x14ac:dyDescent="0.55000000000000004">
      <c r="B737" s="2" t="s">
        <v>1970</v>
      </c>
      <c r="C737" s="2" t="s">
        <v>1971</v>
      </c>
      <c r="D737" s="2" t="s">
        <v>23</v>
      </c>
      <c r="E737" s="2" t="s">
        <v>45</v>
      </c>
      <c r="F737" s="6" t="s">
        <v>257</v>
      </c>
      <c r="G737" s="10">
        <f t="shared" si="33"/>
        <v>2024</v>
      </c>
      <c r="H737" s="10">
        <f t="shared" si="34"/>
        <v>1</v>
      </c>
      <c r="I737" s="10">
        <f t="shared" si="35"/>
        <v>10</v>
      </c>
      <c r="J737" s="9" t="s">
        <v>1649</v>
      </c>
      <c r="K737" s="2" t="s">
        <v>57</v>
      </c>
      <c r="L737" s="2">
        <v>137.86000000000001</v>
      </c>
      <c r="M737" s="2" t="s">
        <v>65</v>
      </c>
      <c r="N737" s="2" t="s">
        <v>26</v>
      </c>
      <c r="O737" s="2">
        <v>73</v>
      </c>
      <c r="P737" s="2">
        <v>3</v>
      </c>
    </row>
    <row r="738" spans="2:16" ht="21" hidden="1" x14ac:dyDescent="0.55000000000000004">
      <c r="B738" s="2" t="s">
        <v>1972</v>
      </c>
      <c r="C738" s="2" t="s">
        <v>1973</v>
      </c>
      <c r="D738" s="2" t="s">
        <v>29</v>
      </c>
      <c r="E738" s="2" t="s">
        <v>89</v>
      </c>
      <c r="F738" s="6" t="s">
        <v>161</v>
      </c>
      <c r="G738" s="10">
        <f t="shared" si="33"/>
        <v>2024</v>
      </c>
      <c r="H738" s="10">
        <f t="shared" si="34"/>
        <v>1</v>
      </c>
      <c r="I738" s="10">
        <f t="shared" si="35"/>
        <v>5</v>
      </c>
      <c r="J738" s="9" t="s">
        <v>730</v>
      </c>
      <c r="K738" s="2" t="s">
        <v>64</v>
      </c>
      <c r="L738" s="2">
        <v>458.07</v>
      </c>
      <c r="M738" s="2" t="s">
        <v>65</v>
      </c>
      <c r="N738" s="2" t="s">
        <v>26</v>
      </c>
      <c r="O738" s="2">
        <v>83</v>
      </c>
      <c r="P738" s="2">
        <v>5</v>
      </c>
    </row>
    <row r="739" spans="2:16" ht="21" hidden="1" x14ac:dyDescent="0.55000000000000004">
      <c r="B739" s="2" t="s">
        <v>1974</v>
      </c>
      <c r="C739" s="2" t="s">
        <v>1975</v>
      </c>
      <c r="D739" s="2" t="s">
        <v>23</v>
      </c>
      <c r="E739" s="2" t="s">
        <v>61</v>
      </c>
      <c r="F739" s="6" t="s">
        <v>46</v>
      </c>
      <c r="G739" s="10">
        <f t="shared" si="33"/>
        <v>2024</v>
      </c>
      <c r="H739" s="10">
        <f t="shared" si="34"/>
        <v>1</v>
      </c>
      <c r="I739" s="10">
        <f t="shared" si="35"/>
        <v>17</v>
      </c>
      <c r="J739" s="9" t="s">
        <v>1412</v>
      </c>
      <c r="K739" s="2" t="s">
        <v>33</v>
      </c>
      <c r="L739" s="2">
        <v>130.25</v>
      </c>
      <c r="M739" s="2" t="s">
        <v>19</v>
      </c>
      <c r="N739" s="2" t="s">
        <v>20</v>
      </c>
      <c r="O739" s="2">
        <v>49</v>
      </c>
      <c r="P739" s="2">
        <v>5</v>
      </c>
    </row>
    <row r="740" spans="2:16" ht="21" hidden="1" x14ac:dyDescent="0.55000000000000004">
      <c r="B740" s="2" t="s">
        <v>1976</v>
      </c>
      <c r="C740" s="2" t="s">
        <v>1977</v>
      </c>
      <c r="D740" s="2" t="s">
        <v>14</v>
      </c>
      <c r="E740" s="2" t="s">
        <v>80</v>
      </c>
      <c r="F740" s="6" t="s">
        <v>69</v>
      </c>
      <c r="G740" s="10">
        <f t="shared" si="33"/>
        <v>2024</v>
      </c>
      <c r="H740" s="10">
        <f t="shared" si="34"/>
        <v>1</v>
      </c>
      <c r="I740" s="10">
        <f t="shared" si="35"/>
        <v>27</v>
      </c>
      <c r="J740" s="9" t="s">
        <v>779</v>
      </c>
      <c r="K740" s="2" t="s">
        <v>64</v>
      </c>
      <c r="L740" s="2">
        <v>107.24</v>
      </c>
      <c r="M740" s="2" t="s">
        <v>122</v>
      </c>
      <c r="N740" s="2" t="s">
        <v>26</v>
      </c>
      <c r="O740" s="2">
        <v>45</v>
      </c>
      <c r="P740" s="2"/>
    </row>
    <row r="741" spans="2:16" ht="21" hidden="1" x14ac:dyDescent="0.55000000000000004">
      <c r="B741" s="2" t="s">
        <v>1978</v>
      </c>
      <c r="C741" s="2" t="s">
        <v>1979</v>
      </c>
      <c r="D741" s="2" t="s">
        <v>44</v>
      </c>
      <c r="E741" s="2" t="s">
        <v>125</v>
      </c>
      <c r="F741" s="6" t="s">
        <v>129</v>
      </c>
      <c r="G741" s="10">
        <f t="shared" si="33"/>
        <v>2024</v>
      </c>
      <c r="H741" s="10">
        <f t="shared" si="34"/>
        <v>1</v>
      </c>
      <c r="I741" s="10">
        <f t="shared" si="35"/>
        <v>19</v>
      </c>
      <c r="J741" s="9" t="s">
        <v>854</v>
      </c>
      <c r="K741" s="2" t="s">
        <v>57</v>
      </c>
      <c r="L741" s="2">
        <v>476.45</v>
      </c>
      <c r="M741" s="2" t="s">
        <v>65</v>
      </c>
      <c r="N741" s="2" t="s">
        <v>41</v>
      </c>
      <c r="O741" s="2">
        <v>82</v>
      </c>
      <c r="P741" s="2"/>
    </row>
    <row r="742" spans="2:16" ht="21" hidden="1" x14ac:dyDescent="0.55000000000000004">
      <c r="B742" s="2" t="s">
        <v>1980</v>
      </c>
      <c r="C742" s="2" t="s">
        <v>1981</v>
      </c>
      <c r="D742" s="2" t="s">
        <v>44</v>
      </c>
      <c r="E742" s="2" t="s">
        <v>15</v>
      </c>
      <c r="F742" s="6" t="s">
        <v>97</v>
      </c>
      <c r="G742" s="10">
        <f t="shared" si="33"/>
        <v>2024</v>
      </c>
      <c r="H742" s="10">
        <f t="shared" si="34"/>
        <v>1</v>
      </c>
      <c r="I742" s="10">
        <f t="shared" si="35"/>
        <v>23</v>
      </c>
      <c r="J742" s="9" t="s">
        <v>1982</v>
      </c>
      <c r="K742" s="2" t="s">
        <v>77</v>
      </c>
      <c r="L742" s="2">
        <v>265.74</v>
      </c>
      <c r="M742" s="2" t="s">
        <v>49</v>
      </c>
      <c r="N742" s="2" t="s">
        <v>41</v>
      </c>
      <c r="O742" s="2">
        <v>64</v>
      </c>
      <c r="P742" s="2">
        <v>3</v>
      </c>
    </row>
    <row r="743" spans="2:16" ht="21" x14ac:dyDescent="0.55000000000000004">
      <c r="B743" s="2" t="s">
        <v>1983</v>
      </c>
      <c r="C743" s="2" t="s">
        <v>1854</v>
      </c>
      <c r="D743" s="2" t="s">
        <v>44</v>
      </c>
      <c r="E743" s="2" t="s">
        <v>54</v>
      </c>
      <c r="F743" s="6" t="s">
        <v>140</v>
      </c>
      <c r="G743" s="10">
        <f t="shared" si="33"/>
        <v>2024</v>
      </c>
      <c r="H743" s="10">
        <f t="shared" si="34"/>
        <v>1</v>
      </c>
      <c r="I743" s="10">
        <f t="shared" si="35"/>
        <v>29</v>
      </c>
      <c r="J743" s="9" t="s">
        <v>1984</v>
      </c>
      <c r="K743" s="2" t="s">
        <v>33</v>
      </c>
      <c r="L743" s="2">
        <v>101.19</v>
      </c>
      <c r="M743" s="2" t="s">
        <v>49</v>
      </c>
      <c r="N743" s="2" t="s">
        <v>26</v>
      </c>
      <c r="O743" s="2">
        <v>17</v>
      </c>
      <c r="P743" s="2"/>
    </row>
    <row r="744" spans="2:16" ht="21" hidden="1" x14ac:dyDescent="0.55000000000000004">
      <c r="B744" s="2" t="s">
        <v>1985</v>
      </c>
      <c r="C744" s="2" t="s">
        <v>610</v>
      </c>
      <c r="D744" s="2" t="s">
        <v>68</v>
      </c>
      <c r="E744" s="2" t="s">
        <v>80</v>
      </c>
      <c r="F744" s="6" t="s">
        <v>102</v>
      </c>
      <c r="G744" s="10">
        <f t="shared" si="33"/>
        <v>2024</v>
      </c>
      <c r="H744" s="10">
        <f t="shared" si="34"/>
        <v>1</v>
      </c>
      <c r="I744" s="10">
        <f t="shared" si="35"/>
        <v>26</v>
      </c>
      <c r="J744" s="9" t="s">
        <v>1139</v>
      </c>
      <c r="K744" s="2" t="s">
        <v>48</v>
      </c>
      <c r="L744" s="2">
        <v>321.57</v>
      </c>
      <c r="M744" s="2" t="s">
        <v>19</v>
      </c>
      <c r="N744" s="2" t="s">
        <v>50</v>
      </c>
      <c r="O744" s="2">
        <v>20</v>
      </c>
      <c r="P744" s="2">
        <v>4</v>
      </c>
    </row>
    <row r="745" spans="2:16" ht="21" hidden="1" x14ac:dyDescent="0.55000000000000004">
      <c r="B745" s="2" t="s">
        <v>1986</v>
      </c>
      <c r="C745" s="2" t="s">
        <v>1987</v>
      </c>
      <c r="D745" s="2" t="s">
        <v>14</v>
      </c>
      <c r="E745" s="2" t="s">
        <v>37</v>
      </c>
      <c r="F745" s="6" t="s">
        <v>302</v>
      </c>
      <c r="G745" s="10">
        <f t="shared" si="33"/>
        <v>2024</v>
      </c>
      <c r="H745" s="10">
        <f t="shared" si="34"/>
        <v>1</v>
      </c>
      <c r="I745" s="10">
        <f t="shared" si="35"/>
        <v>2</v>
      </c>
      <c r="J745" s="9" t="s">
        <v>1619</v>
      </c>
      <c r="K745" s="2" t="s">
        <v>33</v>
      </c>
      <c r="L745" s="2">
        <v>53.94</v>
      </c>
      <c r="M745" s="2" t="s">
        <v>49</v>
      </c>
      <c r="N745" s="2" t="s">
        <v>20</v>
      </c>
      <c r="O745" s="2">
        <v>71</v>
      </c>
      <c r="P745" s="2"/>
    </row>
    <row r="746" spans="2:16" ht="21" hidden="1" x14ac:dyDescent="0.55000000000000004">
      <c r="B746" s="2" t="s">
        <v>1988</v>
      </c>
      <c r="C746" s="2" t="s">
        <v>1989</v>
      </c>
      <c r="D746" s="2" t="s">
        <v>14</v>
      </c>
      <c r="E746" s="2" t="s">
        <v>80</v>
      </c>
      <c r="F746" s="6" t="s">
        <v>144</v>
      </c>
      <c r="G746" s="10">
        <f t="shared" si="33"/>
        <v>2024</v>
      </c>
      <c r="H746" s="10">
        <f t="shared" si="34"/>
        <v>1</v>
      </c>
      <c r="I746" s="10">
        <f t="shared" si="35"/>
        <v>7</v>
      </c>
      <c r="J746" s="9" t="s">
        <v>1990</v>
      </c>
      <c r="K746" s="2" t="s">
        <v>48</v>
      </c>
      <c r="L746" s="2">
        <v>119.94</v>
      </c>
      <c r="M746" s="2" t="s">
        <v>122</v>
      </c>
      <c r="N746" s="2" t="s">
        <v>41</v>
      </c>
      <c r="O746" s="2">
        <v>23</v>
      </c>
      <c r="P746" s="2">
        <v>4</v>
      </c>
    </row>
    <row r="747" spans="2:16" ht="21" x14ac:dyDescent="0.55000000000000004">
      <c r="B747" s="2" t="s">
        <v>1991</v>
      </c>
      <c r="C747" s="2" t="s">
        <v>1992</v>
      </c>
      <c r="D747" s="2" t="s">
        <v>68</v>
      </c>
      <c r="E747" s="2" t="s">
        <v>54</v>
      </c>
      <c r="F747" s="6" t="s">
        <v>85</v>
      </c>
      <c r="G747" s="10">
        <f t="shared" si="33"/>
        <v>2024</v>
      </c>
      <c r="H747" s="10">
        <f t="shared" si="34"/>
        <v>1</v>
      </c>
      <c r="I747" s="10">
        <f t="shared" si="35"/>
        <v>16</v>
      </c>
      <c r="J747" s="9" t="s">
        <v>882</v>
      </c>
      <c r="K747" s="2" t="s">
        <v>57</v>
      </c>
      <c r="L747" s="2">
        <v>247.27</v>
      </c>
      <c r="M747" s="2" t="s">
        <v>65</v>
      </c>
      <c r="N747" s="2" t="s">
        <v>20</v>
      </c>
      <c r="O747" s="2">
        <v>41</v>
      </c>
      <c r="P747" s="2">
        <v>3</v>
      </c>
    </row>
    <row r="748" spans="2:16" ht="21" hidden="1" x14ac:dyDescent="0.55000000000000004">
      <c r="B748" s="2" t="s">
        <v>1993</v>
      </c>
      <c r="C748" s="2" t="s">
        <v>1994</v>
      </c>
      <c r="D748" s="2" t="s">
        <v>29</v>
      </c>
      <c r="E748" s="2" t="s">
        <v>61</v>
      </c>
      <c r="F748" s="6" t="s">
        <v>257</v>
      </c>
      <c r="G748" s="10">
        <f t="shared" si="33"/>
        <v>2024</v>
      </c>
      <c r="H748" s="10">
        <f t="shared" si="34"/>
        <v>1</v>
      </c>
      <c r="I748" s="10">
        <f t="shared" si="35"/>
        <v>10</v>
      </c>
      <c r="J748" s="9" t="s">
        <v>1995</v>
      </c>
      <c r="K748" s="2" t="s">
        <v>64</v>
      </c>
      <c r="L748" s="2">
        <v>104.97</v>
      </c>
      <c r="M748" s="2" t="s">
        <v>122</v>
      </c>
      <c r="N748" s="2" t="s">
        <v>20</v>
      </c>
      <c r="O748" s="2">
        <v>44</v>
      </c>
      <c r="P748" s="2">
        <v>1</v>
      </c>
    </row>
    <row r="749" spans="2:16" ht="21" hidden="1" x14ac:dyDescent="0.55000000000000004">
      <c r="B749" s="2" t="s">
        <v>1996</v>
      </c>
      <c r="C749" s="2" t="s">
        <v>1997</v>
      </c>
      <c r="D749" s="2" t="s">
        <v>106</v>
      </c>
      <c r="E749" s="2" t="s">
        <v>74</v>
      </c>
      <c r="F749" s="6" t="s">
        <v>198</v>
      </c>
      <c r="G749" s="10">
        <f t="shared" si="33"/>
        <v>2024</v>
      </c>
      <c r="H749" s="10">
        <f t="shared" si="34"/>
        <v>1</v>
      </c>
      <c r="I749" s="10">
        <f t="shared" si="35"/>
        <v>4</v>
      </c>
      <c r="J749" s="9" t="s">
        <v>534</v>
      </c>
      <c r="K749" s="2" t="s">
        <v>91</v>
      </c>
      <c r="L749" s="2">
        <v>270.69</v>
      </c>
      <c r="M749" s="2" t="s">
        <v>122</v>
      </c>
      <c r="N749" s="2" t="s">
        <v>20</v>
      </c>
      <c r="O749" s="2">
        <v>19</v>
      </c>
      <c r="P749" s="2">
        <v>2</v>
      </c>
    </row>
    <row r="750" spans="2:16" ht="21" hidden="1" x14ac:dyDescent="0.55000000000000004">
      <c r="B750" s="2" t="s">
        <v>1998</v>
      </c>
      <c r="C750" s="2" t="s">
        <v>1999</v>
      </c>
      <c r="D750" s="2" t="s">
        <v>29</v>
      </c>
      <c r="E750" s="2" t="s">
        <v>37</v>
      </c>
      <c r="F750" s="6" t="s">
        <v>238</v>
      </c>
      <c r="G750" s="10">
        <f t="shared" si="33"/>
        <v>2024</v>
      </c>
      <c r="H750" s="10">
        <f t="shared" si="34"/>
        <v>1</v>
      </c>
      <c r="I750" s="10">
        <f t="shared" si="35"/>
        <v>20</v>
      </c>
      <c r="J750" s="9" t="s">
        <v>727</v>
      </c>
      <c r="K750" s="2" t="s">
        <v>40</v>
      </c>
      <c r="L750" s="2">
        <v>298.29000000000002</v>
      </c>
      <c r="M750" s="2" t="s">
        <v>65</v>
      </c>
      <c r="N750" s="2" t="s">
        <v>41</v>
      </c>
      <c r="O750" s="2">
        <v>28</v>
      </c>
      <c r="P750" s="2">
        <v>1</v>
      </c>
    </row>
    <row r="751" spans="2:16" ht="21" hidden="1" x14ac:dyDescent="0.55000000000000004">
      <c r="B751" s="2" t="s">
        <v>2000</v>
      </c>
      <c r="C751" s="2" t="s">
        <v>2001</v>
      </c>
      <c r="D751" s="2" t="s">
        <v>53</v>
      </c>
      <c r="E751" s="2" t="s">
        <v>61</v>
      </c>
      <c r="F751" s="6" t="s">
        <v>62</v>
      </c>
      <c r="G751" s="10">
        <f t="shared" si="33"/>
        <v>2024</v>
      </c>
      <c r="H751" s="10">
        <f t="shared" si="34"/>
        <v>1</v>
      </c>
      <c r="I751" s="10">
        <f t="shared" si="35"/>
        <v>31</v>
      </c>
      <c r="J751" s="9" t="s">
        <v>1480</v>
      </c>
      <c r="K751" s="2" t="s">
        <v>48</v>
      </c>
      <c r="L751" s="2">
        <v>79.2</v>
      </c>
      <c r="M751" s="2" t="s">
        <v>49</v>
      </c>
      <c r="N751" s="2" t="s">
        <v>50</v>
      </c>
      <c r="O751" s="2">
        <v>74</v>
      </c>
      <c r="P751" s="2">
        <v>2</v>
      </c>
    </row>
    <row r="752" spans="2:16" ht="21" hidden="1" x14ac:dyDescent="0.55000000000000004">
      <c r="B752" s="2" t="s">
        <v>2002</v>
      </c>
      <c r="C752" s="2" t="s">
        <v>2003</v>
      </c>
      <c r="D752" s="2" t="s">
        <v>14</v>
      </c>
      <c r="E752" s="2" t="s">
        <v>139</v>
      </c>
      <c r="F752" s="6" t="s">
        <v>180</v>
      </c>
      <c r="G752" s="10">
        <f t="shared" si="33"/>
        <v>2024</v>
      </c>
      <c r="H752" s="10">
        <f t="shared" si="34"/>
        <v>1</v>
      </c>
      <c r="I752" s="10">
        <f t="shared" si="35"/>
        <v>28</v>
      </c>
      <c r="J752" s="9" t="s">
        <v>600</v>
      </c>
      <c r="K752" s="2" t="s">
        <v>64</v>
      </c>
      <c r="L752" s="2">
        <v>230.41</v>
      </c>
      <c r="M752" s="2" t="s">
        <v>122</v>
      </c>
      <c r="N752" s="2" t="s">
        <v>20</v>
      </c>
      <c r="O752" s="2">
        <v>80</v>
      </c>
      <c r="P752" s="2">
        <v>3</v>
      </c>
    </row>
    <row r="753" spans="2:16" ht="21" hidden="1" x14ac:dyDescent="0.55000000000000004">
      <c r="B753" s="2" t="s">
        <v>2004</v>
      </c>
      <c r="C753" s="2" t="s">
        <v>2005</v>
      </c>
      <c r="D753" s="2" t="s">
        <v>44</v>
      </c>
      <c r="E753" s="2" t="s">
        <v>89</v>
      </c>
      <c r="F753" s="6" t="s">
        <v>349</v>
      </c>
      <c r="G753" s="10">
        <f t="shared" si="33"/>
        <v>2024</v>
      </c>
      <c r="H753" s="10">
        <f t="shared" si="34"/>
        <v>1</v>
      </c>
      <c r="I753" s="10">
        <f t="shared" si="35"/>
        <v>12</v>
      </c>
      <c r="J753" s="9" t="s">
        <v>2006</v>
      </c>
      <c r="K753" s="2" t="s">
        <v>40</v>
      </c>
      <c r="L753" s="2">
        <v>391.41</v>
      </c>
      <c r="M753" s="2" t="s">
        <v>122</v>
      </c>
      <c r="N753" s="2" t="s">
        <v>41</v>
      </c>
      <c r="O753" s="2">
        <v>63</v>
      </c>
      <c r="P753" s="2">
        <v>1</v>
      </c>
    </row>
    <row r="754" spans="2:16" ht="21" hidden="1" x14ac:dyDescent="0.55000000000000004">
      <c r="B754" s="2" t="s">
        <v>2007</v>
      </c>
      <c r="C754" s="2" t="s">
        <v>2008</v>
      </c>
      <c r="D754" s="2" t="s">
        <v>68</v>
      </c>
      <c r="E754" s="2" t="s">
        <v>89</v>
      </c>
      <c r="F754" s="6" t="s">
        <v>102</v>
      </c>
      <c r="G754" s="10">
        <f t="shared" si="33"/>
        <v>2024</v>
      </c>
      <c r="H754" s="10">
        <f t="shared" si="34"/>
        <v>1</v>
      </c>
      <c r="I754" s="10">
        <f t="shared" si="35"/>
        <v>26</v>
      </c>
      <c r="J754" s="9" t="s">
        <v>906</v>
      </c>
      <c r="K754" s="2" t="s">
        <v>40</v>
      </c>
      <c r="L754" s="2">
        <v>273.33</v>
      </c>
      <c r="M754" s="2" t="s">
        <v>19</v>
      </c>
      <c r="N754" s="2" t="s">
        <v>41</v>
      </c>
      <c r="O754" s="2">
        <v>47</v>
      </c>
      <c r="P754" s="2"/>
    </row>
    <row r="755" spans="2:16" ht="21" hidden="1" x14ac:dyDescent="0.55000000000000004">
      <c r="B755" s="2" t="s">
        <v>2009</v>
      </c>
      <c r="C755" s="2" t="s">
        <v>2010</v>
      </c>
      <c r="D755" s="2" t="s">
        <v>29</v>
      </c>
      <c r="E755" s="2" t="s">
        <v>89</v>
      </c>
      <c r="F755" s="6" t="s">
        <v>113</v>
      </c>
      <c r="G755" s="10">
        <f t="shared" si="33"/>
        <v>2024</v>
      </c>
      <c r="H755" s="10">
        <f t="shared" si="34"/>
        <v>1</v>
      </c>
      <c r="I755" s="10">
        <f t="shared" si="35"/>
        <v>15</v>
      </c>
      <c r="J755" s="9" t="s">
        <v>840</v>
      </c>
      <c r="K755" s="2" t="s">
        <v>91</v>
      </c>
      <c r="L755" s="2">
        <v>88.66</v>
      </c>
      <c r="M755" s="2" t="s">
        <v>65</v>
      </c>
      <c r="N755" s="2" t="s">
        <v>20</v>
      </c>
      <c r="O755" s="2">
        <v>64</v>
      </c>
      <c r="P755" s="2">
        <v>4</v>
      </c>
    </row>
    <row r="756" spans="2:16" ht="21" hidden="1" x14ac:dyDescent="0.55000000000000004">
      <c r="B756" s="2" t="s">
        <v>2011</v>
      </c>
      <c r="C756" s="2" t="s">
        <v>2012</v>
      </c>
      <c r="D756" s="2" t="s">
        <v>14</v>
      </c>
      <c r="E756" s="2" t="s">
        <v>80</v>
      </c>
      <c r="F756" s="6" t="s">
        <v>113</v>
      </c>
      <c r="G756" s="10">
        <f t="shared" si="33"/>
        <v>2024</v>
      </c>
      <c r="H756" s="10">
        <f t="shared" si="34"/>
        <v>1</v>
      </c>
      <c r="I756" s="10">
        <f t="shared" si="35"/>
        <v>15</v>
      </c>
      <c r="J756" s="9" t="s">
        <v>110</v>
      </c>
      <c r="K756" s="2" t="s">
        <v>64</v>
      </c>
      <c r="L756" s="2">
        <v>346.54</v>
      </c>
      <c r="M756" s="2" t="s">
        <v>49</v>
      </c>
      <c r="N756" s="2" t="s">
        <v>20</v>
      </c>
      <c r="O756" s="2">
        <v>57</v>
      </c>
      <c r="P756" s="2"/>
    </row>
    <row r="757" spans="2:16" ht="21" hidden="1" x14ac:dyDescent="0.55000000000000004">
      <c r="B757" s="2" t="s">
        <v>2013</v>
      </c>
      <c r="C757" s="2" t="s">
        <v>2014</v>
      </c>
      <c r="D757" s="2" t="s">
        <v>53</v>
      </c>
      <c r="E757" s="2" t="s">
        <v>45</v>
      </c>
      <c r="F757" s="6" t="s">
        <v>24</v>
      </c>
      <c r="G757" s="10">
        <f t="shared" si="33"/>
        <v>2024</v>
      </c>
      <c r="H757" s="10">
        <f t="shared" si="34"/>
        <v>1</v>
      </c>
      <c r="I757" s="10">
        <f t="shared" si="35"/>
        <v>21</v>
      </c>
      <c r="J757" s="9" t="s">
        <v>2015</v>
      </c>
      <c r="K757" s="2" t="s">
        <v>40</v>
      </c>
      <c r="L757" s="2">
        <v>397.63</v>
      </c>
      <c r="M757" s="2" t="s">
        <v>65</v>
      </c>
      <c r="N757" s="2" t="s">
        <v>41</v>
      </c>
      <c r="O757" s="2">
        <v>39</v>
      </c>
      <c r="P757" s="2">
        <v>1</v>
      </c>
    </row>
    <row r="758" spans="2:16" ht="21" hidden="1" x14ac:dyDescent="0.55000000000000004">
      <c r="B758" s="2" t="s">
        <v>2016</v>
      </c>
      <c r="C758" s="2" t="s">
        <v>2017</v>
      </c>
      <c r="D758" s="2" t="s">
        <v>14</v>
      </c>
      <c r="E758" s="2" t="s">
        <v>74</v>
      </c>
      <c r="F758" s="6" t="s">
        <v>349</v>
      </c>
      <c r="G758" s="10">
        <f t="shared" si="33"/>
        <v>2024</v>
      </c>
      <c r="H758" s="10">
        <f t="shared" si="34"/>
        <v>1</v>
      </c>
      <c r="I758" s="10">
        <f t="shared" si="35"/>
        <v>12</v>
      </c>
      <c r="J758" s="9" t="s">
        <v>2018</v>
      </c>
      <c r="K758" s="2" t="s">
        <v>40</v>
      </c>
      <c r="L758" s="2">
        <v>126.9</v>
      </c>
      <c r="M758" s="2" t="s">
        <v>19</v>
      </c>
      <c r="N758" s="2" t="s">
        <v>26</v>
      </c>
      <c r="O758" s="2">
        <v>38</v>
      </c>
      <c r="P758" s="2"/>
    </row>
    <row r="759" spans="2:16" ht="21" hidden="1" x14ac:dyDescent="0.55000000000000004">
      <c r="B759" s="2" t="s">
        <v>2019</v>
      </c>
      <c r="C759" s="2" t="s">
        <v>2020</v>
      </c>
      <c r="D759" s="2" t="s">
        <v>73</v>
      </c>
      <c r="E759" s="2" t="s">
        <v>61</v>
      </c>
      <c r="F759" s="6" t="s">
        <v>132</v>
      </c>
      <c r="G759" s="10">
        <f t="shared" si="33"/>
        <v>2024</v>
      </c>
      <c r="H759" s="10">
        <f t="shared" si="34"/>
        <v>1</v>
      </c>
      <c r="I759" s="10">
        <f t="shared" si="35"/>
        <v>6</v>
      </c>
      <c r="J759" s="9" t="s">
        <v>2021</v>
      </c>
      <c r="K759" s="2" t="s">
        <v>64</v>
      </c>
      <c r="L759" s="2">
        <v>253.36</v>
      </c>
      <c r="M759" s="2" t="s">
        <v>49</v>
      </c>
      <c r="N759" s="2" t="s">
        <v>26</v>
      </c>
      <c r="O759" s="2">
        <v>77</v>
      </c>
      <c r="P759" s="2">
        <v>4</v>
      </c>
    </row>
    <row r="760" spans="2:16" ht="21" hidden="1" x14ac:dyDescent="0.55000000000000004">
      <c r="B760" s="2" t="s">
        <v>2022</v>
      </c>
      <c r="C760" s="2" t="s">
        <v>2023</v>
      </c>
      <c r="D760" s="2" t="s">
        <v>44</v>
      </c>
      <c r="E760" s="2" t="s">
        <v>89</v>
      </c>
      <c r="F760" s="6" t="s">
        <v>272</v>
      </c>
      <c r="G760" s="10">
        <f t="shared" si="33"/>
        <v>2024</v>
      </c>
      <c r="H760" s="10">
        <f t="shared" si="34"/>
        <v>1</v>
      </c>
      <c r="I760" s="10">
        <f t="shared" si="35"/>
        <v>1</v>
      </c>
      <c r="J760" s="9" t="s">
        <v>229</v>
      </c>
      <c r="K760" s="2" t="s">
        <v>64</v>
      </c>
      <c r="L760" s="2">
        <v>195.33</v>
      </c>
      <c r="M760" s="2" t="s">
        <v>122</v>
      </c>
      <c r="N760" s="2" t="s">
        <v>50</v>
      </c>
      <c r="O760" s="2">
        <v>25</v>
      </c>
      <c r="P760" s="2">
        <v>5</v>
      </c>
    </row>
    <row r="761" spans="2:16" ht="21" hidden="1" x14ac:dyDescent="0.55000000000000004">
      <c r="B761" s="2" t="s">
        <v>2024</v>
      </c>
      <c r="C761" s="2" t="s">
        <v>2025</v>
      </c>
      <c r="D761" s="2" t="s">
        <v>60</v>
      </c>
      <c r="E761" s="2" t="s">
        <v>125</v>
      </c>
      <c r="F761" s="6" t="s">
        <v>129</v>
      </c>
      <c r="G761" s="10">
        <f t="shared" si="33"/>
        <v>2024</v>
      </c>
      <c r="H761" s="10">
        <f t="shared" si="34"/>
        <v>1</v>
      </c>
      <c r="I761" s="10">
        <f t="shared" si="35"/>
        <v>19</v>
      </c>
      <c r="J761" s="9" t="s">
        <v>232</v>
      </c>
      <c r="K761" s="2" t="s">
        <v>18</v>
      </c>
      <c r="L761" s="2">
        <v>326.27</v>
      </c>
      <c r="M761" s="2" t="s">
        <v>49</v>
      </c>
      <c r="N761" s="2" t="s">
        <v>50</v>
      </c>
      <c r="O761" s="2">
        <v>62</v>
      </c>
      <c r="P761" s="2">
        <v>2</v>
      </c>
    </row>
    <row r="762" spans="2:16" ht="21" hidden="1" x14ac:dyDescent="0.55000000000000004">
      <c r="B762" s="2" t="s">
        <v>2026</v>
      </c>
      <c r="C762" s="2" t="s">
        <v>2027</v>
      </c>
      <c r="D762" s="2" t="s">
        <v>29</v>
      </c>
      <c r="E762" s="2" t="s">
        <v>45</v>
      </c>
      <c r="F762" s="6" t="s">
        <v>102</v>
      </c>
      <c r="G762" s="10">
        <f t="shared" si="33"/>
        <v>2024</v>
      </c>
      <c r="H762" s="10">
        <f t="shared" si="34"/>
        <v>1</v>
      </c>
      <c r="I762" s="10">
        <f t="shared" si="35"/>
        <v>26</v>
      </c>
      <c r="J762" s="9" t="s">
        <v>365</v>
      </c>
      <c r="K762" s="2" t="s">
        <v>48</v>
      </c>
      <c r="L762" s="2">
        <v>323.60000000000002</v>
      </c>
      <c r="M762" s="2" t="s">
        <v>65</v>
      </c>
      <c r="N762" s="2" t="s">
        <v>41</v>
      </c>
      <c r="O762" s="2">
        <v>19</v>
      </c>
      <c r="P762" s="2">
        <v>3</v>
      </c>
    </row>
    <row r="763" spans="2:16" ht="21" hidden="1" x14ac:dyDescent="0.55000000000000004">
      <c r="B763" s="2" t="s">
        <v>2028</v>
      </c>
      <c r="C763" s="2" t="s">
        <v>2029</v>
      </c>
      <c r="D763" s="2" t="s">
        <v>60</v>
      </c>
      <c r="E763" s="2" t="s">
        <v>89</v>
      </c>
      <c r="F763" s="6" t="s">
        <v>129</v>
      </c>
      <c r="G763" s="10">
        <f t="shared" si="33"/>
        <v>2024</v>
      </c>
      <c r="H763" s="10">
        <f t="shared" si="34"/>
        <v>1</v>
      </c>
      <c r="I763" s="10">
        <f t="shared" si="35"/>
        <v>19</v>
      </c>
      <c r="J763" s="9" t="s">
        <v>119</v>
      </c>
      <c r="K763" s="2" t="s">
        <v>18</v>
      </c>
      <c r="L763" s="2">
        <v>242.44</v>
      </c>
      <c r="M763" s="2" t="s">
        <v>65</v>
      </c>
      <c r="N763" s="2" t="s">
        <v>41</v>
      </c>
      <c r="O763" s="2">
        <v>69</v>
      </c>
      <c r="P763" s="2">
        <v>4</v>
      </c>
    </row>
    <row r="764" spans="2:16" ht="21" hidden="1" x14ac:dyDescent="0.55000000000000004">
      <c r="B764" s="2" t="s">
        <v>2030</v>
      </c>
      <c r="C764" s="2" t="s">
        <v>2031</v>
      </c>
      <c r="D764" s="2" t="s">
        <v>29</v>
      </c>
      <c r="E764" s="2" t="s">
        <v>45</v>
      </c>
      <c r="F764" s="6" t="s">
        <v>31</v>
      </c>
      <c r="G764" s="10">
        <f t="shared" si="33"/>
        <v>2024</v>
      </c>
      <c r="H764" s="10">
        <f t="shared" si="34"/>
        <v>1</v>
      </c>
      <c r="I764" s="10">
        <f t="shared" si="35"/>
        <v>14</v>
      </c>
      <c r="J764" s="9" t="s">
        <v>1139</v>
      </c>
      <c r="K764" s="2" t="s">
        <v>91</v>
      </c>
      <c r="L764" s="2">
        <v>477.44</v>
      </c>
      <c r="M764" s="2" t="s">
        <v>19</v>
      </c>
      <c r="N764" s="2" t="s">
        <v>41</v>
      </c>
      <c r="O764" s="2">
        <v>50</v>
      </c>
      <c r="P764" s="2">
        <v>3</v>
      </c>
    </row>
    <row r="765" spans="2:16" ht="21" hidden="1" x14ac:dyDescent="0.55000000000000004">
      <c r="B765" s="2" t="s">
        <v>2032</v>
      </c>
      <c r="C765" s="2" t="s">
        <v>1581</v>
      </c>
      <c r="D765" s="2" t="s">
        <v>44</v>
      </c>
      <c r="E765" s="2" t="s">
        <v>61</v>
      </c>
      <c r="F765" s="6" t="s">
        <v>473</v>
      </c>
      <c r="G765" s="10">
        <f t="shared" si="33"/>
        <v>2024</v>
      </c>
      <c r="H765" s="10">
        <f t="shared" si="34"/>
        <v>1</v>
      </c>
      <c r="I765" s="10">
        <f t="shared" si="35"/>
        <v>30</v>
      </c>
      <c r="J765" s="9" t="s">
        <v>2033</v>
      </c>
      <c r="K765" s="2" t="s">
        <v>18</v>
      </c>
      <c r="L765" s="2">
        <v>330.77</v>
      </c>
      <c r="M765" s="2" t="s">
        <v>49</v>
      </c>
      <c r="N765" s="2" t="s">
        <v>26</v>
      </c>
      <c r="O765" s="2">
        <v>29</v>
      </c>
      <c r="P765" s="2">
        <v>2</v>
      </c>
    </row>
    <row r="766" spans="2:16" ht="21" hidden="1" x14ac:dyDescent="0.55000000000000004">
      <c r="B766" s="2" t="s">
        <v>2034</v>
      </c>
      <c r="C766" s="2" t="s">
        <v>2035</v>
      </c>
      <c r="D766" s="2" t="s">
        <v>60</v>
      </c>
      <c r="E766" s="2" t="s">
        <v>15</v>
      </c>
      <c r="F766" s="6" t="s">
        <v>102</v>
      </c>
      <c r="G766" s="10">
        <f t="shared" si="33"/>
        <v>2024</v>
      </c>
      <c r="H766" s="10">
        <f t="shared" si="34"/>
        <v>1</v>
      </c>
      <c r="I766" s="10">
        <f t="shared" si="35"/>
        <v>26</v>
      </c>
      <c r="J766" s="9" t="s">
        <v>2036</v>
      </c>
      <c r="K766" s="2" t="s">
        <v>18</v>
      </c>
      <c r="L766" s="2">
        <v>180.87</v>
      </c>
      <c r="M766" s="2" t="s">
        <v>49</v>
      </c>
      <c r="N766" s="2" t="s">
        <v>26</v>
      </c>
      <c r="O766" s="2">
        <v>68</v>
      </c>
      <c r="P766" s="2"/>
    </row>
    <row r="767" spans="2:16" ht="21" hidden="1" x14ac:dyDescent="0.55000000000000004">
      <c r="B767" s="2" t="s">
        <v>2037</v>
      </c>
      <c r="C767" s="2" t="s">
        <v>2038</v>
      </c>
      <c r="D767" s="2" t="s">
        <v>73</v>
      </c>
      <c r="E767" s="2" t="s">
        <v>89</v>
      </c>
      <c r="F767" s="6" t="s">
        <v>272</v>
      </c>
      <c r="G767" s="10">
        <f t="shared" si="33"/>
        <v>2024</v>
      </c>
      <c r="H767" s="10">
        <f t="shared" si="34"/>
        <v>1</v>
      </c>
      <c r="I767" s="10">
        <f t="shared" si="35"/>
        <v>1</v>
      </c>
      <c r="J767" s="9" t="s">
        <v>148</v>
      </c>
      <c r="K767" s="2" t="s">
        <v>57</v>
      </c>
      <c r="L767" s="2">
        <v>155.82</v>
      </c>
      <c r="M767" s="2" t="s">
        <v>49</v>
      </c>
      <c r="N767" s="2" t="s">
        <v>41</v>
      </c>
      <c r="O767" s="2">
        <v>53</v>
      </c>
      <c r="P767" s="2">
        <v>4</v>
      </c>
    </row>
    <row r="768" spans="2:16" ht="21" hidden="1" x14ac:dyDescent="0.55000000000000004">
      <c r="B768" s="2" t="s">
        <v>2039</v>
      </c>
      <c r="C768" s="2" t="s">
        <v>2040</v>
      </c>
      <c r="D768" s="2" t="s">
        <v>68</v>
      </c>
      <c r="E768" s="2" t="s">
        <v>61</v>
      </c>
      <c r="F768" s="6" t="s">
        <v>317</v>
      </c>
      <c r="G768" s="10">
        <f t="shared" si="33"/>
        <v>2024</v>
      </c>
      <c r="H768" s="10">
        <f t="shared" si="34"/>
        <v>1</v>
      </c>
      <c r="I768" s="10">
        <f t="shared" si="35"/>
        <v>3</v>
      </c>
      <c r="J768" s="9" t="s">
        <v>2041</v>
      </c>
      <c r="K768" s="2" t="s">
        <v>33</v>
      </c>
      <c r="L768" s="2">
        <v>120.48</v>
      </c>
      <c r="M768" s="2" t="s">
        <v>19</v>
      </c>
      <c r="N768" s="2" t="s">
        <v>41</v>
      </c>
      <c r="O768" s="2">
        <v>57</v>
      </c>
      <c r="P768" s="2">
        <v>4</v>
      </c>
    </row>
    <row r="769" spans="2:16" ht="21" hidden="1" x14ac:dyDescent="0.55000000000000004">
      <c r="B769" s="2" t="s">
        <v>2042</v>
      </c>
      <c r="C769" s="2" t="s">
        <v>2043</v>
      </c>
      <c r="D769" s="2" t="s">
        <v>106</v>
      </c>
      <c r="E769" s="2" t="s">
        <v>80</v>
      </c>
      <c r="F769" s="6" t="s">
        <v>198</v>
      </c>
      <c r="G769" s="10">
        <f t="shared" si="33"/>
        <v>2024</v>
      </c>
      <c r="H769" s="10">
        <f t="shared" si="34"/>
        <v>1</v>
      </c>
      <c r="I769" s="10">
        <f t="shared" si="35"/>
        <v>4</v>
      </c>
      <c r="J769" s="9" t="s">
        <v>494</v>
      </c>
      <c r="K769" s="2" t="s">
        <v>48</v>
      </c>
      <c r="L769" s="2">
        <v>179.3</v>
      </c>
      <c r="M769" s="2" t="s">
        <v>65</v>
      </c>
      <c r="N769" s="2" t="s">
        <v>50</v>
      </c>
      <c r="O769" s="2">
        <v>34</v>
      </c>
      <c r="P769" s="2">
        <v>2</v>
      </c>
    </row>
    <row r="770" spans="2:16" ht="21" hidden="1" x14ac:dyDescent="0.55000000000000004">
      <c r="B770" s="2" t="s">
        <v>2044</v>
      </c>
      <c r="C770" s="2" t="s">
        <v>2045</v>
      </c>
      <c r="D770" s="2" t="s">
        <v>73</v>
      </c>
      <c r="E770" s="2" t="s">
        <v>61</v>
      </c>
      <c r="F770" s="6" t="s">
        <v>132</v>
      </c>
      <c r="G770" s="10">
        <f t="shared" si="33"/>
        <v>2024</v>
      </c>
      <c r="H770" s="10">
        <f t="shared" si="34"/>
        <v>1</v>
      </c>
      <c r="I770" s="10">
        <f t="shared" si="35"/>
        <v>6</v>
      </c>
      <c r="J770" s="9" t="s">
        <v>967</v>
      </c>
      <c r="K770" s="2" t="s">
        <v>64</v>
      </c>
      <c r="L770" s="2">
        <v>182.08</v>
      </c>
      <c r="M770" s="2" t="s">
        <v>65</v>
      </c>
      <c r="N770" s="2" t="s">
        <v>26</v>
      </c>
      <c r="O770" s="2">
        <v>29</v>
      </c>
      <c r="P770" s="2">
        <v>1</v>
      </c>
    </row>
    <row r="771" spans="2:16" ht="21" hidden="1" x14ac:dyDescent="0.55000000000000004">
      <c r="B771" s="2" t="s">
        <v>2046</v>
      </c>
      <c r="C771" s="2" t="s">
        <v>2047</v>
      </c>
      <c r="D771" s="2" t="s">
        <v>60</v>
      </c>
      <c r="E771" s="2" t="s">
        <v>45</v>
      </c>
      <c r="F771" s="6" t="s">
        <v>317</v>
      </c>
      <c r="G771" s="10">
        <f t="shared" si="33"/>
        <v>2024</v>
      </c>
      <c r="H771" s="10">
        <f t="shared" si="34"/>
        <v>1</v>
      </c>
      <c r="I771" s="10">
        <f t="shared" si="35"/>
        <v>3</v>
      </c>
      <c r="J771" s="9" t="s">
        <v>574</v>
      </c>
      <c r="K771" s="2" t="s">
        <v>91</v>
      </c>
      <c r="L771" s="2">
        <v>378.04</v>
      </c>
      <c r="M771" s="2" t="s">
        <v>19</v>
      </c>
      <c r="N771" s="2" t="s">
        <v>26</v>
      </c>
      <c r="O771" s="2">
        <v>54</v>
      </c>
      <c r="P771" s="2">
        <v>2</v>
      </c>
    </row>
    <row r="772" spans="2:16" ht="21" hidden="1" x14ac:dyDescent="0.55000000000000004">
      <c r="B772" s="2" t="s">
        <v>2048</v>
      </c>
      <c r="C772" s="2" t="s">
        <v>2049</v>
      </c>
      <c r="D772" s="2" t="s">
        <v>106</v>
      </c>
      <c r="E772" s="2" t="s">
        <v>125</v>
      </c>
      <c r="F772" s="6" t="s">
        <v>343</v>
      </c>
      <c r="G772" s="10">
        <f t="shared" ref="G772:G835" si="36">YEAR(F772)</f>
        <v>2024</v>
      </c>
      <c r="H772" s="10">
        <f t="shared" ref="H772:H835" si="37">MONTH(F772)</f>
        <v>1</v>
      </c>
      <c r="I772" s="10">
        <f t="shared" ref="I772:I835" si="38">DAY(F772)</f>
        <v>13</v>
      </c>
      <c r="J772" s="9" t="s">
        <v>1936</v>
      </c>
      <c r="K772" s="2" t="s">
        <v>57</v>
      </c>
      <c r="L772" s="2">
        <v>333.52</v>
      </c>
      <c r="M772" s="2" t="s">
        <v>65</v>
      </c>
      <c r="N772" s="2" t="s">
        <v>50</v>
      </c>
      <c r="O772" s="2">
        <v>39</v>
      </c>
      <c r="P772" s="2">
        <v>2</v>
      </c>
    </row>
    <row r="773" spans="2:16" ht="21" hidden="1" x14ac:dyDescent="0.55000000000000004">
      <c r="B773" s="2" t="s">
        <v>2050</v>
      </c>
      <c r="C773" s="2" t="s">
        <v>2051</v>
      </c>
      <c r="D773" s="2" t="s">
        <v>73</v>
      </c>
      <c r="E773" s="2" t="s">
        <v>139</v>
      </c>
      <c r="F773" s="6" t="s">
        <v>38</v>
      </c>
      <c r="G773" s="10">
        <f t="shared" si="36"/>
        <v>2024</v>
      </c>
      <c r="H773" s="10">
        <f t="shared" si="37"/>
        <v>1</v>
      </c>
      <c r="I773" s="10">
        <f t="shared" si="38"/>
        <v>11</v>
      </c>
      <c r="J773" s="9" t="s">
        <v>181</v>
      </c>
      <c r="K773" s="2" t="s">
        <v>18</v>
      </c>
      <c r="L773" s="2">
        <v>224.07</v>
      </c>
      <c r="M773" s="2" t="s">
        <v>65</v>
      </c>
      <c r="N773" s="2" t="s">
        <v>20</v>
      </c>
      <c r="O773" s="2">
        <v>45</v>
      </c>
      <c r="P773" s="2">
        <v>4</v>
      </c>
    </row>
    <row r="774" spans="2:16" ht="21" x14ac:dyDescent="0.55000000000000004">
      <c r="B774" s="2" t="s">
        <v>2052</v>
      </c>
      <c r="C774" s="2" t="s">
        <v>2053</v>
      </c>
      <c r="D774" s="2" t="s">
        <v>68</v>
      </c>
      <c r="E774" s="2" t="s">
        <v>54</v>
      </c>
      <c r="F774" s="6" t="s">
        <v>69</v>
      </c>
      <c r="G774" s="10">
        <f t="shared" si="36"/>
        <v>2024</v>
      </c>
      <c r="H774" s="10">
        <f t="shared" si="37"/>
        <v>1</v>
      </c>
      <c r="I774" s="10">
        <f t="shared" si="38"/>
        <v>27</v>
      </c>
      <c r="J774" s="9" t="s">
        <v>282</v>
      </c>
      <c r="K774" s="2" t="s">
        <v>77</v>
      </c>
      <c r="L774" s="2">
        <v>468.24</v>
      </c>
      <c r="M774" s="2" t="s">
        <v>122</v>
      </c>
      <c r="N774" s="2" t="s">
        <v>26</v>
      </c>
      <c r="O774" s="2">
        <v>34</v>
      </c>
      <c r="P774" s="2">
        <v>1</v>
      </c>
    </row>
    <row r="775" spans="2:16" ht="21" hidden="1" x14ac:dyDescent="0.55000000000000004">
      <c r="B775" s="2" t="s">
        <v>2054</v>
      </c>
      <c r="C775" s="2" t="s">
        <v>2055</v>
      </c>
      <c r="D775" s="2" t="s">
        <v>14</v>
      </c>
      <c r="E775" s="2" t="s">
        <v>37</v>
      </c>
      <c r="F775" s="6" t="s">
        <v>257</v>
      </c>
      <c r="G775" s="10">
        <f t="shared" si="36"/>
        <v>2024</v>
      </c>
      <c r="H775" s="10">
        <f t="shared" si="37"/>
        <v>1</v>
      </c>
      <c r="I775" s="10">
        <f t="shared" si="38"/>
        <v>10</v>
      </c>
      <c r="J775" s="9" t="s">
        <v>2056</v>
      </c>
      <c r="K775" s="2" t="s">
        <v>33</v>
      </c>
      <c r="L775" s="2">
        <v>483.4</v>
      </c>
      <c r="M775" s="2" t="s">
        <v>65</v>
      </c>
      <c r="N775" s="2" t="s">
        <v>41</v>
      </c>
      <c r="O775" s="2">
        <v>44</v>
      </c>
      <c r="P775" s="2">
        <v>3</v>
      </c>
    </row>
    <row r="776" spans="2:16" ht="21" hidden="1" x14ac:dyDescent="0.55000000000000004">
      <c r="B776" s="2" t="s">
        <v>2057</v>
      </c>
      <c r="C776" s="2" t="s">
        <v>2058</v>
      </c>
      <c r="D776" s="2" t="s">
        <v>53</v>
      </c>
      <c r="E776" s="2" t="s">
        <v>61</v>
      </c>
      <c r="F776" s="6" t="s">
        <v>473</v>
      </c>
      <c r="G776" s="10">
        <f t="shared" si="36"/>
        <v>2024</v>
      </c>
      <c r="H776" s="10">
        <f t="shared" si="37"/>
        <v>1</v>
      </c>
      <c r="I776" s="10">
        <f t="shared" si="38"/>
        <v>30</v>
      </c>
      <c r="J776" s="9" t="s">
        <v>1322</v>
      </c>
      <c r="K776" s="2" t="s">
        <v>33</v>
      </c>
      <c r="L776" s="2">
        <v>316.33</v>
      </c>
      <c r="M776" s="2" t="s">
        <v>49</v>
      </c>
      <c r="N776" s="2" t="s">
        <v>41</v>
      </c>
      <c r="O776" s="2">
        <v>15</v>
      </c>
      <c r="P776" s="2"/>
    </row>
    <row r="777" spans="2:16" ht="21" hidden="1" x14ac:dyDescent="0.55000000000000004">
      <c r="B777" s="2" t="s">
        <v>2059</v>
      </c>
      <c r="C777" s="2" t="s">
        <v>2060</v>
      </c>
      <c r="D777" s="2" t="s">
        <v>60</v>
      </c>
      <c r="E777" s="2" t="s">
        <v>15</v>
      </c>
      <c r="F777" s="6" t="s">
        <v>24</v>
      </c>
      <c r="G777" s="10">
        <f t="shared" si="36"/>
        <v>2024</v>
      </c>
      <c r="H777" s="10">
        <f t="shared" si="37"/>
        <v>1</v>
      </c>
      <c r="I777" s="10">
        <f t="shared" si="38"/>
        <v>21</v>
      </c>
      <c r="J777" s="9" t="s">
        <v>2041</v>
      </c>
      <c r="K777" s="2" t="s">
        <v>33</v>
      </c>
      <c r="L777" s="2">
        <v>73.790000000000006</v>
      </c>
      <c r="M777" s="2" t="s">
        <v>122</v>
      </c>
      <c r="N777" s="2" t="s">
        <v>26</v>
      </c>
      <c r="O777" s="2">
        <v>44</v>
      </c>
      <c r="P777" s="2">
        <v>4</v>
      </c>
    </row>
    <row r="778" spans="2:16" ht="21" hidden="1" x14ac:dyDescent="0.55000000000000004">
      <c r="B778" s="2" t="s">
        <v>2061</v>
      </c>
      <c r="C778" s="2" t="s">
        <v>1187</v>
      </c>
      <c r="D778" s="2" t="s">
        <v>23</v>
      </c>
      <c r="E778" s="2" t="s">
        <v>61</v>
      </c>
      <c r="F778" s="6" t="s">
        <v>16</v>
      </c>
      <c r="G778" s="10">
        <f t="shared" si="36"/>
        <v>2024</v>
      </c>
      <c r="H778" s="10">
        <f t="shared" si="37"/>
        <v>1</v>
      </c>
      <c r="I778" s="10">
        <f t="shared" si="38"/>
        <v>9</v>
      </c>
      <c r="J778" s="9" t="s">
        <v>2062</v>
      </c>
      <c r="K778" s="2" t="s">
        <v>64</v>
      </c>
      <c r="L778" s="2">
        <v>260.25</v>
      </c>
      <c r="M778" s="2" t="s">
        <v>65</v>
      </c>
      <c r="N778" s="2" t="s">
        <v>50</v>
      </c>
      <c r="O778" s="2">
        <v>87</v>
      </c>
      <c r="P778" s="2">
        <v>3</v>
      </c>
    </row>
    <row r="779" spans="2:16" ht="21" hidden="1" x14ac:dyDescent="0.55000000000000004">
      <c r="B779" s="2" t="s">
        <v>2063</v>
      </c>
      <c r="C779" s="2" t="s">
        <v>2064</v>
      </c>
      <c r="D779" s="2" t="s">
        <v>73</v>
      </c>
      <c r="E779" s="2" t="s">
        <v>74</v>
      </c>
      <c r="F779" s="6" t="s">
        <v>31</v>
      </c>
      <c r="G779" s="10">
        <f t="shared" si="36"/>
        <v>2024</v>
      </c>
      <c r="H779" s="10">
        <f t="shared" si="37"/>
        <v>1</v>
      </c>
      <c r="I779" s="10">
        <f t="shared" si="38"/>
        <v>14</v>
      </c>
      <c r="J779" s="9" t="s">
        <v>2065</v>
      </c>
      <c r="K779" s="2" t="s">
        <v>57</v>
      </c>
      <c r="L779" s="2">
        <v>496.28</v>
      </c>
      <c r="M779" s="2" t="s">
        <v>122</v>
      </c>
      <c r="N779" s="2" t="s">
        <v>20</v>
      </c>
      <c r="O779" s="2">
        <v>90</v>
      </c>
      <c r="P779" s="2">
        <v>2</v>
      </c>
    </row>
    <row r="780" spans="2:16" ht="21" hidden="1" x14ac:dyDescent="0.55000000000000004">
      <c r="B780" s="2" t="s">
        <v>2066</v>
      </c>
      <c r="C780" s="2" t="s">
        <v>2067</v>
      </c>
      <c r="D780" s="2" t="s">
        <v>44</v>
      </c>
      <c r="E780" s="2" t="s">
        <v>45</v>
      </c>
      <c r="F780" s="6" t="s">
        <v>180</v>
      </c>
      <c r="G780" s="10">
        <f t="shared" si="36"/>
        <v>2024</v>
      </c>
      <c r="H780" s="10">
        <f t="shared" si="37"/>
        <v>1</v>
      </c>
      <c r="I780" s="10">
        <f t="shared" si="38"/>
        <v>28</v>
      </c>
      <c r="J780" s="9" t="s">
        <v>2068</v>
      </c>
      <c r="K780" s="2" t="s">
        <v>91</v>
      </c>
      <c r="L780" s="2">
        <v>405.64</v>
      </c>
      <c r="M780" s="2" t="s">
        <v>49</v>
      </c>
      <c r="N780" s="2" t="s">
        <v>50</v>
      </c>
      <c r="O780" s="2">
        <v>50</v>
      </c>
      <c r="P780" s="2">
        <v>3</v>
      </c>
    </row>
    <row r="781" spans="2:16" ht="21" hidden="1" x14ac:dyDescent="0.55000000000000004">
      <c r="B781" s="2" t="s">
        <v>2069</v>
      </c>
      <c r="C781" s="2" t="s">
        <v>2070</v>
      </c>
      <c r="D781" s="2" t="s">
        <v>53</v>
      </c>
      <c r="E781" s="2" t="s">
        <v>139</v>
      </c>
      <c r="F781" s="6" t="s">
        <v>317</v>
      </c>
      <c r="G781" s="10">
        <f t="shared" si="36"/>
        <v>2024</v>
      </c>
      <c r="H781" s="10">
        <f t="shared" si="37"/>
        <v>1</v>
      </c>
      <c r="I781" s="10">
        <f t="shared" si="38"/>
        <v>3</v>
      </c>
      <c r="J781" s="9" t="s">
        <v>155</v>
      </c>
      <c r="K781" s="2" t="s">
        <v>33</v>
      </c>
      <c r="L781" s="2">
        <v>496.69</v>
      </c>
      <c r="M781" s="2" t="s">
        <v>65</v>
      </c>
      <c r="N781" s="2" t="s">
        <v>50</v>
      </c>
      <c r="O781" s="2">
        <v>38</v>
      </c>
      <c r="P781" s="2">
        <v>4</v>
      </c>
    </row>
    <row r="782" spans="2:16" ht="21" x14ac:dyDescent="0.55000000000000004">
      <c r="B782" s="2" t="s">
        <v>2071</v>
      </c>
      <c r="C782" s="2" t="s">
        <v>1601</v>
      </c>
      <c r="D782" s="2" t="s">
        <v>68</v>
      </c>
      <c r="E782" s="2" t="s">
        <v>54</v>
      </c>
      <c r="F782" s="6" t="s">
        <v>102</v>
      </c>
      <c r="G782" s="10">
        <f t="shared" si="36"/>
        <v>2024</v>
      </c>
      <c r="H782" s="10">
        <f t="shared" si="37"/>
        <v>1</v>
      </c>
      <c r="I782" s="10">
        <f t="shared" si="38"/>
        <v>26</v>
      </c>
      <c r="J782" s="9" t="s">
        <v>516</v>
      </c>
      <c r="K782" s="2" t="s">
        <v>18</v>
      </c>
      <c r="L782" s="2">
        <v>221.23</v>
      </c>
      <c r="M782" s="2" t="s">
        <v>65</v>
      </c>
      <c r="N782" s="2" t="s">
        <v>41</v>
      </c>
      <c r="O782" s="2">
        <v>88</v>
      </c>
      <c r="P782" s="2">
        <v>1</v>
      </c>
    </row>
    <row r="783" spans="2:16" ht="21" hidden="1" x14ac:dyDescent="0.55000000000000004">
      <c r="B783" s="2" t="s">
        <v>2072</v>
      </c>
      <c r="C783" s="2" t="s">
        <v>2073</v>
      </c>
      <c r="D783" s="2" t="s">
        <v>23</v>
      </c>
      <c r="E783" s="2" t="s">
        <v>89</v>
      </c>
      <c r="F783" s="6" t="s">
        <v>302</v>
      </c>
      <c r="G783" s="10">
        <f t="shared" si="36"/>
        <v>2024</v>
      </c>
      <c r="H783" s="10">
        <f t="shared" si="37"/>
        <v>1</v>
      </c>
      <c r="I783" s="10">
        <f t="shared" si="38"/>
        <v>2</v>
      </c>
      <c r="J783" s="9" t="s">
        <v>103</v>
      </c>
      <c r="K783" s="2" t="s">
        <v>91</v>
      </c>
      <c r="L783" s="2">
        <v>332.25</v>
      </c>
      <c r="M783" s="2" t="s">
        <v>122</v>
      </c>
      <c r="N783" s="2" t="s">
        <v>41</v>
      </c>
      <c r="O783" s="2">
        <v>24</v>
      </c>
      <c r="P783" s="2"/>
    </row>
    <row r="784" spans="2:16" ht="21" hidden="1" x14ac:dyDescent="0.55000000000000004">
      <c r="B784" s="2" t="s">
        <v>2074</v>
      </c>
      <c r="C784" s="2" t="s">
        <v>2075</v>
      </c>
      <c r="D784" s="2" t="s">
        <v>29</v>
      </c>
      <c r="E784" s="2" t="s">
        <v>125</v>
      </c>
      <c r="F784" s="6" t="s">
        <v>118</v>
      </c>
      <c r="G784" s="10">
        <f t="shared" si="36"/>
        <v>2024</v>
      </c>
      <c r="H784" s="10">
        <f t="shared" si="37"/>
        <v>1</v>
      </c>
      <c r="I784" s="10">
        <f t="shared" si="38"/>
        <v>24</v>
      </c>
      <c r="J784" s="9" t="s">
        <v>1767</v>
      </c>
      <c r="K784" s="2" t="s">
        <v>91</v>
      </c>
      <c r="L784" s="2">
        <v>203.66</v>
      </c>
      <c r="M784" s="2" t="s">
        <v>49</v>
      </c>
      <c r="N784" s="2" t="s">
        <v>20</v>
      </c>
      <c r="O784" s="2">
        <v>85</v>
      </c>
      <c r="P784" s="2">
        <v>5</v>
      </c>
    </row>
    <row r="785" spans="2:16" ht="21" hidden="1" x14ac:dyDescent="0.55000000000000004">
      <c r="B785" s="2" t="s">
        <v>2076</v>
      </c>
      <c r="C785" s="2" t="s">
        <v>2077</v>
      </c>
      <c r="D785" s="2" t="s">
        <v>73</v>
      </c>
      <c r="E785" s="2" t="s">
        <v>125</v>
      </c>
      <c r="F785" s="6" t="s">
        <v>85</v>
      </c>
      <c r="G785" s="10">
        <f t="shared" si="36"/>
        <v>2024</v>
      </c>
      <c r="H785" s="10">
        <f t="shared" si="37"/>
        <v>1</v>
      </c>
      <c r="I785" s="10">
        <f t="shared" si="38"/>
        <v>16</v>
      </c>
      <c r="J785" s="9" t="s">
        <v>1139</v>
      </c>
      <c r="K785" s="2" t="s">
        <v>18</v>
      </c>
      <c r="L785" s="2">
        <v>228.65</v>
      </c>
      <c r="M785" s="2" t="s">
        <v>122</v>
      </c>
      <c r="N785" s="2" t="s">
        <v>50</v>
      </c>
      <c r="O785" s="2">
        <v>21</v>
      </c>
      <c r="P785" s="2">
        <v>3</v>
      </c>
    </row>
    <row r="786" spans="2:16" ht="21" hidden="1" x14ac:dyDescent="0.55000000000000004">
      <c r="B786" s="2" t="s">
        <v>2078</v>
      </c>
      <c r="C786" s="2" t="s">
        <v>2079</v>
      </c>
      <c r="D786" s="2" t="s">
        <v>53</v>
      </c>
      <c r="E786" s="2" t="s">
        <v>74</v>
      </c>
      <c r="F786" s="6" t="s">
        <v>102</v>
      </c>
      <c r="G786" s="10">
        <f t="shared" si="36"/>
        <v>2024</v>
      </c>
      <c r="H786" s="10">
        <f t="shared" si="37"/>
        <v>1</v>
      </c>
      <c r="I786" s="10">
        <f t="shared" si="38"/>
        <v>26</v>
      </c>
      <c r="J786" s="9" t="s">
        <v>2080</v>
      </c>
      <c r="K786" s="2" t="s">
        <v>48</v>
      </c>
      <c r="L786" s="2">
        <v>411.69</v>
      </c>
      <c r="M786" s="2" t="s">
        <v>122</v>
      </c>
      <c r="N786" s="2" t="s">
        <v>50</v>
      </c>
      <c r="O786" s="2">
        <v>70</v>
      </c>
      <c r="P786" s="2">
        <v>3</v>
      </c>
    </row>
    <row r="787" spans="2:16" ht="21" hidden="1" x14ac:dyDescent="0.55000000000000004">
      <c r="B787" s="2" t="s">
        <v>2081</v>
      </c>
      <c r="C787" s="2" t="s">
        <v>2082</v>
      </c>
      <c r="D787" s="2" t="s">
        <v>29</v>
      </c>
      <c r="E787" s="2" t="s">
        <v>61</v>
      </c>
      <c r="F787" s="6" t="s">
        <v>144</v>
      </c>
      <c r="G787" s="10">
        <f t="shared" si="36"/>
        <v>2024</v>
      </c>
      <c r="H787" s="10">
        <f t="shared" si="37"/>
        <v>1</v>
      </c>
      <c r="I787" s="10">
        <f t="shared" si="38"/>
        <v>7</v>
      </c>
      <c r="J787" s="9" t="s">
        <v>2083</v>
      </c>
      <c r="K787" s="2" t="s">
        <v>48</v>
      </c>
      <c r="L787" s="2">
        <v>245.55</v>
      </c>
      <c r="M787" s="2" t="s">
        <v>49</v>
      </c>
      <c r="N787" s="2" t="s">
        <v>26</v>
      </c>
      <c r="O787" s="2">
        <v>19</v>
      </c>
      <c r="P787" s="2">
        <v>4</v>
      </c>
    </row>
    <row r="788" spans="2:16" ht="21" hidden="1" x14ac:dyDescent="0.55000000000000004">
      <c r="B788" s="2" t="s">
        <v>2084</v>
      </c>
      <c r="C788" s="2" t="s">
        <v>2085</v>
      </c>
      <c r="D788" s="2" t="s">
        <v>68</v>
      </c>
      <c r="E788" s="2" t="s">
        <v>37</v>
      </c>
      <c r="F788" s="6" t="s">
        <v>62</v>
      </c>
      <c r="G788" s="10">
        <f t="shared" si="36"/>
        <v>2024</v>
      </c>
      <c r="H788" s="10">
        <f t="shared" si="37"/>
        <v>1</v>
      </c>
      <c r="I788" s="10">
        <f t="shared" si="38"/>
        <v>31</v>
      </c>
      <c r="J788" s="9" t="s">
        <v>1734</v>
      </c>
      <c r="K788" s="2" t="s">
        <v>57</v>
      </c>
      <c r="L788" s="2">
        <v>372.67</v>
      </c>
      <c r="M788" s="2" t="s">
        <v>19</v>
      </c>
      <c r="N788" s="2" t="s">
        <v>41</v>
      </c>
      <c r="O788" s="2">
        <v>81</v>
      </c>
      <c r="P788" s="2">
        <v>3</v>
      </c>
    </row>
    <row r="789" spans="2:16" ht="21" hidden="1" x14ac:dyDescent="0.55000000000000004">
      <c r="B789" s="2" t="s">
        <v>2086</v>
      </c>
      <c r="C789" s="2" t="s">
        <v>2087</v>
      </c>
      <c r="D789" s="2" t="s">
        <v>68</v>
      </c>
      <c r="E789" s="2" t="s">
        <v>15</v>
      </c>
      <c r="F789" s="6" t="s">
        <v>180</v>
      </c>
      <c r="G789" s="10">
        <f t="shared" si="36"/>
        <v>2024</v>
      </c>
      <c r="H789" s="10">
        <f t="shared" si="37"/>
        <v>1</v>
      </c>
      <c r="I789" s="10">
        <f t="shared" si="38"/>
        <v>28</v>
      </c>
      <c r="J789" s="9" t="s">
        <v>2088</v>
      </c>
      <c r="K789" s="2" t="s">
        <v>77</v>
      </c>
      <c r="L789" s="2">
        <v>446.33</v>
      </c>
      <c r="M789" s="2" t="s">
        <v>19</v>
      </c>
      <c r="N789" s="2" t="s">
        <v>41</v>
      </c>
      <c r="O789" s="2">
        <v>31</v>
      </c>
      <c r="P789" s="2">
        <v>5</v>
      </c>
    </row>
    <row r="790" spans="2:16" ht="21" hidden="1" x14ac:dyDescent="0.55000000000000004">
      <c r="B790" s="2" t="s">
        <v>2089</v>
      </c>
      <c r="C790" s="2" t="s">
        <v>2090</v>
      </c>
      <c r="D790" s="2" t="s">
        <v>29</v>
      </c>
      <c r="E790" s="2" t="s">
        <v>15</v>
      </c>
      <c r="F790" s="6" t="s">
        <v>161</v>
      </c>
      <c r="G790" s="10">
        <f t="shared" si="36"/>
        <v>2024</v>
      </c>
      <c r="H790" s="10">
        <f t="shared" si="37"/>
        <v>1</v>
      </c>
      <c r="I790" s="10">
        <f t="shared" si="38"/>
        <v>5</v>
      </c>
      <c r="J790" s="9" t="s">
        <v>770</v>
      </c>
      <c r="K790" s="2" t="s">
        <v>40</v>
      </c>
      <c r="L790" s="2">
        <v>274.56</v>
      </c>
      <c r="M790" s="2" t="s">
        <v>65</v>
      </c>
      <c r="N790" s="2" t="s">
        <v>50</v>
      </c>
      <c r="O790" s="2">
        <v>55</v>
      </c>
      <c r="P790" s="2">
        <v>3</v>
      </c>
    </row>
    <row r="791" spans="2:16" ht="21" hidden="1" x14ac:dyDescent="0.55000000000000004">
      <c r="B791" s="2" t="s">
        <v>2091</v>
      </c>
      <c r="C791" s="2" t="s">
        <v>2092</v>
      </c>
      <c r="D791" s="2" t="s">
        <v>106</v>
      </c>
      <c r="E791" s="2" t="s">
        <v>80</v>
      </c>
      <c r="F791" s="6" t="s">
        <v>272</v>
      </c>
      <c r="G791" s="10">
        <f t="shared" si="36"/>
        <v>2024</v>
      </c>
      <c r="H791" s="10">
        <f t="shared" si="37"/>
        <v>1</v>
      </c>
      <c r="I791" s="10">
        <f t="shared" si="38"/>
        <v>1</v>
      </c>
      <c r="J791" s="9" t="s">
        <v>1028</v>
      </c>
      <c r="K791" s="2" t="s">
        <v>33</v>
      </c>
      <c r="L791" s="2">
        <v>178.83</v>
      </c>
      <c r="M791" s="2" t="s">
        <v>122</v>
      </c>
      <c r="N791" s="2" t="s">
        <v>26</v>
      </c>
      <c r="O791" s="2">
        <v>67</v>
      </c>
      <c r="P791" s="2">
        <v>3</v>
      </c>
    </row>
    <row r="792" spans="2:16" ht="21" hidden="1" x14ac:dyDescent="0.55000000000000004">
      <c r="B792" s="2" t="s">
        <v>2093</v>
      </c>
      <c r="C792" s="2" t="s">
        <v>2094</v>
      </c>
      <c r="D792" s="2" t="s">
        <v>117</v>
      </c>
      <c r="E792" s="2" t="s">
        <v>125</v>
      </c>
      <c r="F792" s="6" t="s">
        <v>113</v>
      </c>
      <c r="G792" s="10">
        <f t="shared" si="36"/>
        <v>2024</v>
      </c>
      <c r="H792" s="10">
        <f t="shared" si="37"/>
        <v>1</v>
      </c>
      <c r="I792" s="10">
        <f t="shared" si="38"/>
        <v>15</v>
      </c>
      <c r="J792" s="9" t="s">
        <v>418</v>
      </c>
      <c r="K792" s="2" t="s">
        <v>91</v>
      </c>
      <c r="L792" s="2">
        <v>257.85000000000002</v>
      </c>
      <c r="M792" s="2" t="s">
        <v>65</v>
      </c>
      <c r="N792" s="2" t="s">
        <v>50</v>
      </c>
      <c r="O792" s="2">
        <v>86</v>
      </c>
      <c r="P792" s="2">
        <v>3</v>
      </c>
    </row>
    <row r="793" spans="2:16" ht="21" hidden="1" x14ac:dyDescent="0.55000000000000004">
      <c r="B793" s="2" t="s">
        <v>2095</v>
      </c>
      <c r="C793" s="2" t="s">
        <v>2096</v>
      </c>
      <c r="D793" s="2" t="s">
        <v>23</v>
      </c>
      <c r="E793" s="2" t="s">
        <v>125</v>
      </c>
      <c r="F793" s="6" t="s">
        <v>161</v>
      </c>
      <c r="G793" s="10">
        <f t="shared" si="36"/>
        <v>2024</v>
      </c>
      <c r="H793" s="10">
        <f t="shared" si="37"/>
        <v>1</v>
      </c>
      <c r="I793" s="10">
        <f t="shared" si="38"/>
        <v>5</v>
      </c>
      <c r="J793" s="9" t="s">
        <v>1596</v>
      </c>
      <c r="K793" s="2" t="s">
        <v>33</v>
      </c>
      <c r="L793" s="2">
        <v>498.04</v>
      </c>
      <c r="M793" s="2" t="s">
        <v>49</v>
      </c>
      <c r="N793" s="2" t="s">
        <v>26</v>
      </c>
      <c r="O793" s="2">
        <v>76</v>
      </c>
      <c r="P793" s="2">
        <v>2</v>
      </c>
    </row>
    <row r="794" spans="2:16" ht="21" x14ac:dyDescent="0.55000000000000004">
      <c r="B794" s="2" t="s">
        <v>2097</v>
      </c>
      <c r="C794" s="2" t="s">
        <v>2098</v>
      </c>
      <c r="D794" s="2" t="s">
        <v>14</v>
      </c>
      <c r="E794" s="2" t="s">
        <v>54</v>
      </c>
      <c r="F794" s="6" t="s">
        <v>302</v>
      </c>
      <c r="G794" s="10">
        <f t="shared" si="36"/>
        <v>2024</v>
      </c>
      <c r="H794" s="10">
        <f t="shared" si="37"/>
        <v>1</v>
      </c>
      <c r="I794" s="10">
        <f t="shared" si="38"/>
        <v>2</v>
      </c>
      <c r="J794" s="9" t="s">
        <v>2099</v>
      </c>
      <c r="K794" s="2" t="s">
        <v>40</v>
      </c>
      <c r="L794" s="2">
        <v>320.52999999999997</v>
      </c>
      <c r="M794" s="2" t="s">
        <v>49</v>
      </c>
      <c r="N794" s="2" t="s">
        <v>20</v>
      </c>
      <c r="O794" s="2">
        <v>81</v>
      </c>
      <c r="P794" s="2"/>
    </row>
    <row r="795" spans="2:16" ht="21" hidden="1" x14ac:dyDescent="0.55000000000000004">
      <c r="B795" s="2" t="s">
        <v>2100</v>
      </c>
      <c r="C795" s="2" t="s">
        <v>2101</v>
      </c>
      <c r="D795" s="2" t="s">
        <v>106</v>
      </c>
      <c r="E795" s="2" t="s">
        <v>125</v>
      </c>
      <c r="F795" s="6" t="s">
        <v>46</v>
      </c>
      <c r="G795" s="10">
        <f t="shared" si="36"/>
        <v>2024</v>
      </c>
      <c r="H795" s="10">
        <f t="shared" si="37"/>
        <v>1</v>
      </c>
      <c r="I795" s="10">
        <f t="shared" si="38"/>
        <v>17</v>
      </c>
      <c r="J795" s="9" t="s">
        <v>863</v>
      </c>
      <c r="K795" s="2" t="s">
        <v>40</v>
      </c>
      <c r="L795" s="2">
        <v>186.85</v>
      </c>
      <c r="M795" s="2" t="s">
        <v>122</v>
      </c>
      <c r="N795" s="2" t="s">
        <v>26</v>
      </c>
      <c r="O795" s="2">
        <v>56</v>
      </c>
      <c r="P795" s="2">
        <v>5</v>
      </c>
    </row>
    <row r="796" spans="2:16" ht="21" hidden="1" x14ac:dyDescent="0.55000000000000004">
      <c r="B796" s="2" t="s">
        <v>2102</v>
      </c>
      <c r="C796" s="2" t="s">
        <v>2103</v>
      </c>
      <c r="D796" s="2" t="s">
        <v>68</v>
      </c>
      <c r="E796" s="2" t="s">
        <v>61</v>
      </c>
      <c r="F796" s="6" t="s">
        <v>38</v>
      </c>
      <c r="G796" s="10">
        <f t="shared" si="36"/>
        <v>2024</v>
      </c>
      <c r="H796" s="10">
        <f t="shared" si="37"/>
        <v>1</v>
      </c>
      <c r="I796" s="10">
        <f t="shared" si="38"/>
        <v>11</v>
      </c>
      <c r="J796" s="9" t="s">
        <v>2104</v>
      </c>
      <c r="K796" s="2" t="s">
        <v>57</v>
      </c>
      <c r="L796" s="2">
        <v>460.78</v>
      </c>
      <c r="M796" s="2" t="s">
        <v>122</v>
      </c>
      <c r="N796" s="2" t="s">
        <v>20</v>
      </c>
      <c r="O796" s="2">
        <v>24</v>
      </c>
      <c r="P796" s="2">
        <v>4</v>
      </c>
    </row>
    <row r="797" spans="2:16" ht="21" hidden="1" x14ac:dyDescent="0.55000000000000004">
      <c r="B797" s="2" t="s">
        <v>2105</v>
      </c>
      <c r="C797" s="2" t="s">
        <v>1449</v>
      </c>
      <c r="D797" s="2" t="s">
        <v>73</v>
      </c>
      <c r="E797" s="2" t="s">
        <v>125</v>
      </c>
      <c r="F797" s="6" t="s">
        <v>38</v>
      </c>
      <c r="G797" s="10">
        <f t="shared" si="36"/>
        <v>2024</v>
      </c>
      <c r="H797" s="10">
        <f t="shared" si="37"/>
        <v>1</v>
      </c>
      <c r="I797" s="10">
        <f t="shared" si="38"/>
        <v>11</v>
      </c>
      <c r="J797" s="9" t="s">
        <v>1296</v>
      </c>
      <c r="K797" s="2" t="s">
        <v>91</v>
      </c>
      <c r="L797" s="2">
        <v>351.41</v>
      </c>
      <c r="M797" s="2" t="s">
        <v>49</v>
      </c>
      <c r="N797" s="2" t="s">
        <v>50</v>
      </c>
      <c r="O797" s="2">
        <v>54</v>
      </c>
      <c r="P797" s="2">
        <v>4</v>
      </c>
    </row>
    <row r="798" spans="2:16" ht="21" hidden="1" x14ac:dyDescent="0.55000000000000004">
      <c r="B798" s="2" t="s">
        <v>2106</v>
      </c>
      <c r="C798" s="2" t="s">
        <v>664</v>
      </c>
      <c r="D798" s="2" t="s">
        <v>117</v>
      </c>
      <c r="E798" s="2" t="s">
        <v>45</v>
      </c>
      <c r="F798" s="6" t="s">
        <v>118</v>
      </c>
      <c r="G798" s="10">
        <f t="shared" si="36"/>
        <v>2024</v>
      </c>
      <c r="H798" s="10">
        <f t="shared" si="37"/>
        <v>1</v>
      </c>
      <c r="I798" s="10">
        <f t="shared" si="38"/>
        <v>24</v>
      </c>
      <c r="J798" s="9" t="s">
        <v>315</v>
      </c>
      <c r="K798" s="2" t="s">
        <v>91</v>
      </c>
      <c r="L798" s="2">
        <v>477.61</v>
      </c>
      <c r="M798" s="2" t="s">
        <v>49</v>
      </c>
      <c r="N798" s="2" t="s">
        <v>20</v>
      </c>
      <c r="O798" s="2">
        <v>61</v>
      </c>
      <c r="P798" s="2">
        <v>2</v>
      </c>
    </row>
    <row r="799" spans="2:16" ht="21" hidden="1" x14ac:dyDescent="0.55000000000000004">
      <c r="B799" s="2" t="s">
        <v>2107</v>
      </c>
      <c r="C799" s="2" t="s">
        <v>2108</v>
      </c>
      <c r="D799" s="2" t="s">
        <v>60</v>
      </c>
      <c r="E799" s="2" t="s">
        <v>74</v>
      </c>
      <c r="F799" s="6" t="s">
        <v>302</v>
      </c>
      <c r="G799" s="10">
        <f t="shared" si="36"/>
        <v>2024</v>
      </c>
      <c r="H799" s="10">
        <f t="shared" si="37"/>
        <v>1</v>
      </c>
      <c r="I799" s="10">
        <f t="shared" si="38"/>
        <v>2</v>
      </c>
      <c r="J799" s="9" t="s">
        <v>2068</v>
      </c>
      <c r="K799" s="2" t="s">
        <v>64</v>
      </c>
      <c r="L799" s="2">
        <v>499.1</v>
      </c>
      <c r="M799" s="2" t="s">
        <v>49</v>
      </c>
      <c r="N799" s="2" t="s">
        <v>50</v>
      </c>
      <c r="O799" s="2">
        <v>60</v>
      </c>
      <c r="P799" s="2"/>
    </row>
    <row r="800" spans="2:16" ht="21" hidden="1" x14ac:dyDescent="0.55000000000000004">
      <c r="B800" s="2" t="s">
        <v>2109</v>
      </c>
      <c r="C800" s="2" t="s">
        <v>2110</v>
      </c>
      <c r="D800" s="2" t="s">
        <v>29</v>
      </c>
      <c r="E800" s="2" t="s">
        <v>15</v>
      </c>
      <c r="F800" s="6" t="s">
        <v>69</v>
      </c>
      <c r="G800" s="10">
        <f t="shared" si="36"/>
        <v>2024</v>
      </c>
      <c r="H800" s="10">
        <f t="shared" si="37"/>
        <v>1</v>
      </c>
      <c r="I800" s="10">
        <f t="shared" si="38"/>
        <v>27</v>
      </c>
      <c r="J800" s="9" t="s">
        <v>2111</v>
      </c>
      <c r="K800" s="2" t="s">
        <v>18</v>
      </c>
      <c r="L800" s="2">
        <v>178.69</v>
      </c>
      <c r="M800" s="2" t="s">
        <v>65</v>
      </c>
      <c r="N800" s="2" t="s">
        <v>50</v>
      </c>
      <c r="O800" s="2">
        <v>56</v>
      </c>
      <c r="P800" s="2">
        <v>4</v>
      </c>
    </row>
    <row r="801" spans="2:16" ht="21" hidden="1" x14ac:dyDescent="0.55000000000000004">
      <c r="B801" s="2" t="s">
        <v>2112</v>
      </c>
      <c r="C801" s="2" t="s">
        <v>2113</v>
      </c>
      <c r="D801" s="2" t="s">
        <v>44</v>
      </c>
      <c r="E801" s="2" t="s">
        <v>15</v>
      </c>
      <c r="F801" s="6" t="s">
        <v>161</v>
      </c>
      <c r="G801" s="10">
        <f t="shared" si="36"/>
        <v>2024</v>
      </c>
      <c r="H801" s="10">
        <f t="shared" si="37"/>
        <v>1</v>
      </c>
      <c r="I801" s="10">
        <f t="shared" si="38"/>
        <v>5</v>
      </c>
      <c r="J801" s="9" t="s">
        <v>866</v>
      </c>
      <c r="K801" s="2" t="s">
        <v>40</v>
      </c>
      <c r="L801" s="2">
        <v>192.31</v>
      </c>
      <c r="M801" s="2" t="s">
        <v>122</v>
      </c>
      <c r="N801" s="2" t="s">
        <v>20</v>
      </c>
      <c r="O801" s="2">
        <v>31</v>
      </c>
      <c r="P801" s="2">
        <v>3</v>
      </c>
    </row>
    <row r="802" spans="2:16" ht="21" x14ac:dyDescent="0.55000000000000004">
      <c r="B802" s="2" t="s">
        <v>2114</v>
      </c>
      <c r="C802" s="2" t="s">
        <v>2115</v>
      </c>
      <c r="D802" s="2" t="s">
        <v>23</v>
      </c>
      <c r="E802" s="2" t="s">
        <v>54</v>
      </c>
      <c r="F802" s="6" t="s">
        <v>16</v>
      </c>
      <c r="G802" s="10">
        <f t="shared" si="36"/>
        <v>2024</v>
      </c>
      <c r="H802" s="10">
        <f t="shared" si="37"/>
        <v>1</v>
      </c>
      <c r="I802" s="10">
        <f t="shared" si="38"/>
        <v>9</v>
      </c>
      <c r="J802" s="9" t="s">
        <v>350</v>
      </c>
      <c r="K802" s="2" t="s">
        <v>40</v>
      </c>
      <c r="L802" s="2">
        <v>408.5</v>
      </c>
      <c r="M802" s="2" t="s">
        <v>19</v>
      </c>
      <c r="N802" s="2" t="s">
        <v>50</v>
      </c>
      <c r="O802" s="2">
        <v>88</v>
      </c>
      <c r="P802" s="2">
        <v>2</v>
      </c>
    </row>
    <row r="803" spans="2:16" ht="21" hidden="1" x14ac:dyDescent="0.55000000000000004">
      <c r="B803" s="2" t="s">
        <v>2116</v>
      </c>
      <c r="C803" s="2" t="s">
        <v>2117</v>
      </c>
      <c r="D803" s="2" t="s">
        <v>117</v>
      </c>
      <c r="E803" s="2" t="s">
        <v>89</v>
      </c>
      <c r="F803" s="6" t="s">
        <v>38</v>
      </c>
      <c r="G803" s="10">
        <f t="shared" si="36"/>
        <v>2024</v>
      </c>
      <c r="H803" s="10">
        <f t="shared" si="37"/>
        <v>1</v>
      </c>
      <c r="I803" s="10">
        <f t="shared" si="38"/>
        <v>11</v>
      </c>
      <c r="J803" s="9" t="s">
        <v>2118</v>
      </c>
      <c r="K803" s="2" t="s">
        <v>18</v>
      </c>
      <c r="L803" s="2">
        <v>206.34</v>
      </c>
      <c r="M803" s="2" t="s">
        <v>122</v>
      </c>
      <c r="N803" s="2" t="s">
        <v>41</v>
      </c>
      <c r="O803" s="2">
        <v>76</v>
      </c>
      <c r="P803" s="2">
        <v>2</v>
      </c>
    </row>
    <row r="804" spans="2:16" ht="21" x14ac:dyDescent="0.55000000000000004">
      <c r="B804" s="2" t="s">
        <v>2119</v>
      </c>
      <c r="C804" s="2" t="s">
        <v>2120</v>
      </c>
      <c r="D804" s="2" t="s">
        <v>44</v>
      </c>
      <c r="E804" s="2" t="s">
        <v>54</v>
      </c>
      <c r="F804" s="6" t="s">
        <v>132</v>
      </c>
      <c r="G804" s="10">
        <f t="shared" si="36"/>
        <v>2024</v>
      </c>
      <c r="H804" s="10">
        <f t="shared" si="37"/>
        <v>1</v>
      </c>
      <c r="I804" s="10">
        <f t="shared" si="38"/>
        <v>6</v>
      </c>
      <c r="J804" s="9" t="s">
        <v>608</v>
      </c>
      <c r="K804" s="2" t="s">
        <v>91</v>
      </c>
      <c r="L804" s="2">
        <v>275.76</v>
      </c>
      <c r="M804" s="2" t="s">
        <v>65</v>
      </c>
      <c r="N804" s="2" t="s">
        <v>50</v>
      </c>
      <c r="O804" s="2">
        <v>68</v>
      </c>
      <c r="P804" s="2"/>
    </row>
    <row r="805" spans="2:16" ht="21" hidden="1" x14ac:dyDescent="0.55000000000000004">
      <c r="B805" s="2" t="s">
        <v>2121</v>
      </c>
      <c r="C805" s="2" t="s">
        <v>2122</v>
      </c>
      <c r="D805" s="2" t="s">
        <v>14</v>
      </c>
      <c r="E805" s="2" t="s">
        <v>125</v>
      </c>
      <c r="F805" s="6" t="s">
        <v>198</v>
      </c>
      <c r="G805" s="10">
        <f t="shared" si="36"/>
        <v>2024</v>
      </c>
      <c r="H805" s="10">
        <f t="shared" si="37"/>
        <v>1</v>
      </c>
      <c r="I805" s="10">
        <f t="shared" si="38"/>
        <v>4</v>
      </c>
      <c r="J805" s="9" t="s">
        <v>1663</v>
      </c>
      <c r="K805" s="2" t="s">
        <v>33</v>
      </c>
      <c r="L805" s="2">
        <v>106.98</v>
      </c>
      <c r="M805" s="2" t="s">
        <v>122</v>
      </c>
      <c r="N805" s="2" t="s">
        <v>41</v>
      </c>
      <c r="O805" s="2">
        <v>55</v>
      </c>
      <c r="P805" s="2">
        <v>5</v>
      </c>
    </row>
    <row r="806" spans="2:16" ht="21" hidden="1" x14ac:dyDescent="0.55000000000000004">
      <c r="B806" s="2" t="s">
        <v>2123</v>
      </c>
      <c r="C806" s="2" t="s">
        <v>2124</v>
      </c>
      <c r="D806" s="2" t="s">
        <v>73</v>
      </c>
      <c r="E806" s="2" t="s">
        <v>74</v>
      </c>
      <c r="F806" s="6" t="s">
        <v>198</v>
      </c>
      <c r="G806" s="10">
        <f t="shared" si="36"/>
        <v>2024</v>
      </c>
      <c r="H806" s="10">
        <f t="shared" si="37"/>
        <v>1</v>
      </c>
      <c r="I806" s="10">
        <f t="shared" si="38"/>
        <v>4</v>
      </c>
      <c r="J806" s="9" t="s">
        <v>2125</v>
      </c>
      <c r="K806" s="2" t="s">
        <v>48</v>
      </c>
      <c r="L806" s="2">
        <v>420.45</v>
      </c>
      <c r="M806" s="2" t="s">
        <v>49</v>
      </c>
      <c r="N806" s="2" t="s">
        <v>20</v>
      </c>
      <c r="O806" s="2">
        <v>73</v>
      </c>
      <c r="P806" s="2">
        <v>5</v>
      </c>
    </row>
    <row r="807" spans="2:16" ht="21" hidden="1" x14ac:dyDescent="0.55000000000000004">
      <c r="B807" s="2" t="s">
        <v>2126</v>
      </c>
      <c r="C807" s="2" t="s">
        <v>2127</v>
      </c>
      <c r="D807" s="2" t="s">
        <v>23</v>
      </c>
      <c r="E807" s="2" t="s">
        <v>125</v>
      </c>
      <c r="F807" s="6" t="s">
        <v>257</v>
      </c>
      <c r="G807" s="10">
        <f t="shared" si="36"/>
        <v>2024</v>
      </c>
      <c r="H807" s="10">
        <f t="shared" si="37"/>
        <v>1</v>
      </c>
      <c r="I807" s="10">
        <f t="shared" si="38"/>
        <v>10</v>
      </c>
      <c r="J807" s="9" t="s">
        <v>457</v>
      </c>
      <c r="K807" s="2" t="s">
        <v>33</v>
      </c>
      <c r="L807" s="2">
        <v>341.18</v>
      </c>
      <c r="M807" s="2" t="s">
        <v>122</v>
      </c>
      <c r="N807" s="2" t="s">
        <v>26</v>
      </c>
      <c r="O807" s="2">
        <v>35</v>
      </c>
      <c r="P807" s="2"/>
    </row>
    <row r="808" spans="2:16" ht="21" hidden="1" x14ac:dyDescent="0.55000000000000004">
      <c r="B808" s="2" t="s">
        <v>2128</v>
      </c>
      <c r="C808" s="2" t="s">
        <v>2129</v>
      </c>
      <c r="D808" s="2" t="s">
        <v>29</v>
      </c>
      <c r="E808" s="2" t="s">
        <v>80</v>
      </c>
      <c r="F808" s="6" t="s">
        <v>154</v>
      </c>
      <c r="G808" s="10">
        <f t="shared" si="36"/>
        <v>2024</v>
      </c>
      <c r="H808" s="10">
        <f t="shared" si="37"/>
        <v>1</v>
      </c>
      <c r="I808" s="10">
        <f t="shared" si="38"/>
        <v>22</v>
      </c>
      <c r="J808" s="9" t="s">
        <v>2130</v>
      </c>
      <c r="K808" s="2" t="s">
        <v>57</v>
      </c>
      <c r="L808" s="2">
        <v>271.24</v>
      </c>
      <c r="M808" s="2" t="s">
        <v>65</v>
      </c>
      <c r="N808" s="2" t="s">
        <v>20</v>
      </c>
      <c r="O808" s="2">
        <v>28</v>
      </c>
      <c r="P808" s="2">
        <v>1</v>
      </c>
    </row>
    <row r="809" spans="2:16" ht="21" hidden="1" x14ac:dyDescent="0.55000000000000004">
      <c r="B809" s="2" t="s">
        <v>2131</v>
      </c>
      <c r="C809" s="2" t="s">
        <v>2132</v>
      </c>
      <c r="D809" s="2" t="s">
        <v>117</v>
      </c>
      <c r="E809" s="2" t="s">
        <v>125</v>
      </c>
      <c r="F809" s="6" t="s">
        <v>85</v>
      </c>
      <c r="G809" s="10">
        <f t="shared" si="36"/>
        <v>2024</v>
      </c>
      <c r="H809" s="10">
        <f t="shared" si="37"/>
        <v>1</v>
      </c>
      <c r="I809" s="10">
        <f t="shared" si="38"/>
        <v>16</v>
      </c>
      <c r="J809" s="9" t="s">
        <v>2133</v>
      </c>
      <c r="K809" s="2" t="s">
        <v>77</v>
      </c>
      <c r="L809" s="2">
        <v>315.39</v>
      </c>
      <c r="M809" s="2" t="s">
        <v>65</v>
      </c>
      <c r="N809" s="2" t="s">
        <v>50</v>
      </c>
      <c r="O809" s="2">
        <v>27</v>
      </c>
      <c r="P809" s="2">
        <v>3</v>
      </c>
    </row>
    <row r="810" spans="2:16" ht="21" hidden="1" x14ac:dyDescent="0.55000000000000004">
      <c r="B810" s="2" t="s">
        <v>2134</v>
      </c>
      <c r="C810" s="2" t="s">
        <v>2135</v>
      </c>
      <c r="D810" s="2" t="s">
        <v>106</v>
      </c>
      <c r="E810" s="2" t="s">
        <v>80</v>
      </c>
      <c r="F810" s="6" t="s">
        <v>38</v>
      </c>
      <c r="G810" s="10">
        <f t="shared" si="36"/>
        <v>2024</v>
      </c>
      <c r="H810" s="10">
        <f t="shared" si="37"/>
        <v>1</v>
      </c>
      <c r="I810" s="10">
        <f t="shared" si="38"/>
        <v>11</v>
      </c>
      <c r="J810" s="9" t="s">
        <v>1007</v>
      </c>
      <c r="K810" s="2" t="s">
        <v>91</v>
      </c>
      <c r="L810" s="2">
        <v>325.10000000000002</v>
      </c>
      <c r="M810" s="2" t="s">
        <v>122</v>
      </c>
      <c r="N810" s="2" t="s">
        <v>50</v>
      </c>
      <c r="O810" s="2">
        <v>81</v>
      </c>
      <c r="P810" s="2"/>
    </row>
    <row r="811" spans="2:16" ht="21" hidden="1" x14ac:dyDescent="0.55000000000000004">
      <c r="B811" s="2" t="s">
        <v>2136</v>
      </c>
      <c r="C811" s="2" t="s">
        <v>2137</v>
      </c>
      <c r="D811" s="2" t="s">
        <v>60</v>
      </c>
      <c r="E811" s="2" t="s">
        <v>61</v>
      </c>
      <c r="F811" s="6" t="s">
        <v>24</v>
      </c>
      <c r="G811" s="10">
        <f t="shared" si="36"/>
        <v>2024</v>
      </c>
      <c r="H811" s="10">
        <f t="shared" si="37"/>
        <v>1</v>
      </c>
      <c r="I811" s="10">
        <f t="shared" si="38"/>
        <v>21</v>
      </c>
      <c r="J811" s="9" t="s">
        <v>779</v>
      </c>
      <c r="K811" s="2" t="s">
        <v>18</v>
      </c>
      <c r="L811" s="2">
        <v>292.42</v>
      </c>
      <c r="M811" s="2" t="s">
        <v>19</v>
      </c>
      <c r="N811" s="2" t="s">
        <v>41</v>
      </c>
      <c r="O811" s="2">
        <v>47</v>
      </c>
      <c r="P811" s="2">
        <v>2</v>
      </c>
    </row>
    <row r="812" spans="2:16" ht="21" hidden="1" x14ac:dyDescent="0.55000000000000004">
      <c r="B812" s="2" t="s">
        <v>2138</v>
      </c>
      <c r="C812" s="2" t="s">
        <v>2139</v>
      </c>
      <c r="D812" s="2" t="s">
        <v>23</v>
      </c>
      <c r="E812" s="2" t="s">
        <v>80</v>
      </c>
      <c r="F812" s="6" t="s">
        <v>62</v>
      </c>
      <c r="G812" s="10">
        <f t="shared" si="36"/>
        <v>2024</v>
      </c>
      <c r="H812" s="10">
        <f t="shared" si="37"/>
        <v>1</v>
      </c>
      <c r="I812" s="10">
        <f t="shared" si="38"/>
        <v>31</v>
      </c>
      <c r="J812" s="9" t="s">
        <v>2140</v>
      </c>
      <c r="K812" s="2" t="s">
        <v>33</v>
      </c>
      <c r="L812" s="2">
        <v>440.97</v>
      </c>
      <c r="M812" s="2" t="s">
        <v>65</v>
      </c>
      <c r="N812" s="2" t="s">
        <v>26</v>
      </c>
      <c r="O812" s="2">
        <v>50</v>
      </c>
      <c r="P812" s="2">
        <v>4</v>
      </c>
    </row>
    <row r="813" spans="2:16" ht="21" x14ac:dyDescent="0.55000000000000004">
      <c r="B813" s="2" t="s">
        <v>2141</v>
      </c>
      <c r="C813" s="2" t="s">
        <v>2142</v>
      </c>
      <c r="D813" s="2" t="s">
        <v>117</v>
      </c>
      <c r="E813" s="2" t="s">
        <v>54</v>
      </c>
      <c r="F813" s="6" t="s">
        <v>16</v>
      </c>
      <c r="G813" s="10">
        <f t="shared" si="36"/>
        <v>2024</v>
      </c>
      <c r="H813" s="10">
        <f t="shared" si="37"/>
        <v>1</v>
      </c>
      <c r="I813" s="10">
        <f t="shared" si="38"/>
        <v>9</v>
      </c>
      <c r="J813" s="9" t="s">
        <v>600</v>
      </c>
      <c r="K813" s="2" t="s">
        <v>18</v>
      </c>
      <c r="L813" s="2">
        <v>304.01</v>
      </c>
      <c r="M813" s="2" t="s">
        <v>122</v>
      </c>
      <c r="N813" s="2" t="s">
        <v>26</v>
      </c>
      <c r="O813" s="2">
        <v>53</v>
      </c>
      <c r="P813" s="2">
        <v>1</v>
      </c>
    </row>
    <row r="814" spans="2:16" ht="21" hidden="1" x14ac:dyDescent="0.55000000000000004">
      <c r="B814" s="2" t="s">
        <v>2143</v>
      </c>
      <c r="C814" s="2" t="s">
        <v>2144</v>
      </c>
      <c r="D814" s="2" t="s">
        <v>73</v>
      </c>
      <c r="E814" s="2" t="s">
        <v>125</v>
      </c>
      <c r="F814" s="6" t="s">
        <v>81</v>
      </c>
      <c r="G814" s="10">
        <f t="shared" si="36"/>
        <v>2024</v>
      </c>
      <c r="H814" s="10">
        <f t="shared" si="37"/>
        <v>1</v>
      </c>
      <c r="I814" s="10">
        <f t="shared" si="38"/>
        <v>18</v>
      </c>
      <c r="J814" s="9" t="s">
        <v>1875</v>
      </c>
      <c r="K814" s="2" t="s">
        <v>91</v>
      </c>
      <c r="L814" s="2">
        <v>434.33</v>
      </c>
      <c r="M814" s="2" t="s">
        <v>65</v>
      </c>
      <c r="N814" s="2" t="s">
        <v>41</v>
      </c>
      <c r="O814" s="2">
        <v>27</v>
      </c>
      <c r="P814" s="2">
        <v>3</v>
      </c>
    </row>
    <row r="815" spans="2:16" ht="21" hidden="1" x14ac:dyDescent="0.55000000000000004">
      <c r="B815" s="2" t="s">
        <v>2145</v>
      </c>
      <c r="C815" s="2" t="s">
        <v>2146</v>
      </c>
      <c r="D815" s="2" t="s">
        <v>14</v>
      </c>
      <c r="E815" s="2" t="s">
        <v>139</v>
      </c>
      <c r="F815" s="6" t="s">
        <v>144</v>
      </c>
      <c r="G815" s="10">
        <f t="shared" si="36"/>
        <v>2024</v>
      </c>
      <c r="H815" s="10">
        <f t="shared" si="37"/>
        <v>1</v>
      </c>
      <c r="I815" s="10">
        <f t="shared" si="38"/>
        <v>7</v>
      </c>
      <c r="J815" s="9" t="s">
        <v>2147</v>
      </c>
      <c r="K815" s="2" t="s">
        <v>91</v>
      </c>
      <c r="L815" s="2">
        <v>95.16</v>
      </c>
      <c r="M815" s="2" t="s">
        <v>65</v>
      </c>
      <c r="N815" s="2" t="s">
        <v>20</v>
      </c>
      <c r="O815" s="2">
        <v>34</v>
      </c>
      <c r="P815" s="2">
        <v>3</v>
      </c>
    </row>
    <row r="816" spans="2:16" ht="21" hidden="1" x14ac:dyDescent="0.55000000000000004">
      <c r="B816" s="2" t="s">
        <v>2148</v>
      </c>
      <c r="C816" s="2" t="s">
        <v>2149</v>
      </c>
      <c r="D816" s="2" t="s">
        <v>14</v>
      </c>
      <c r="E816" s="2" t="s">
        <v>37</v>
      </c>
      <c r="F816" s="6" t="s">
        <v>302</v>
      </c>
      <c r="G816" s="10">
        <f t="shared" si="36"/>
        <v>2024</v>
      </c>
      <c r="H816" s="10">
        <f t="shared" si="37"/>
        <v>1</v>
      </c>
      <c r="I816" s="10">
        <f t="shared" si="38"/>
        <v>2</v>
      </c>
      <c r="J816" s="9" t="s">
        <v>819</v>
      </c>
      <c r="K816" s="2" t="s">
        <v>64</v>
      </c>
      <c r="L816" s="2">
        <v>274.91000000000003</v>
      </c>
      <c r="M816" s="2" t="s">
        <v>49</v>
      </c>
      <c r="N816" s="2" t="s">
        <v>41</v>
      </c>
      <c r="O816" s="2">
        <v>65</v>
      </c>
      <c r="P816" s="2">
        <v>2</v>
      </c>
    </row>
    <row r="817" spans="2:16" ht="21" hidden="1" x14ac:dyDescent="0.55000000000000004">
      <c r="B817" s="2" t="s">
        <v>2150</v>
      </c>
      <c r="C817" s="2" t="s">
        <v>2151</v>
      </c>
      <c r="D817" s="2" t="s">
        <v>44</v>
      </c>
      <c r="E817" s="2" t="s">
        <v>74</v>
      </c>
      <c r="F817" s="6" t="s">
        <v>343</v>
      </c>
      <c r="G817" s="10">
        <f t="shared" si="36"/>
        <v>2024</v>
      </c>
      <c r="H817" s="10">
        <f t="shared" si="37"/>
        <v>1</v>
      </c>
      <c r="I817" s="10">
        <f t="shared" si="38"/>
        <v>13</v>
      </c>
      <c r="J817" s="9" t="s">
        <v>2152</v>
      </c>
      <c r="K817" s="2" t="s">
        <v>77</v>
      </c>
      <c r="L817" s="2">
        <v>480.94</v>
      </c>
      <c r="M817" s="2" t="s">
        <v>19</v>
      </c>
      <c r="N817" s="2" t="s">
        <v>26</v>
      </c>
      <c r="O817" s="2">
        <v>75</v>
      </c>
      <c r="P817" s="2">
        <v>1</v>
      </c>
    </row>
    <row r="818" spans="2:16" ht="21" x14ac:dyDescent="0.55000000000000004">
      <c r="B818" s="2" t="s">
        <v>2153</v>
      </c>
      <c r="C818" s="2" t="s">
        <v>2154</v>
      </c>
      <c r="D818" s="2" t="s">
        <v>23</v>
      </c>
      <c r="E818" s="2" t="s">
        <v>54</v>
      </c>
      <c r="F818" s="6" t="s">
        <v>85</v>
      </c>
      <c r="G818" s="10">
        <f t="shared" si="36"/>
        <v>2024</v>
      </c>
      <c r="H818" s="10">
        <f t="shared" si="37"/>
        <v>1</v>
      </c>
      <c r="I818" s="10">
        <f t="shared" si="38"/>
        <v>16</v>
      </c>
      <c r="J818" s="9" t="s">
        <v>709</v>
      </c>
      <c r="K818" s="2" t="s">
        <v>18</v>
      </c>
      <c r="L818" s="2">
        <v>458.96</v>
      </c>
      <c r="M818" s="2" t="s">
        <v>65</v>
      </c>
      <c r="N818" s="2" t="s">
        <v>20</v>
      </c>
      <c r="O818" s="2">
        <v>36</v>
      </c>
      <c r="P818" s="2"/>
    </row>
    <row r="819" spans="2:16" ht="21" hidden="1" x14ac:dyDescent="0.55000000000000004">
      <c r="B819" s="2" t="s">
        <v>2155</v>
      </c>
      <c r="C819" s="2" t="s">
        <v>2156</v>
      </c>
      <c r="D819" s="2" t="s">
        <v>14</v>
      </c>
      <c r="E819" s="2" t="s">
        <v>74</v>
      </c>
      <c r="F819" s="6" t="s">
        <v>102</v>
      </c>
      <c r="G819" s="10">
        <f t="shared" si="36"/>
        <v>2024</v>
      </c>
      <c r="H819" s="10">
        <f t="shared" si="37"/>
        <v>1</v>
      </c>
      <c r="I819" s="10">
        <f t="shared" si="38"/>
        <v>26</v>
      </c>
      <c r="J819" s="9" t="s">
        <v>2157</v>
      </c>
      <c r="K819" s="2" t="s">
        <v>33</v>
      </c>
      <c r="L819" s="2">
        <v>261.33</v>
      </c>
      <c r="M819" s="2" t="s">
        <v>122</v>
      </c>
      <c r="N819" s="2" t="s">
        <v>50</v>
      </c>
      <c r="O819" s="2">
        <v>33</v>
      </c>
      <c r="P819" s="2">
        <v>3</v>
      </c>
    </row>
    <row r="820" spans="2:16" ht="21" x14ac:dyDescent="0.55000000000000004">
      <c r="B820" s="2" t="s">
        <v>2158</v>
      </c>
      <c r="C820" s="2" t="s">
        <v>2159</v>
      </c>
      <c r="D820" s="2" t="s">
        <v>23</v>
      </c>
      <c r="E820" s="2" t="s">
        <v>54</v>
      </c>
      <c r="F820" s="6" t="s">
        <v>16</v>
      </c>
      <c r="G820" s="10">
        <f t="shared" si="36"/>
        <v>2024</v>
      </c>
      <c r="H820" s="10">
        <f t="shared" si="37"/>
        <v>1</v>
      </c>
      <c r="I820" s="10">
        <f t="shared" si="38"/>
        <v>9</v>
      </c>
      <c r="J820" s="9" t="s">
        <v>1668</v>
      </c>
      <c r="K820" s="2" t="s">
        <v>48</v>
      </c>
      <c r="L820" s="2">
        <v>286.62</v>
      </c>
      <c r="M820" s="2" t="s">
        <v>19</v>
      </c>
      <c r="N820" s="2" t="s">
        <v>41</v>
      </c>
      <c r="O820" s="2">
        <v>35</v>
      </c>
      <c r="P820" s="2">
        <v>5</v>
      </c>
    </row>
    <row r="821" spans="2:16" ht="21" hidden="1" x14ac:dyDescent="0.55000000000000004">
      <c r="B821" s="2" t="s">
        <v>2160</v>
      </c>
      <c r="C821" s="2" t="s">
        <v>293</v>
      </c>
      <c r="D821" s="2" t="s">
        <v>44</v>
      </c>
      <c r="E821" s="2" t="s">
        <v>37</v>
      </c>
      <c r="F821" s="6" t="s">
        <v>343</v>
      </c>
      <c r="G821" s="10">
        <f t="shared" si="36"/>
        <v>2024</v>
      </c>
      <c r="H821" s="10">
        <f t="shared" si="37"/>
        <v>1</v>
      </c>
      <c r="I821" s="10">
        <f t="shared" si="38"/>
        <v>13</v>
      </c>
      <c r="J821" s="9" t="s">
        <v>2161</v>
      </c>
      <c r="K821" s="2" t="s">
        <v>77</v>
      </c>
      <c r="L821" s="2">
        <v>243.9</v>
      </c>
      <c r="M821" s="2" t="s">
        <v>49</v>
      </c>
      <c r="N821" s="2" t="s">
        <v>20</v>
      </c>
      <c r="O821" s="2">
        <v>50</v>
      </c>
      <c r="P821" s="2">
        <v>5</v>
      </c>
    </row>
    <row r="822" spans="2:16" ht="21" hidden="1" x14ac:dyDescent="0.55000000000000004">
      <c r="B822" s="2" t="s">
        <v>2162</v>
      </c>
      <c r="C822" s="2" t="s">
        <v>2163</v>
      </c>
      <c r="D822" s="2" t="s">
        <v>44</v>
      </c>
      <c r="E822" s="2" t="s">
        <v>139</v>
      </c>
      <c r="F822" s="6" t="s">
        <v>132</v>
      </c>
      <c r="G822" s="10">
        <f t="shared" si="36"/>
        <v>2024</v>
      </c>
      <c r="H822" s="10">
        <f t="shared" si="37"/>
        <v>1</v>
      </c>
      <c r="I822" s="10">
        <f t="shared" si="38"/>
        <v>6</v>
      </c>
      <c r="J822" s="9" t="s">
        <v>1206</v>
      </c>
      <c r="K822" s="2" t="s">
        <v>91</v>
      </c>
      <c r="L822" s="2">
        <v>161.69999999999999</v>
      </c>
      <c r="M822" s="2" t="s">
        <v>65</v>
      </c>
      <c r="N822" s="2" t="s">
        <v>20</v>
      </c>
      <c r="O822" s="2">
        <v>89</v>
      </c>
      <c r="P822" s="2">
        <v>4</v>
      </c>
    </row>
    <row r="823" spans="2:16" ht="21" hidden="1" x14ac:dyDescent="0.55000000000000004">
      <c r="B823" s="2" t="s">
        <v>2164</v>
      </c>
      <c r="C823" s="2" t="s">
        <v>1608</v>
      </c>
      <c r="D823" s="2" t="s">
        <v>23</v>
      </c>
      <c r="E823" s="2" t="s">
        <v>125</v>
      </c>
      <c r="F823" s="6" t="s">
        <v>55</v>
      </c>
      <c r="G823" s="10">
        <f t="shared" si="36"/>
        <v>2024</v>
      </c>
      <c r="H823" s="10">
        <f t="shared" si="37"/>
        <v>1</v>
      </c>
      <c r="I823" s="10">
        <f t="shared" si="38"/>
        <v>8</v>
      </c>
      <c r="J823" s="9" t="s">
        <v>199</v>
      </c>
      <c r="K823" s="2" t="s">
        <v>18</v>
      </c>
      <c r="L823" s="2">
        <v>368.18</v>
      </c>
      <c r="M823" s="2" t="s">
        <v>65</v>
      </c>
      <c r="N823" s="2" t="s">
        <v>20</v>
      </c>
      <c r="O823" s="2">
        <v>15</v>
      </c>
      <c r="P823" s="2">
        <v>1</v>
      </c>
    </row>
    <row r="824" spans="2:16" ht="21" hidden="1" x14ac:dyDescent="0.55000000000000004">
      <c r="B824" s="2" t="s">
        <v>2165</v>
      </c>
      <c r="C824" s="2" t="s">
        <v>2166</v>
      </c>
      <c r="D824" s="2" t="s">
        <v>117</v>
      </c>
      <c r="E824" s="2" t="s">
        <v>139</v>
      </c>
      <c r="F824" s="6" t="s">
        <v>85</v>
      </c>
      <c r="G824" s="10">
        <f t="shared" si="36"/>
        <v>2024</v>
      </c>
      <c r="H824" s="10">
        <f t="shared" si="37"/>
        <v>1</v>
      </c>
      <c r="I824" s="10">
        <f t="shared" si="38"/>
        <v>16</v>
      </c>
      <c r="J824" s="9" t="s">
        <v>2167</v>
      </c>
      <c r="K824" s="2" t="s">
        <v>48</v>
      </c>
      <c r="L824" s="2">
        <v>229.86</v>
      </c>
      <c r="M824" s="2" t="s">
        <v>49</v>
      </c>
      <c r="N824" s="2" t="s">
        <v>20</v>
      </c>
      <c r="O824" s="2">
        <v>76</v>
      </c>
      <c r="P824" s="2">
        <v>4</v>
      </c>
    </row>
    <row r="825" spans="2:16" ht="21" hidden="1" x14ac:dyDescent="0.55000000000000004">
      <c r="B825" s="2" t="s">
        <v>2168</v>
      </c>
      <c r="C825" s="2" t="s">
        <v>2169</v>
      </c>
      <c r="D825" s="2" t="s">
        <v>29</v>
      </c>
      <c r="E825" s="2" t="s">
        <v>89</v>
      </c>
      <c r="F825" s="6" t="s">
        <v>154</v>
      </c>
      <c r="G825" s="10">
        <f t="shared" si="36"/>
        <v>2024</v>
      </c>
      <c r="H825" s="10">
        <f t="shared" si="37"/>
        <v>1</v>
      </c>
      <c r="I825" s="10">
        <f t="shared" si="38"/>
        <v>22</v>
      </c>
      <c r="J825" s="9" t="s">
        <v>843</v>
      </c>
      <c r="K825" s="2" t="s">
        <v>40</v>
      </c>
      <c r="L825" s="2">
        <v>147.80000000000001</v>
      </c>
      <c r="M825" s="2" t="s">
        <v>19</v>
      </c>
      <c r="N825" s="2" t="s">
        <v>20</v>
      </c>
      <c r="O825" s="2">
        <v>55</v>
      </c>
      <c r="P825" s="2">
        <v>5</v>
      </c>
    </row>
    <row r="826" spans="2:16" ht="21" hidden="1" x14ac:dyDescent="0.55000000000000004">
      <c r="B826" s="2" t="s">
        <v>2170</v>
      </c>
      <c r="C826" s="2" t="s">
        <v>2171</v>
      </c>
      <c r="D826" s="2" t="s">
        <v>68</v>
      </c>
      <c r="E826" s="2" t="s">
        <v>61</v>
      </c>
      <c r="F826" s="6" t="s">
        <v>238</v>
      </c>
      <c r="G826" s="10">
        <f t="shared" si="36"/>
        <v>2024</v>
      </c>
      <c r="H826" s="10">
        <f t="shared" si="37"/>
        <v>1</v>
      </c>
      <c r="I826" s="10">
        <f t="shared" si="38"/>
        <v>20</v>
      </c>
      <c r="J826" s="9" t="s">
        <v>119</v>
      </c>
      <c r="K826" s="2" t="s">
        <v>33</v>
      </c>
      <c r="L826" s="2">
        <v>326.49</v>
      </c>
      <c r="M826" s="2" t="s">
        <v>49</v>
      </c>
      <c r="N826" s="2" t="s">
        <v>26</v>
      </c>
      <c r="O826" s="2">
        <v>56</v>
      </c>
      <c r="P826" s="2">
        <v>4</v>
      </c>
    </row>
    <row r="827" spans="2:16" ht="21" hidden="1" x14ac:dyDescent="0.55000000000000004">
      <c r="B827" s="2" t="s">
        <v>2172</v>
      </c>
      <c r="C827" s="2" t="s">
        <v>2173</v>
      </c>
      <c r="D827" s="2" t="s">
        <v>44</v>
      </c>
      <c r="E827" s="2" t="s">
        <v>89</v>
      </c>
      <c r="F827" s="6" t="s">
        <v>180</v>
      </c>
      <c r="G827" s="10">
        <f t="shared" si="36"/>
        <v>2024</v>
      </c>
      <c r="H827" s="10">
        <f t="shared" si="37"/>
        <v>1</v>
      </c>
      <c r="I827" s="10">
        <f t="shared" si="38"/>
        <v>28</v>
      </c>
      <c r="J827" s="9" t="s">
        <v>1065</v>
      </c>
      <c r="K827" s="2" t="s">
        <v>77</v>
      </c>
      <c r="L827" s="2">
        <v>222.69</v>
      </c>
      <c r="M827" s="2" t="s">
        <v>19</v>
      </c>
      <c r="N827" s="2" t="s">
        <v>26</v>
      </c>
      <c r="O827" s="2">
        <v>50</v>
      </c>
      <c r="P827" s="2">
        <v>5</v>
      </c>
    </row>
    <row r="828" spans="2:16" ht="21" hidden="1" x14ac:dyDescent="0.55000000000000004">
      <c r="B828" s="2" t="s">
        <v>2174</v>
      </c>
      <c r="C828" s="2" t="s">
        <v>2175</v>
      </c>
      <c r="D828" s="2" t="s">
        <v>29</v>
      </c>
      <c r="E828" s="2" t="s">
        <v>74</v>
      </c>
      <c r="F828" s="6" t="s">
        <v>16</v>
      </c>
      <c r="G828" s="10">
        <f t="shared" si="36"/>
        <v>2024</v>
      </c>
      <c r="H828" s="10">
        <f t="shared" si="37"/>
        <v>1</v>
      </c>
      <c r="I828" s="10">
        <f t="shared" si="38"/>
        <v>9</v>
      </c>
      <c r="J828" s="9" t="s">
        <v>2176</v>
      </c>
      <c r="K828" s="2" t="s">
        <v>40</v>
      </c>
      <c r="L828" s="2">
        <v>163.57</v>
      </c>
      <c r="M828" s="2" t="s">
        <v>65</v>
      </c>
      <c r="N828" s="2" t="s">
        <v>50</v>
      </c>
      <c r="O828" s="2">
        <v>21</v>
      </c>
      <c r="P828" s="2"/>
    </row>
    <row r="829" spans="2:16" ht="21" hidden="1" x14ac:dyDescent="0.55000000000000004">
      <c r="B829" s="2" t="s">
        <v>2177</v>
      </c>
      <c r="C829" s="2" t="s">
        <v>2178</v>
      </c>
      <c r="D829" s="2" t="s">
        <v>53</v>
      </c>
      <c r="E829" s="2" t="s">
        <v>139</v>
      </c>
      <c r="F829" s="6" t="s">
        <v>24</v>
      </c>
      <c r="G829" s="10">
        <f t="shared" si="36"/>
        <v>2024</v>
      </c>
      <c r="H829" s="10">
        <f t="shared" si="37"/>
        <v>1</v>
      </c>
      <c r="I829" s="10">
        <f t="shared" si="38"/>
        <v>21</v>
      </c>
      <c r="J829" s="9" t="s">
        <v>2179</v>
      </c>
      <c r="K829" s="2" t="s">
        <v>57</v>
      </c>
      <c r="L829" s="2">
        <v>68.760000000000005</v>
      </c>
      <c r="M829" s="2" t="s">
        <v>122</v>
      </c>
      <c r="N829" s="2" t="s">
        <v>41</v>
      </c>
      <c r="O829" s="2">
        <v>51</v>
      </c>
      <c r="P829" s="2"/>
    </row>
    <row r="830" spans="2:16" ht="21" hidden="1" x14ac:dyDescent="0.55000000000000004">
      <c r="B830" s="2" t="s">
        <v>2180</v>
      </c>
      <c r="C830" s="2" t="s">
        <v>2181</v>
      </c>
      <c r="D830" s="2" t="s">
        <v>14</v>
      </c>
      <c r="E830" s="2" t="s">
        <v>139</v>
      </c>
      <c r="F830" s="6" t="s">
        <v>132</v>
      </c>
      <c r="G830" s="10">
        <f t="shared" si="36"/>
        <v>2024</v>
      </c>
      <c r="H830" s="10">
        <f t="shared" si="37"/>
        <v>1</v>
      </c>
      <c r="I830" s="10">
        <f t="shared" si="38"/>
        <v>6</v>
      </c>
      <c r="J830" s="9" t="s">
        <v>712</v>
      </c>
      <c r="K830" s="2" t="s">
        <v>18</v>
      </c>
      <c r="L830" s="2">
        <v>284.56</v>
      </c>
      <c r="M830" s="2" t="s">
        <v>65</v>
      </c>
      <c r="N830" s="2" t="s">
        <v>20</v>
      </c>
      <c r="O830" s="2">
        <v>31</v>
      </c>
      <c r="P830" s="2">
        <v>5</v>
      </c>
    </row>
    <row r="831" spans="2:16" ht="21" hidden="1" x14ac:dyDescent="0.55000000000000004">
      <c r="B831" s="2" t="s">
        <v>2182</v>
      </c>
      <c r="C831" s="2" t="s">
        <v>2183</v>
      </c>
      <c r="D831" s="2" t="s">
        <v>29</v>
      </c>
      <c r="E831" s="2" t="s">
        <v>89</v>
      </c>
      <c r="F831" s="6" t="s">
        <v>38</v>
      </c>
      <c r="G831" s="10">
        <f t="shared" si="36"/>
        <v>2024</v>
      </c>
      <c r="H831" s="10">
        <f t="shared" si="37"/>
        <v>1</v>
      </c>
      <c r="I831" s="10">
        <f t="shared" si="38"/>
        <v>11</v>
      </c>
      <c r="J831" s="9" t="s">
        <v>534</v>
      </c>
      <c r="K831" s="2" t="s">
        <v>57</v>
      </c>
      <c r="L831" s="2">
        <v>98.62</v>
      </c>
      <c r="M831" s="2" t="s">
        <v>49</v>
      </c>
      <c r="N831" s="2" t="s">
        <v>20</v>
      </c>
      <c r="O831" s="2">
        <v>45</v>
      </c>
      <c r="P831" s="2">
        <v>4</v>
      </c>
    </row>
    <row r="832" spans="2:16" ht="21" hidden="1" x14ac:dyDescent="0.55000000000000004">
      <c r="B832" s="2" t="s">
        <v>2184</v>
      </c>
      <c r="C832" s="2" t="s">
        <v>2185</v>
      </c>
      <c r="D832" s="2" t="s">
        <v>106</v>
      </c>
      <c r="E832" s="2" t="s">
        <v>139</v>
      </c>
      <c r="F832" s="6" t="s">
        <v>55</v>
      </c>
      <c r="G832" s="10">
        <f t="shared" si="36"/>
        <v>2024</v>
      </c>
      <c r="H832" s="10">
        <f t="shared" si="37"/>
        <v>1</v>
      </c>
      <c r="I832" s="10">
        <f t="shared" si="38"/>
        <v>8</v>
      </c>
      <c r="J832" s="9" t="s">
        <v>421</v>
      </c>
      <c r="K832" s="2" t="s">
        <v>33</v>
      </c>
      <c r="L832" s="2">
        <v>328.59</v>
      </c>
      <c r="M832" s="2" t="s">
        <v>19</v>
      </c>
      <c r="N832" s="2" t="s">
        <v>41</v>
      </c>
      <c r="O832" s="2">
        <v>49</v>
      </c>
      <c r="P832" s="2">
        <v>5</v>
      </c>
    </row>
    <row r="833" spans="2:16" ht="21" hidden="1" x14ac:dyDescent="0.55000000000000004">
      <c r="B833" s="2" t="s">
        <v>2186</v>
      </c>
      <c r="C833" s="2" t="s">
        <v>2187</v>
      </c>
      <c r="D833" s="2" t="s">
        <v>44</v>
      </c>
      <c r="E833" s="2" t="s">
        <v>37</v>
      </c>
      <c r="F833" s="6" t="s">
        <v>118</v>
      </c>
      <c r="G833" s="10">
        <f t="shared" si="36"/>
        <v>2024</v>
      </c>
      <c r="H833" s="10">
        <f t="shared" si="37"/>
        <v>1</v>
      </c>
      <c r="I833" s="10">
        <f t="shared" si="38"/>
        <v>24</v>
      </c>
      <c r="J833" s="9" t="s">
        <v>2188</v>
      </c>
      <c r="K833" s="2" t="s">
        <v>48</v>
      </c>
      <c r="L833" s="2">
        <v>369.97</v>
      </c>
      <c r="M833" s="2" t="s">
        <v>122</v>
      </c>
      <c r="N833" s="2" t="s">
        <v>41</v>
      </c>
      <c r="O833" s="2">
        <v>56</v>
      </c>
      <c r="P833" s="2">
        <v>1</v>
      </c>
    </row>
    <row r="834" spans="2:16" ht="21" hidden="1" x14ac:dyDescent="0.55000000000000004">
      <c r="B834" s="2" t="s">
        <v>2189</v>
      </c>
      <c r="C834" s="2" t="s">
        <v>2190</v>
      </c>
      <c r="D834" s="2" t="s">
        <v>106</v>
      </c>
      <c r="E834" s="2" t="s">
        <v>15</v>
      </c>
      <c r="F834" s="6" t="s">
        <v>62</v>
      </c>
      <c r="G834" s="10">
        <f t="shared" si="36"/>
        <v>2024</v>
      </c>
      <c r="H834" s="10">
        <f t="shared" si="37"/>
        <v>1</v>
      </c>
      <c r="I834" s="10">
        <f t="shared" si="38"/>
        <v>31</v>
      </c>
      <c r="J834" s="9" t="s">
        <v>1229</v>
      </c>
      <c r="K834" s="2" t="s">
        <v>57</v>
      </c>
      <c r="L834" s="2">
        <v>113.8</v>
      </c>
      <c r="M834" s="2" t="s">
        <v>49</v>
      </c>
      <c r="N834" s="2" t="s">
        <v>26</v>
      </c>
      <c r="O834" s="2">
        <v>47</v>
      </c>
      <c r="P834" s="2"/>
    </row>
    <row r="835" spans="2:16" ht="21" hidden="1" x14ac:dyDescent="0.55000000000000004">
      <c r="B835" s="2" t="s">
        <v>2191</v>
      </c>
      <c r="C835" s="2" t="s">
        <v>2192</v>
      </c>
      <c r="D835" s="2" t="s">
        <v>60</v>
      </c>
      <c r="E835" s="2" t="s">
        <v>139</v>
      </c>
      <c r="F835" s="6" t="s">
        <v>238</v>
      </c>
      <c r="G835" s="10">
        <f t="shared" si="36"/>
        <v>2024</v>
      </c>
      <c r="H835" s="10">
        <f t="shared" si="37"/>
        <v>1</v>
      </c>
      <c r="I835" s="10">
        <f t="shared" si="38"/>
        <v>20</v>
      </c>
      <c r="J835" s="9" t="s">
        <v>264</v>
      </c>
      <c r="K835" s="2" t="s">
        <v>57</v>
      </c>
      <c r="L835" s="2">
        <v>208.95</v>
      </c>
      <c r="M835" s="2" t="s">
        <v>19</v>
      </c>
      <c r="N835" s="2" t="s">
        <v>41</v>
      </c>
      <c r="O835" s="2">
        <v>48</v>
      </c>
      <c r="P835" s="2">
        <v>4</v>
      </c>
    </row>
    <row r="836" spans="2:16" ht="21" hidden="1" x14ac:dyDescent="0.55000000000000004">
      <c r="B836" s="2" t="s">
        <v>2193</v>
      </c>
      <c r="C836" s="2" t="s">
        <v>2194</v>
      </c>
      <c r="D836" s="2" t="s">
        <v>53</v>
      </c>
      <c r="E836" s="2" t="s">
        <v>74</v>
      </c>
      <c r="F836" s="6" t="s">
        <v>272</v>
      </c>
      <c r="G836" s="10">
        <f t="shared" ref="G836:G899" si="39">YEAR(F836)</f>
        <v>2024</v>
      </c>
      <c r="H836" s="10">
        <f t="shared" ref="H836:H899" si="40">MONTH(F836)</f>
        <v>1</v>
      </c>
      <c r="I836" s="10">
        <f t="shared" ref="I836:I899" si="41">DAY(F836)</f>
        <v>1</v>
      </c>
      <c r="J836" s="9" t="s">
        <v>1941</v>
      </c>
      <c r="K836" s="2" t="s">
        <v>57</v>
      </c>
      <c r="L836" s="2">
        <v>329.73</v>
      </c>
      <c r="M836" s="2" t="s">
        <v>19</v>
      </c>
      <c r="N836" s="2" t="s">
        <v>20</v>
      </c>
      <c r="O836" s="2">
        <v>56</v>
      </c>
      <c r="P836" s="2"/>
    </row>
    <row r="837" spans="2:16" ht="21" hidden="1" x14ac:dyDescent="0.55000000000000004">
      <c r="B837" s="2" t="s">
        <v>2195</v>
      </c>
      <c r="C837" s="2" t="s">
        <v>2196</v>
      </c>
      <c r="D837" s="2" t="s">
        <v>117</v>
      </c>
      <c r="E837" s="2" t="s">
        <v>74</v>
      </c>
      <c r="F837" s="6" t="s">
        <v>132</v>
      </c>
      <c r="G837" s="10">
        <f t="shared" si="39"/>
        <v>2024</v>
      </c>
      <c r="H837" s="10">
        <f t="shared" si="40"/>
        <v>1</v>
      </c>
      <c r="I837" s="10">
        <f t="shared" si="41"/>
        <v>6</v>
      </c>
      <c r="J837" s="9" t="s">
        <v>2197</v>
      </c>
      <c r="K837" s="2" t="s">
        <v>77</v>
      </c>
      <c r="L837" s="2">
        <v>497.4</v>
      </c>
      <c r="M837" s="2" t="s">
        <v>19</v>
      </c>
      <c r="N837" s="2" t="s">
        <v>26</v>
      </c>
      <c r="O837" s="2">
        <v>43</v>
      </c>
      <c r="P837" s="2">
        <v>1</v>
      </c>
    </row>
    <row r="838" spans="2:16" ht="21" hidden="1" x14ac:dyDescent="0.55000000000000004">
      <c r="B838" s="2" t="s">
        <v>2198</v>
      </c>
      <c r="C838" s="2" t="s">
        <v>2199</v>
      </c>
      <c r="D838" s="2" t="s">
        <v>106</v>
      </c>
      <c r="E838" s="2" t="s">
        <v>74</v>
      </c>
      <c r="F838" s="6" t="s">
        <v>24</v>
      </c>
      <c r="G838" s="10">
        <f t="shared" si="39"/>
        <v>2024</v>
      </c>
      <c r="H838" s="10">
        <f t="shared" si="40"/>
        <v>1</v>
      </c>
      <c r="I838" s="10">
        <f t="shared" si="41"/>
        <v>21</v>
      </c>
      <c r="J838" s="9" t="s">
        <v>2200</v>
      </c>
      <c r="K838" s="2" t="s">
        <v>64</v>
      </c>
      <c r="L838" s="2">
        <v>473.38</v>
      </c>
      <c r="M838" s="2" t="s">
        <v>122</v>
      </c>
      <c r="N838" s="2" t="s">
        <v>50</v>
      </c>
      <c r="O838" s="2">
        <v>67</v>
      </c>
      <c r="P838" s="2">
        <v>4</v>
      </c>
    </row>
    <row r="839" spans="2:16" ht="21" hidden="1" x14ac:dyDescent="0.55000000000000004">
      <c r="B839" s="2" t="s">
        <v>2201</v>
      </c>
      <c r="C839" s="2" t="s">
        <v>2202</v>
      </c>
      <c r="D839" s="2" t="s">
        <v>14</v>
      </c>
      <c r="E839" s="2" t="s">
        <v>45</v>
      </c>
      <c r="F839" s="6" t="s">
        <v>55</v>
      </c>
      <c r="G839" s="10">
        <f t="shared" si="39"/>
        <v>2024</v>
      </c>
      <c r="H839" s="10">
        <f t="shared" si="40"/>
        <v>1</v>
      </c>
      <c r="I839" s="10">
        <f t="shared" si="41"/>
        <v>8</v>
      </c>
      <c r="J839" s="9" t="s">
        <v>2203</v>
      </c>
      <c r="K839" s="2" t="s">
        <v>18</v>
      </c>
      <c r="L839" s="2">
        <v>310.56</v>
      </c>
      <c r="M839" s="2" t="s">
        <v>19</v>
      </c>
      <c r="N839" s="2" t="s">
        <v>20</v>
      </c>
      <c r="O839" s="2">
        <v>85</v>
      </c>
      <c r="P839" s="2"/>
    </row>
    <row r="840" spans="2:16" ht="21" hidden="1" x14ac:dyDescent="0.55000000000000004">
      <c r="B840" s="2" t="s">
        <v>2204</v>
      </c>
      <c r="C840" s="2" t="s">
        <v>2205</v>
      </c>
      <c r="D840" s="2" t="s">
        <v>106</v>
      </c>
      <c r="E840" s="2" t="s">
        <v>61</v>
      </c>
      <c r="F840" s="6" t="s">
        <v>69</v>
      </c>
      <c r="G840" s="10">
        <f t="shared" si="39"/>
        <v>2024</v>
      </c>
      <c r="H840" s="10">
        <f t="shared" si="40"/>
        <v>1</v>
      </c>
      <c r="I840" s="10">
        <f t="shared" si="41"/>
        <v>27</v>
      </c>
      <c r="J840" s="9" t="s">
        <v>1164</v>
      </c>
      <c r="K840" s="2" t="s">
        <v>18</v>
      </c>
      <c r="L840" s="2">
        <v>218.46</v>
      </c>
      <c r="M840" s="2" t="s">
        <v>49</v>
      </c>
      <c r="N840" s="2" t="s">
        <v>41</v>
      </c>
      <c r="O840" s="2">
        <v>37</v>
      </c>
      <c r="P840" s="2">
        <v>3</v>
      </c>
    </row>
    <row r="841" spans="2:16" ht="21" x14ac:dyDescent="0.55000000000000004">
      <c r="B841" s="2" t="s">
        <v>2206</v>
      </c>
      <c r="C841" s="2" t="s">
        <v>2207</v>
      </c>
      <c r="D841" s="2" t="s">
        <v>117</v>
      </c>
      <c r="E841" s="2" t="s">
        <v>54</v>
      </c>
      <c r="F841" s="6" t="s">
        <v>24</v>
      </c>
      <c r="G841" s="10">
        <f t="shared" si="39"/>
        <v>2024</v>
      </c>
      <c r="H841" s="10">
        <f t="shared" si="40"/>
        <v>1</v>
      </c>
      <c r="I841" s="10">
        <f t="shared" si="41"/>
        <v>21</v>
      </c>
      <c r="J841" s="9" t="s">
        <v>1499</v>
      </c>
      <c r="K841" s="2" t="s">
        <v>57</v>
      </c>
      <c r="L841" s="2">
        <v>250.06</v>
      </c>
      <c r="M841" s="2" t="s">
        <v>19</v>
      </c>
      <c r="N841" s="2" t="s">
        <v>26</v>
      </c>
      <c r="O841" s="2">
        <v>89</v>
      </c>
      <c r="P841" s="2"/>
    </row>
    <row r="842" spans="2:16" ht="21" hidden="1" x14ac:dyDescent="0.55000000000000004">
      <c r="B842" s="2" t="s">
        <v>2208</v>
      </c>
      <c r="C842" s="2" t="s">
        <v>2209</v>
      </c>
      <c r="D842" s="2" t="s">
        <v>53</v>
      </c>
      <c r="E842" s="2" t="s">
        <v>89</v>
      </c>
      <c r="F842" s="6" t="s">
        <v>257</v>
      </c>
      <c r="G842" s="10">
        <f t="shared" si="39"/>
        <v>2024</v>
      </c>
      <c r="H842" s="10">
        <f t="shared" si="40"/>
        <v>1</v>
      </c>
      <c r="I842" s="10">
        <f t="shared" si="41"/>
        <v>10</v>
      </c>
      <c r="J842" s="9" t="s">
        <v>2197</v>
      </c>
      <c r="K842" s="2" t="s">
        <v>33</v>
      </c>
      <c r="L842" s="2">
        <v>167.77</v>
      </c>
      <c r="M842" s="2" t="s">
        <v>65</v>
      </c>
      <c r="N842" s="2" t="s">
        <v>20</v>
      </c>
      <c r="O842" s="2">
        <v>49</v>
      </c>
      <c r="P842" s="2">
        <v>5</v>
      </c>
    </row>
    <row r="843" spans="2:16" ht="21" hidden="1" x14ac:dyDescent="0.55000000000000004">
      <c r="B843" s="2" t="s">
        <v>2210</v>
      </c>
      <c r="C843" s="2" t="s">
        <v>2211</v>
      </c>
      <c r="D843" s="2" t="s">
        <v>44</v>
      </c>
      <c r="E843" s="2" t="s">
        <v>61</v>
      </c>
      <c r="F843" s="6" t="s">
        <v>473</v>
      </c>
      <c r="G843" s="10">
        <f t="shared" si="39"/>
        <v>2024</v>
      </c>
      <c r="H843" s="10">
        <f t="shared" si="40"/>
        <v>1</v>
      </c>
      <c r="I843" s="10">
        <f t="shared" si="41"/>
        <v>30</v>
      </c>
      <c r="J843" s="9" t="s">
        <v>2212</v>
      </c>
      <c r="K843" s="2" t="s">
        <v>91</v>
      </c>
      <c r="L843" s="2">
        <v>338.88</v>
      </c>
      <c r="M843" s="2" t="s">
        <v>65</v>
      </c>
      <c r="N843" s="2" t="s">
        <v>41</v>
      </c>
      <c r="O843" s="2">
        <v>31</v>
      </c>
      <c r="P843" s="2"/>
    </row>
    <row r="844" spans="2:16" ht="21" hidden="1" x14ac:dyDescent="0.55000000000000004">
      <c r="B844" s="2" t="s">
        <v>2213</v>
      </c>
      <c r="C844" s="2" t="s">
        <v>2214</v>
      </c>
      <c r="D844" s="2" t="s">
        <v>14</v>
      </c>
      <c r="E844" s="2" t="s">
        <v>45</v>
      </c>
      <c r="F844" s="6" t="s">
        <v>349</v>
      </c>
      <c r="G844" s="10">
        <f t="shared" si="39"/>
        <v>2024</v>
      </c>
      <c r="H844" s="10">
        <f t="shared" si="40"/>
        <v>1</v>
      </c>
      <c r="I844" s="10">
        <f t="shared" si="41"/>
        <v>12</v>
      </c>
      <c r="J844" s="9" t="s">
        <v>2215</v>
      </c>
      <c r="K844" s="2" t="s">
        <v>77</v>
      </c>
      <c r="L844" s="2">
        <v>272.39</v>
      </c>
      <c r="M844" s="2" t="s">
        <v>122</v>
      </c>
      <c r="N844" s="2" t="s">
        <v>50</v>
      </c>
      <c r="O844" s="2">
        <v>19</v>
      </c>
      <c r="P844" s="2">
        <v>3</v>
      </c>
    </row>
    <row r="845" spans="2:16" ht="21" hidden="1" x14ac:dyDescent="0.55000000000000004">
      <c r="B845" s="2" t="s">
        <v>2216</v>
      </c>
      <c r="C845" s="2" t="s">
        <v>916</v>
      </c>
      <c r="D845" s="2" t="s">
        <v>44</v>
      </c>
      <c r="E845" s="2" t="s">
        <v>74</v>
      </c>
      <c r="F845" s="6" t="s">
        <v>161</v>
      </c>
      <c r="G845" s="10">
        <f t="shared" si="39"/>
        <v>2024</v>
      </c>
      <c r="H845" s="10">
        <f t="shared" si="40"/>
        <v>1</v>
      </c>
      <c r="I845" s="10">
        <f t="shared" si="41"/>
        <v>5</v>
      </c>
      <c r="J845" s="9" t="s">
        <v>2217</v>
      </c>
      <c r="K845" s="2" t="s">
        <v>57</v>
      </c>
      <c r="L845" s="2">
        <v>345.09</v>
      </c>
      <c r="M845" s="2" t="s">
        <v>49</v>
      </c>
      <c r="N845" s="2" t="s">
        <v>20</v>
      </c>
      <c r="O845" s="2">
        <v>83</v>
      </c>
      <c r="P845" s="2">
        <v>4</v>
      </c>
    </row>
    <row r="846" spans="2:16" ht="21" x14ac:dyDescent="0.55000000000000004">
      <c r="B846" s="2" t="s">
        <v>2218</v>
      </c>
      <c r="C846" s="2" t="s">
        <v>2219</v>
      </c>
      <c r="D846" s="2" t="s">
        <v>60</v>
      </c>
      <c r="E846" s="2" t="s">
        <v>54</v>
      </c>
      <c r="F846" s="6" t="s">
        <v>272</v>
      </c>
      <c r="G846" s="10">
        <f t="shared" si="39"/>
        <v>2024</v>
      </c>
      <c r="H846" s="10">
        <f t="shared" si="40"/>
        <v>1</v>
      </c>
      <c r="I846" s="10">
        <f t="shared" si="41"/>
        <v>1</v>
      </c>
      <c r="J846" s="9" t="s">
        <v>1812</v>
      </c>
      <c r="K846" s="2" t="s">
        <v>57</v>
      </c>
      <c r="L846" s="2">
        <v>228.17</v>
      </c>
      <c r="M846" s="2" t="s">
        <v>19</v>
      </c>
      <c r="N846" s="2" t="s">
        <v>50</v>
      </c>
      <c r="O846" s="2">
        <v>55</v>
      </c>
      <c r="P846" s="2">
        <v>5</v>
      </c>
    </row>
    <row r="847" spans="2:16" ht="21" x14ac:dyDescent="0.55000000000000004">
      <c r="B847" s="2" t="s">
        <v>2220</v>
      </c>
      <c r="C847" s="2" t="s">
        <v>2221</v>
      </c>
      <c r="D847" s="2" t="s">
        <v>106</v>
      </c>
      <c r="E847" s="2" t="s">
        <v>54</v>
      </c>
      <c r="F847" s="6" t="s">
        <v>62</v>
      </c>
      <c r="G847" s="10">
        <f t="shared" si="39"/>
        <v>2024</v>
      </c>
      <c r="H847" s="10">
        <f t="shared" si="40"/>
        <v>1</v>
      </c>
      <c r="I847" s="10">
        <f t="shared" si="41"/>
        <v>31</v>
      </c>
      <c r="J847" s="9" t="s">
        <v>742</v>
      </c>
      <c r="K847" s="2" t="s">
        <v>57</v>
      </c>
      <c r="L847" s="2">
        <v>159.96</v>
      </c>
      <c r="M847" s="2" t="s">
        <v>19</v>
      </c>
      <c r="N847" s="2" t="s">
        <v>50</v>
      </c>
      <c r="O847" s="2">
        <v>34</v>
      </c>
      <c r="P847" s="2">
        <v>5</v>
      </c>
    </row>
    <row r="848" spans="2:16" ht="21" hidden="1" x14ac:dyDescent="0.55000000000000004">
      <c r="B848" s="2" t="s">
        <v>2222</v>
      </c>
      <c r="C848" s="2" t="s">
        <v>2223</v>
      </c>
      <c r="D848" s="2" t="s">
        <v>44</v>
      </c>
      <c r="E848" s="2" t="s">
        <v>45</v>
      </c>
      <c r="F848" s="6" t="s">
        <v>85</v>
      </c>
      <c r="G848" s="10">
        <f t="shared" si="39"/>
        <v>2024</v>
      </c>
      <c r="H848" s="10">
        <f t="shared" si="40"/>
        <v>1</v>
      </c>
      <c r="I848" s="10">
        <f t="shared" si="41"/>
        <v>16</v>
      </c>
      <c r="J848" s="9" t="s">
        <v>953</v>
      </c>
      <c r="K848" s="2" t="s">
        <v>33</v>
      </c>
      <c r="L848" s="2">
        <v>494.61</v>
      </c>
      <c r="M848" s="2" t="s">
        <v>49</v>
      </c>
      <c r="N848" s="2" t="s">
        <v>26</v>
      </c>
      <c r="O848" s="2">
        <v>77</v>
      </c>
      <c r="P848" s="2">
        <v>4</v>
      </c>
    </row>
    <row r="849" spans="2:16" ht="21" hidden="1" x14ac:dyDescent="0.55000000000000004">
      <c r="B849" s="2" t="s">
        <v>2224</v>
      </c>
      <c r="C849" s="2" t="s">
        <v>1112</v>
      </c>
      <c r="D849" s="2" t="s">
        <v>44</v>
      </c>
      <c r="E849" s="2" t="s">
        <v>15</v>
      </c>
      <c r="F849" s="6" t="s">
        <v>69</v>
      </c>
      <c r="G849" s="10">
        <f t="shared" si="39"/>
        <v>2024</v>
      </c>
      <c r="H849" s="10">
        <f t="shared" si="40"/>
        <v>1</v>
      </c>
      <c r="I849" s="10">
        <f t="shared" si="41"/>
        <v>27</v>
      </c>
      <c r="J849" s="9" t="s">
        <v>1872</v>
      </c>
      <c r="K849" s="2" t="s">
        <v>64</v>
      </c>
      <c r="L849" s="2">
        <v>75.11</v>
      </c>
      <c r="M849" s="2" t="s">
        <v>122</v>
      </c>
      <c r="N849" s="2" t="s">
        <v>41</v>
      </c>
      <c r="O849" s="2">
        <v>44</v>
      </c>
      <c r="P849" s="2">
        <v>4</v>
      </c>
    </row>
    <row r="850" spans="2:16" ht="21" hidden="1" x14ac:dyDescent="0.55000000000000004">
      <c r="B850" s="2" t="s">
        <v>2225</v>
      </c>
      <c r="C850" s="2" t="s">
        <v>2226</v>
      </c>
      <c r="D850" s="2" t="s">
        <v>44</v>
      </c>
      <c r="E850" s="2" t="s">
        <v>15</v>
      </c>
      <c r="F850" s="6" t="s">
        <v>161</v>
      </c>
      <c r="G850" s="10">
        <f t="shared" si="39"/>
        <v>2024</v>
      </c>
      <c r="H850" s="10">
        <f t="shared" si="40"/>
        <v>1</v>
      </c>
      <c r="I850" s="10">
        <f t="shared" si="41"/>
        <v>5</v>
      </c>
      <c r="J850" s="9" t="s">
        <v>214</v>
      </c>
      <c r="K850" s="2" t="s">
        <v>33</v>
      </c>
      <c r="L850" s="2">
        <v>412.11</v>
      </c>
      <c r="M850" s="2" t="s">
        <v>49</v>
      </c>
      <c r="N850" s="2" t="s">
        <v>50</v>
      </c>
      <c r="O850" s="2">
        <v>34</v>
      </c>
      <c r="P850" s="2">
        <v>3</v>
      </c>
    </row>
    <row r="851" spans="2:16" ht="21" hidden="1" x14ac:dyDescent="0.55000000000000004">
      <c r="B851" s="2" t="s">
        <v>2227</v>
      </c>
      <c r="C851" s="2" t="s">
        <v>2228</v>
      </c>
      <c r="D851" s="2" t="s">
        <v>106</v>
      </c>
      <c r="E851" s="2" t="s">
        <v>61</v>
      </c>
      <c r="F851" s="6" t="s">
        <v>81</v>
      </c>
      <c r="G851" s="10">
        <f t="shared" si="39"/>
        <v>2024</v>
      </c>
      <c r="H851" s="10">
        <f t="shared" si="40"/>
        <v>1</v>
      </c>
      <c r="I851" s="10">
        <f t="shared" si="41"/>
        <v>18</v>
      </c>
      <c r="J851" s="9" t="s">
        <v>390</v>
      </c>
      <c r="K851" s="2" t="s">
        <v>91</v>
      </c>
      <c r="L851" s="2">
        <v>444.71</v>
      </c>
      <c r="M851" s="2" t="s">
        <v>49</v>
      </c>
      <c r="N851" s="2" t="s">
        <v>20</v>
      </c>
      <c r="O851" s="2">
        <v>44</v>
      </c>
      <c r="P851" s="2">
        <v>4</v>
      </c>
    </row>
    <row r="852" spans="2:16" ht="21" hidden="1" x14ac:dyDescent="0.55000000000000004">
      <c r="B852" s="2" t="s">
        <v>2229</v>
      </c>
      <c r="C852" s="2" t="s">
        <v>1999</v>
      </c>
      <c r="D852" s="2" t="s">
        <v>53</v>
      </c>
      <c r="E852" s="2" t="s">
        <v>80</v>
      </c>
      <c r="F852" s="6" t="s">
        <v>144</v>
      </c>
      <c r="G852" s="10">
        <f t="shared" si="39"/>
        <v>2024</v>
      </c>
      <c r="H852" s="10">
        <f t="shared" si="40"/>
        <v>1</v>
      </c>
      <c r="I852" s="10">
        <f t="shared" si="41"/>
        <v>7</v>
      </c>
      <c r="J852" s="9" t="s">
        <v>2015</v>
      </c>
      <c r="K852" s="2" t="s">
        <v>64</v>
      </c>
      <c r="L852" s="2">
        <v>154.46</v>
      </c>
      <c r="M852" s="2" t="s">
        <v>122</v>
      </c>
      <c r="N852" s="2" t="s">
        <v>50</v>
      </c>
      <c r="O852" s="2">
        <v>89</v>
      </c>
      <c r="P852" s="2">
        <v>5</v>
      </c>
    </row>
    <row r="853" spans="2:16" ht="21" hidden="1" x14ac:dyDescent="0.55000000000000004">
      <c r="B853" s="2" t="s">
        <v>2230</v>
      </c>
      <c r="C853" s="2" t="s">
        <v>2231</v>
      </c>
      <c r="D853" s="2" t="s">
        <v>68</v>
      </c>
      <c r="E853" s="2" t="s">
        <v>125</v>
      </c>
      <c r="F853" s="6" t="s">
        <v>46</v>
      </c>
      <c r="G853" s="10">
        <f t="shared" si="39"/>
        <v>2024</v>
      </c>
      <c r="H853" s="10">
        <f t="shared" si="40"/>
        <v>1</v>
      </c>
      <c r="I853" s="10">
        <f t="shared" si="41"/>
        <v>17</v>
      </c>
      <c r="J853" s="9" t="s">
        <v>187</v>
      </c>
      <c r="K853" s="2" t="s">
        <v>48</v>
      </c>
      <c r="L853" s="2">
        <v>382.57</v>
      </c>
      <c r="M853" s="2" t="s">
        <v>65</v>
      </c>
      <c r="N853" s="2" t="s">
        <v>41</v>
      </c>
      <c r="O853" s="2">
        <v>69</v>
      </c>
      <c r="P853" s="2">
        <v>3</v>
      </c>
    </row>
    <row r="854" spans="2:16" ht="21" x14ac:dyDescent="0.55000000000000004">
      <c r="B854" s="2" t="s">
        <v>2232</v>
      </c>
      <c r="C854" s="2" t="s">
        <v>2233</v>
      </c>
      <c r="D854" s="2" t="s">
        <v>117</v>
      </c>
      <c r="E854" s="2" t="s">
        <v>54</v>
      </c>
      <c r="F854" s="6" t="s">
        <v>154</v>
      </c>
      <c r="G854" s="10">
        <f t="shared" si="39"/>
        <v>2024</v>
      </c>
      <c r="H854" s="10">
        <f t="shared" si="40"/>
        <v>1</v>
      </c>
      <c r="I854" s="10">
        <f t="shared" si="41"/>
        <v>22</v>
      </c>
      <c r="J854" s="9" t="s">
        <v>2234</v>
      </c>
      <c r="K854" s="2" t="s">
        <v>64</v>
      </c>
      <c r="L854" s="2">
        <v>239.91</v>
      </c>
      <c r="M854" s="2" t="s">
        <v>122</v>
      </c>
      <c r="N854" s="2" t="s">
        <v>50</v>
      </c>
      <c r="O854" s="2">
        <v>80</v>
      </c>
      <c r="P854" s="2">
        <v>5</v>
      </c>
    </row>
    <row r="855" spans="2:16" ht="21" hidden="1" x14ac:dyDescent="0.55000000000000004">
      <c r="B855" s="2" t="s">
        <v>2235</v>
      </c>
      <c r="C855" s="2" t="s">
        <v>2236</v>
      </c>
      <c r="D855" s="2" t="s">
        <v>23</v>
      </c>
      <c r="E855" s="2" t="s">
        <v>80</v>
      </c>
      <c r="F855" s="6" t="s">
        <v>102</v>
      </c>
      <c r="G855" s="10">
        <f t="shared" si="39"/>
        <v>2024</v>
      </c>
      <c r="H855" s="10">
        <f t="shared" si="40"/>
        <v>1</v>
      </c>
      <c r="I855" s="10">
        <f t="shared" si="41"/>
        <v>26</v>
      </c>
      <c r="J855" s="9" t="s">
        <v>1437</v>
      </c>
      <c r="K855" s="2" t="s">
        <v>33</v>
      </c>
      <c r="L855" s="2">
        <v>349.05</v>
      </c>
      <c r="M855" s="2" t="s">
        <v>122</v>
      </c>
      <c r="N855" s="2" t="s">
        <v>20</v>
      </c>
      <c r="O855" s="2">
        <v>84</v>
      </c>
      <c r="P855" s="2"/>
    </row>
    <row r="856" spans="2:16" ht="21" hidden="1" x14ac:dyDescent="0.55000000000000004">
      <c r="B856" s="2" t="s">
        <v>2237</v>
      </c>
      <c r="C856" s="2" t="s">
        <v>2238</v>
      </c>
      <c r="D856" s="2" t="s">
        <v>29</v>
      </c>
      <c r="E856" s="2" t="s">
        <v>15</v>
      </c>
      <c r="F856" s="6" t="s">
        <v>31</v>
      </c>
      <c r="G856" s="10">
        <f t="shared" si="39"/>
        <v>2024</v>
      </c>
      <c r="H856" s="10">
        <f t="shared" si="40"/>
        <v>1</v>
      </c>
      <c r="I856" s="10">
        <f t="shared" si="41"/>
        <v>14</v>
      </c>
      <c r="J856" s="9" t="s">
        <v>1051</v>
      </c>
      <c r="K856" s="2" t="s">
        <v>33</v>
      </c>
      <c r="L856" s="2">
        <v>233.5</v>
      </c>
      <c r="M856" s="2" t="s">
        <v>65</v>
      </c>
      <c r="N856" s="2" t="s">
        <v>26</v>
      </c>
      <c r="O856" s="2">
        <v>18</v>
      </c>
      <c r="P856" s="2">
        <v>1</v>
      </c>
    </row>
    <row r="857" spans="2:16" ht="21" hidden="1" x14ac:dyDescent="0.55000000000000004">
      <c r="B857" s="2" t="s">
        <v>2239</v>
      </c>
      <c r="C857" s="2" t="s">
        <v>2240</v>
      </c>
      <c r="D857" s="2" t="s">
        <v>60</v>
      </c>
      <c r="E857" s="2" t="s">
        <v>80</v>
      </c>
      <c r="F857" s="6" t="s">
        <v>75</v>
      </c>
      <c r="G857" s="10">
        <f t="shared" si="39"/>
        <v>2024</v>
      </c>
      <c r="H857" s="10">
        <f t="shared" si="40"/>
        <v>1</v>
      </c>
      <c r="I857" s="10">
        <f t="shared" si="41"/>
        <v>25</v>
      </c>
      <c r="J857" s="9" t="s">
        <v>1065</v>
      </c>
      <c r="K857" s="2" t="s">
        <v>91</v>
      </c>
      <c r="L857" s="2">
        <v>256.61</v>
      </c>
      <c r="M857" s="2" t="s">
        <v>19</v>
      </c>
      <c r="N857" s="2" t="s">
        <v>20</v>
      </c>
      <c r="O857" s="2">
        <v>19</v>
      </c>
      <c r="P857" s="2">
        <v>3</v>
      </c>
    </row>
    <row r="858" spans="2:16" ht="21" hidden="1" x14ac:dyDescent="0.55000000000000004">
      <c r="B858" s="2" t="s">
        <v>2241</v>
      </c>
      <c r="C858" s="2" t="s">
        <v>2242</v>
      </c>
      <c r="D858" s="2" t="s">
        <v>29</v>
      </c>
      <c r="E858" s="2" t="s">
        <v>125</v>
      </c>
      <c r="F858" s="6" t="s">
        <v>46</v>
      </c>
      <c r="G858" s="10">
        <f t="shared" si="39"/>
        <v>2024</v>
      </c>
      <c r="H858" s="10">
        <f t="shared" si="40"/>
        <v>1</v>
      </c>
      <c r="I858" s="10">
        <f t="shared" si="41"/>
        <v>17</v>
      </c>
      <c r="J858" s="9" t="s">
        <v>440</v>
      </c>
      <c r="K858" s="2" t="s">
        <v>33</v>
      </c>
      <c r="L858" s="2">
        <v>127.8</v>
      </c>
      <c r="M858" s="2" t="s">
        <v>122</v>
      </c>
      <c r="N858" s="2" t="s">
        <v>50</v>
      </c>
      <c r="O858" s="2">
        <v>65</v>
      </c>
      <c r="P858" s="2">
        <v>3</v>
      </c>
    </row>
    <row r="859" spans="2:16" ht="21" hidden="1" x14ac:dyDescent="0.55000000000000004">
      <c r="B859" s="2" t="s">
        <v>2243</v>
      </c>
      <c r="C859" s="2" t="s">
        <v>2244</v>
      </c>
      <c r="D859" s="2" t="s">
        <v>68</v>
      </c>
      <c r="E859" s="2" t="s">
        <v>15</v>
      </c>
      <c r="F859" s="6" t="s">
        <v>129</v>
      </c>
      <c r="G859" s="10">
        <f t="shared" si="39"/>
        <v>2024</v>
      </c>
      <c r="H859" s="10">
        <f t="shared" si="40"/>
        <v>1</v>
      </c>
      <c r="I859" s="10">
        <f t="shared" si="41"/>
        <v>19</v>
      </c>
      <c r="J859" s="9" t="s">
        <v>950</v>
      </c>
      <c r="K859" s="2" t="s">
        <v>18</v>
      </c>
      <c r="L859" s="2">
        <v>225.61</v>
      </c>
      <c r="M859" s="2" t="s">
        <v>65</v>
      </c>
      <c r="N859" s="2" t="s">
        <v>20</v>
      </c>
      <c r="O859" s="2">
        <v>20</v>
      </c>
      <c r="P859" s="2">
        <v>2</v>
      </c>
    </row>
    <row r="860" spans="2:16" ht="21" hidden="1" x14ac:dyDescent="0.55000000000000004">
      <c r="B860" s="2" t="s">
        <v>2245</v>
      </c>
      <c r="C860" s="2" t="s">
        <v>2144</v>
      </c>
      <c r="D860" s="2" t="s">
        <v>117</v>
      </c>
      <c r="E860" s="2" t="s">
        <v>139</v>
      </c>
      <c r="F860" s="6" t="s">
        <v>257</v>
      </c>
      <c r="G860" s="10">
        <f t="shared" si="39"/>
        <v>2024</v>
      </c>
      <c r="H860" s="10">
        <f t="shared" si="40"/>
        <v>1</v>
      </c>
      <c r="I860" s="10">
        <f t="shared" si="41"/>
        <v>10</v>
      </c>
      <c r="J860" s="9" t="s">
        <v>2118</v>
      </c>
      <c r="K860" s="2" t="s">
        <v>77</v>
      </c>
      <c r="L860" s="2">
        <v>195.08</v>
      </c>
      <c r="M860" s="2" t="s">
        <v>49</v>
      </c>
      <c r="N860" s="2" t="s">
        <v>20</v>
      </c>
      <c r="O860" s="2">
        <v>77</v>
      </c>
      <c r="P860" s="2">
        <v>4</v>
      </c>
    </row>
    <row r="861" spans="2:16" ht="21" hidden="1" x14ac:dyDescent="0.55000000000000004">
      <c r="B861" s="2" t="s">
        <v>2246</v>
      </c>
      <c r="C861" s="2" t="s">
        <v>2247</v>
      </c>
      <c r="D861" s="2" t="s">
        <v>117</v>
      </c>
      <c r="E861" s="2" t="s">
        <v>89</v>
      </c>
      <c r="F861" s="6" t="s">
        <v>85</v>
      </c>
      <c r="G861" s="10">
        <f t="shared" si="39"/>
        <v>2024</v>
      </c>
      <c r="H861" s="10">
        <f t="shared" si="40"/>
        <v>1</v>
      </c>
      <c r="I861" s="10">
        <f t="shared" si="41"/>
        <v>16</v>
      </c>
      <c r="J861" s="9" t="s">
        <v>1442</v>
      </c>
      <c r="K861" s="2" t="s">
        <v>48</v>
      </c>
      <c r="L861" s="2">
        <v>232.8</v>
      </c>
      <c r="M861" s="2" t="s">
        <v>49</v>
      </c>
      <c r="N861" s="2" t="s">
        <v>50</v>
      </c>
      <c r="O861" s="2">
        <v>66</v>
      </c>
      <c r="P861" s="2">
        <v>1</v>
      </c>
    </row>
    <row r="862" spans="2:16" ht="21" hidden="1" x14ac:dyDescent="0.55000000000000004">
      <c r="B862" s="2" t="s">
        <v>2248</v>
      </c>
      <c r="C862" s="2" t="s">
        <v>2249</v>
      </c>
      <c r="D862" s="2" t="s">
        <v>106</v>
      </c>
      <c r="E862" s="2" t="s">
        <v>89</v>
      </c>
      <c r="F862" s="6" t="s">
        <v>238</v>
      </c>
      <c r="G862" s="10">
        <f t="shared" si="39"/>
        <v>2024</v>
      </c>
      <c r="H862" s="10">
        <f t="shared" si="40"/>
        <v>1</v>
      </c>
      <c r="I862" s="10">
        <f t="shared" si="41"/>
        <v>20</v>
      </c>
      <c r="J862" s="9" t="s">
        <v>925</v>
      </c>
      <c r="K862" s="2" t="s">
        <v>33</v>
      </c>
      <c r="L862" s="2">
        <v>220.03</v>
      </c>
      <c r="M862" s="2" t="s">
        <v>49</v>
      </c>
      <c r="N862" s="2" t="s">
        <v>41</v>
      </c>
      <c r="O862" s="2">
        <v>89</v>
      </c>
      <c r="P862" s="2">
        <v>2</v>
      </c>
    </row>
    <row r="863" spans="2:16" ht="21" hidden="1" x14ac:dyDescent="0.55000000000000004">
      <c r="B863" s="2" t="s">
        <v>2250</v>
      </c>
      <c r="C863" s="2" t="s">
        <v>2251</v>
      </c>
      <c r="D863" s="2" t="s">
        <v>68</v>
      </c>
      <c r="E863" s="2" t="s">
        <v>45</v>
      </c>
      <c r="F863" s="6" t="s">
        <v>75</v>
      </c>
      <c r="G863" s="10">
        <f t="shared" si="39"/>
        <v>2024</v>
      </c>
      <c r="H863" s="10">
        <f t="shared" si="40"/>
        <v>1</v>
      </c>
      <c r="I863" s="10">
        <f t="shared" si="41"/>
        <v>25</v>
      </c>
      <c r="J863" s="9" t="s">
        <v>1319</v>
      </c>
      <c r="K863" s="2" t="s">
        <v>48</v>
      </c>
      <c r="L863" s="2">
        <v>243.11</v>
      </c>
      <c r="M863" s="2" t="s">
        <v>122</v>
      </c>
      <c r="N863" s="2" t="s">
        <v>20</v>
      </c>
      <c r="O863" s="2">
        <v>79</v>
      </c>
      <c r="P863" s="2">
        <v>4</v>
      </c>
    </row>
    <row r="864" spans="2:16" ht="21" hidden="1" x14ac:dyDescent="0.55000000000000004">
      <c r="B864" s="2" t="s">
        <v>2252</v>
      </c>
      <c r="C864" s="2" t="s">
        <v>2253</v>
      </c>
      <c r="D864" s="2" t="s">
        <v>44</v>
      </c>
      <c r="E864" s="2" t="s">
        <v>80</v>
      </c>
      <c r="F864" s="6" t="s">
        <v>154</v>
      </c>
      <c r="G864" s="10">
        <f t="shared" si="39"/>
        <v>2024</v>
      </c>
      <c r="H864" s="10">
        <f t="shared" si="40"/>
        <v>1</v>
      </c>
      <c r="I864" s="10">
        <f t="shared" si="41"/>
        <v>22</v>
      </c>
      <c r="J864" s="9" t="s">
        <v>162</v>
      </c>
      <c r="K864" s="2" t="s">
        <v>40</v>
      </c>
      <c r="L864" s="2">
        <v>367.9</v>
      </c>
      <c r="M864" s="2" t="s">
        <v>19</v>
      </c>
      <c r="N864" s="2" t="s">
        <v>50</v>
      </c>
      <c r="O864" s="2">
        <v>16</v>
      </c>
      <c r="P864" s="2">
        <v>3</v>
      </c>
    </row>
    <row r="865" spans="2:16" ht="21" hidden="1" x14ac:dyDescent="0.55000000000000004">
      <c r="B865" s="2" t="s">
        <v>2254</v>
      </c>
      <c r="C865" s="2" t="s">
        <v>2255</v>
      </c>
      <c r="D865" s="2" t="s">
        <v>106</v>
      </c>
      <c r="E865" s="2" t="s">
        <v>80</v>
      </c>
      <c r="F865" s="6" t="s">
        <v>161</v>
      </c>
      <c r="G865" s="10">
        <f t="shared" si="39"/>
        <v>2024</v>
      </c>
      <c r="H865" s="10">
        <f t="shared" si="40"/>
        <v>1</v>
      </c>
      <c r="I865" s="10">
        <f t="shared" si="41"/>
        <v>5</v>
      </c>
      <c r="J865" s="9" t="s">
        <v>318</v>
      </c>
      <c r="K865" s="2" t="s">
        <v>57</v>
      </c>
      <c r="L865" s="2">
        <v>224.58</v>
      </c>
      <c r="M865" s="2" t="s">
        <v>19</v>
      </c>
      <c r="N865" s="2" t="s">
        <v>20</v>
      </c>
      <c r="O865" s="2">
        <v>86</v>
      </c>
      <c r="P865" s="2">
        <v>5</v>
      </c>
    </row>
    <row r="866" spans="2:16" ht="21" hidden="1" x14ac:dyDescent="0.55000000000000004">
      <c r="B866" s="2" t="s">
        <v>2256</v>
      </c>
      <c r="C866" s="2" t="s">
        <v>2257</v>
      </c>
      <c r="D866" s="2" t="s">
        <v>23</v>
      </c>
      <c r="E866" s="2" t="s">
        <v>89</v>
      </c>
      <c r="F866" s="6" t="s">
        <v>257</v>
      </c>
      <c r="G866" s="10">
        <f t="shared" si="39"/>
        <v>2024</v>
      </c>
      <c r="H866" s="10">
        <f t="shared" si="40"/>
        <v>1</v>
      </c>
      <c r="I866" s="10">
        <f t="shared" si="41"/>
        <v>10</v>
      </c>
      <c r="J866" s="9" t="s">
        <v>1450</v>
      </c>
      <c r="K866" s="2" t="s">
        <v>33</v>
      </c>
      <c r="L866" s="2">
        <v>485.15</v>
      </c>
      <c r="M866" s="2" t="s">
        <v>49</v>
      </c>
      <c r="N866" s="2" t="s">
        <v>26</v>
      </c>
      <c r="O866" s="2">
        <v>83</v>
      </c>
      <c r="P866" s="2">
        <v>1</v>
      </c>
    </row>
    <row r="867" spans="2:16" ht="21" hidden="1" x14ac:dyDescent="0.55000000000000004">
      <c r="B867" s="2" t="s">
        <v>2258</v>
      </c>
      <c r="C867" s="2" t="s">
        <v>2259</v>
      </c>
      <c r="D867" s="2" t="s">
        <v>117</v>
      </c>
      <c r="E867" s="2" t="s">
        <v>15</v>
      </c>
      <c r="F867" s="6" t="s">
        <v>198</v>
      </c>
      <c r="G867" s="10">
        <f t="shared" si="39"/>
        <v>2024</v>
      </c>
      <c r="H867" s="10">
        <f t="shared" si="40"/>
        <v>1</v>
      </c>
      <c r="I867" s="10">
        <f t="shared" si="41"/>
        <v>4</v>
      </c>
      <c r="J867" s="9" t="s">
        <v>1812</v>
      </c>
      <c r="K867" s="2" t="s">
        <v>57</v>
      </c>
      <c r="L867" s="2">
        <v>222.06</v>
      </c>
      <c r="M867" s="2" t="s">
        <v>122</v>
      </c>
      <c r="N867" s="2" t="s">
        <v>26</v>
      </c>
      <c r="O867" s="2">
        <v>64</v>
      </c>
      <c r="P867" s="2">
        <v>5</v>
      </c>
    </row>
    <row r="868" spans="2:16" ht="21" hidden="1" x14ac:dyDescent="0.55000000000000004">
      <c r="B868" s="2" t="s">
        <v>2260</v>
      </c>
      <c r="C868" s="2" t="s">
        <v>2261</v>
      </c>
      <c r="D868" s="2" t="s">
        <v>73</v>
      </c>
      <c r="E868" s="2" t="s">
        <v>125</v>
      </c>
      <c r="F868" s="6" t="s">
        <v>75</v>
      </c>
      <c r="G868" s="10">
        <f t="shared" si="39"/>
        <v>2024</v>
      </c>
      <c r="H868" s="10">
        <f t="shared" si="40"/>
        <v>1</v>
      </c>
      <c r="I868" s="10">
        <f t="shared" si="41"/>
        <v>25</v>
      </c>
      <c r="J868" s="9" t="s">
        <v>736</v>
      </c>
      <c r="K868" s="2" t="s">
        <v>64</v>
      </c>
      <c r="L868" s="2">
        <v>373.29</v>
      </c>
      <c r="M868" s="2" t="s">
        <v>122</v>
      </c>
      <c r="N868" s="2" t="s">
        <v>50</v>
      </c>
      <c r="O868" s="2">
        <v>19</v>
      </c>
      <c r="P868" s="2">
        <v>5</v>
      </c>
    </row>
    <row r="869" spans="2:16" ht="21" hidden="1" x14ac:dyDescent="0.55000000000000004">
      <c r="B869" s="2" t="s">
        <v>2262</v>
      </c>
      <c r="C869" s="2" t="s">
        <v>2263</v>
      </c>
      <c r="D869" s="2" t="s">
        <v>117</v>
      </c>
      <c r="E869" s="2" t="s">
        <v>89</v>
      </c>
      <c r="F869" s="6" t="s">
        <v>75</v>
      </c>
      <c r="G869" s="10">
        <f t="shared" si="39"/>
        <v>2024</v>
      </c>
      <c r="H869" s="10">
        <f t="shared" si="40"/>
        <v>1</v>
      </c>
      <c r="I869" s="10">
        <f t="shared" si="41"/>
        <v>25</v>
      </c>
      <c r="J869" s="9" t="s">
        <v>2264</v>
      </c>
      <c r="K869" s="2" t="s">
        <v>48</v>
      </c>
      <c r="L869" s="2">
        <v>273.17</v>
      </c>
      <c r="M869" s="2" t="s">
        <v>49</v>
      </c>
      <c r="N869" s="2" t="s">
        <v>41</v>
      </c>
      <c r="O869" s="2">
        <v>25</v>
      </c>
      <c r="P869" s="2"/>
    </row>
    <row r="870" spans="2:16" ht="21" hidden="1" x14ac:dyDescent="0.55000000000000004">
      <c r="B870" s="2" t="s">
        <v>2265</v>
      </c>
      <c r="C870" s="2" t="s">
        <v>2266</v>
      </c>
      <c r="D870" s="2" t="s">
        <v>117</v>
      </c>
      <c r="E870" s="2" t="s">
        <v>80</v>
      </c>
      <c r="F870" s="6" t="s">
        <v>473</v>
      </c>
      <c r="G870" s="10">
        <f t="shared" si="39"/>
        <v>2024</v>
      </c>
      <c r="H870" s="10">
        <f t="shared" si="40"/>
        <v>1</v>
      </c>
      <c r="I870" s="10">
        <f t="shared" si="41"/>
        <v>30</v>
      </c>
      <c r="J870" s="9" t="s">
        <v>773</v>
      </c>
      <c r="K870" s="2" t="s">
        <v>77</v>
      </c>
      <c r="L870" s="2">
        <v>332.43</v>
      </c>
      <c r="M870" s="2" t="s">
        <v>19</v>
      </c>
      <c r="N870" s="2" t="s">
        <v>50</v>
      </c>
      <c r="O870" s="2">
        <v>77</v>
      </c>
      <c r="P870" s="2">
        <v>5</v>
      </c>
    </row>
    <row r="871" spans="2:16" ht="21" hidden="1" x14ac:dyDescent="0.55000000000000004">
      <c r="B871" s="2" t="s">
        <v>2267</v>
      </c>
      <c r="C871" s="2" t="s">
        <v>2268</v>
      </c>
      <c r="D871" s="2" t="s">
        <v>29</v>
      </c>
      <c r="E871" s="2" t="s">
        <v>89</v>
      </c>
      <c r="F871" s="6" t="s">
        <v>180</v>
      </c>
      <c r="G871" s="10">
        <f t="shared" si="39"/>
        <v>2024</v>
      </c>
      <c r="H871" s="10">
        <f t="shared" si="40"/>
        <v>1</v>
      </c>
      <c r="I871" s="10">
        <f t="shared" si="41"/>
        <v>28</v>
      </c>
      <c r="J871" s="9" t="s">
        <v>2269</v>
      </c>
      <c r="K871" s="2" t="s">
        <v>33</v>
      </c>
      <c r="L871" s="2">
        <v>203.55</v>
      </c>
      <c r="M871" s="2" t="s">
        <v>65</v>
      </c>
      <c r="N871" s="2" t="s">
        <v>50</v>
      </c>
      <c r="O871" s="2">
        <v>78</v>
      </c>
      <c r="P871" s="2">
        <v>1</v>
      </c>
    </row>
    <row r="872" spans="2:16" ht="21" hidden="1" x14ac:dyDescent="0.55000000000000004">
      <c r="B872" s="2" t="s">
        <v>2270</v>
      </c>
      <c r="C872" s="2" t="s">
        <v>2271</v>
      </c>
      <c r="D872" s="2" t="s">
        <v>73</v>
      </c>
      <c r="E872" s="2" t="s">
        <v>74</v>
      </c>
      <c r="F872" s="6" t="s">
        <v>85</v>
      </c>
      <c r="G872" s="10">
        <f t="shared" si="39"/>
        <v>2024</v>
      </c>
      <c r="H872" s="10">
        <f t="shared" si="40"/>
        <v>1</v>
      </c>
      <c r="I872" s="10">
        <f t="shared" si="41"/>
        <v>16</v>
      </c>
      <c r="J872" s="9" t="s">
        <v>2272</v>
      </c>
      <c r="K872" s="2" t="s">
        <v>91</v>
      </c>
      <c r="L872" s="2">
        <v>160.80000000000001</v>
      </c>
      <c r="M872" s="2" t="s">
        <v>19</v>
      </c>
      <c r="N872" s="2" t="s">
        <v>41</v>
      </c>
      <c r="O872" s="2">
        <v>55</v>
      </c>
      <c r="P872" s="2">
        <v>1</v>
      </c>
    </row>
    <row r="873" spans="2:16" ht="21" hidden="1" x14ac:dyDescent="0.55000000000000004">
      <c r="B873" s="2" t="s">
        <v>2273</v>
      </c>
      <c r="C873" s="2" t="s">
        <v>2274</v>
      </c>
      <c r="D873" s="2" t="s">
        <v>29</v>
      </c>
      <c r="E873" s="2" t="s">
        <v>139</v>
      </c>
      <c r="F873" s="6" t="s">
        <v>75</v>
      </c>
      <c r="G873" s="10">
        <f t="shared" si="39"/>
        <v>2024</v>
      </c>
      <c r="H873" s="10">
        <f t="shared" si="40"/>
        <v>1</v>
      </c>
      <c r="I873" s="10">
        <f t="shared" si="41"/>
        <v>25</v>
      </c>
      <c r="J873" s="9" t="s">
        <v>258</v>
      </c>
      <c r="K873" s="2" t="s">
        <v>57</v>
      </c>
      <c r="L873" s="2">
        <v>109.16</v>
      </c>
      <c r="M873" s="2" t="s">
        <v>19</v>
      </c>
      <c r="N873" s="2" t="s">
        <v>20</v>
      </c>
      <c r="O873" s="2">
        <v>63</v>
      </c>
      <c r="P873" s="2"/>
    </row>
    <row r="874" spans="2:16" ht="21" hidden="1" x14ac:dyDescent="0.55000000000000004">
      <c r="B874" s="2" t="s">
        <v>2275</v>
      </c>
      <c r="C874" s="2" t="s">
        <v>2276</v>
      </c>
      <c r="D874" s="2" t="s">
        <v>60</v>
      </c>
      <c r="E874" s="2" t="s">
        <v>139</v>
      </c>
      <c r="F874" s="6" t="s">
        <v>75</v>
      </c>
      <c r="G874" s="10">
        <f t="shared" si="39"/>
        <v>2024</v>
      </c>
      <c r="H874" s="10">
        <f t="shared" si="40"/>
        <v>1</v>
      </c>
      <c r="I874" s="10">
        <f t="shared" si="41"/>
        <v>25</v>
      </c>
      <c r="J874" s="9" t="s">
        <v>939</v>
      </c>
      <c r="K874" s="2" t="s">
        <v>33</v>
      </c>
      <c r="L874" s="2">
        <v>440.99</v>
      </c>
      <c r="M874" s="2" t="s">
        <v>19</v>
      </c>
      <c r="N874" s="2" t="s">
        <v>20</v>
      </c>
      <c r="O874" s="2">
        <v>27</v>
      </c>
      <c r="P874" s="2"/>
    </row>
    <row r="875" spans="2:16" ht="21" hidden="1" x14ac:dyDescent="0.55000000000000004">
      <c r="B875" s="2" t="s">
        <v>2277</v>
      </c>
      <c r="C875" s="2" t="s">
        <v>2278</v>
      </c>
      <c r="D875" s="2" t="s">
        <v>60</v>
      </c>
      <c r="E875" s="2" t="s">
        <v>125</v>
      </c>
      <c r="F875" s="6" t="s">
        <v>154</v>
      </c>
      <c r="G875" s="10">
        <f t="shared" si="39"/>
        <v>2024</v>
      </c>
      <c r="H875" s="10">
        <f t="shared" si="40"/>
        <v>1</v>
      </c>
      <c r="I875" s="10">
        <f t="shared" si="41"/>
        <v>22</v>
      </c>
      <c r="J875" s="9" t="s">
        <v>2279</v>
      </c>
      <c r="K875" s="2" t="s">
        <v>64</v>
      </c>
      <c r="L875" s="2">
        <v>168.13</v>
      </c>
      <c r="M875" s="2" t="s">
        <v>19</v>
      </c>
      <c r="N875" s="2" t="s">
        <v>20</v>
      </c>
      <c r="O875" s="2">
        <v>55</v>
      </c>
      <c r="P875" s="2">
        <v>3</v>
      </c>
    </row>
    <row r="876" spans="2:16" ht="21" hidden="1" x14ac:dyDescent="0.55000000000000004">
      <c r="B876" s="2" t="s">
        <v>2280</v>
      </c>
      <c r="C876" s="2" t="s">
        <v>2281</v>
      </c>
      <c r="D876" s="2" t="s">
        <v>117</v>
      </c>
      <c r="E876" s="2" t="s">
        <v>61</v>
      </c>
      <c r="F876" s="6" t="s">
        <v>272</v>
      </c>
      <c r="G876" s="10">
        <f t="shared" si="39"/>
        <v>2024</v>
      </c>
      <c r="H876" s="10">
        <f t="shared" si="40"/>
        <v>1</v>
      </c>
      <c r="I876" s="10">
        <f t="shared" si="41"/>
        <v>1</v>
      </c>
      <c r="J876" s="9" t="s">
        <v>443</v>
      </c>
      <c r="K876" s="2" t="s">
        <v>40</v>
      </c>
      <c r="L876" s="2">
        <v>325.22000000000003</v>
      </c>
      <c r="M876" s="2" t="s">
        <v>122</v>
      </c>
      <c r="N876" s="2" t="s">
        <v>26</v>
      </c>
      <c r="O876" s="2">
        <v>25</v>
      </c>
      <c r="P876" s="2">
        <v>1</v>
      </c>
    </row>
    <row r="877" spans="2:16" ht="21" hidden="1" x14ac:dyDescent="0.55000000000000004">
      <c r="B877" s="2" t="s">
        <v>2282</v>
      </c>
      <c r="C877" s="2" t="s">
        <v>2283</v>
      </c>
      <c r="D877" s="2" t="s">
        <v>29</v>
      </c>
      <c r="E877" s="2" t="s">
        <v>80</v>
      </c>
      <c r="F877" s="6" t="s">
        <v>24</v>
      </c>
      <c r="G877" s="10">
        <f t="shared" si="39"/>
        <v>2024</v>
      </c>
      <c r="H877" s="10">
        <f t="shared" si="40"/>
        <v>1</v>
      </c>
      <c r="I877" s="10">
        <f t="shared" si="41"/>
        <v>21</v>
      </c>
      <c r="J877" s="9" t="s">
        <v>2284</v>
      </c>
      <c r="K877" s="2" t="s">
        <v>33</v>
      </c>
      <c r="L877" s="2">
        <v>220.76</v>
      </c>
      <c r="M877" s="2" t="s">
        <v>19</v>
      </c>
      <c r="N877" s="2" t="s">
        <v>20</v>
      </c>
      <c r="O877" s="2">
        <v>31</v>
      </c>
      <c r="P877" s="2">
        <v>2</v>
      </c>
    </row>
    <row r="878" spans="2:16" ht="21" hidden="1" x14ac:dyDescent="0.55000000000000004">
      <c r="B878" s="2" t="s">
        <v>2285</v>
      </c>
      <c r="C878" s="2" t="s">
        <v>2286</v>
      </c>
      <c r="D878" s="2" t="s">
        <v>23</v>
      </c>
      <c r="E878" s="2" t="s">
        <v>61</v>
      </c>
      <c r="F878" s="6" t="s">
        <v>154</v>
      </c>
      <c r="G878" s="10">
        <f t="shared" si="39"/>
        <v>2024</v>
      </c>
      <c r="H878" s="10">
        <f t="shared" si="40"/>
        <v>1</v>
      </c>
      <c r="I878" s="10">
        <f t="shared" si="41"/>
        <v>22</v>
      </c>
      <c r="J878" s="9" t="s">
        <v>2111</v>
      </c>
      <c r="K878" s="2" t="s">
        <v>33</v>
      </c>
      <c r="L878" s="2">
        <v>76.27</v>
      </c>
      <c r="M878" s="2" t="s">
        <v>122</v>
      </c>
      <c r="N878" s="2" t="s">
        <v>50</v>
      </c>
      <c r="O878" s="2">
        <v>19</v>
      </c>
      <c r="P878" s="2">
        <v>2</v>
      </c>
    </row>
    <row r="879" spans="2:16" ht="21" hidden="1" x14ac:dyDescent="0.55000000000000004">
      <c r="B879" s="2" t="s">
        <v>2287</v>
      </c>
      <c r="C879" s="2" t="s">
        <v>2288</v>
      </c>
      <c r="D879" s="2" t="s">
        <v>29</v>
      </c>
      <c r="E879" s="2" t="s">
        <v>15</v>
      </c>
      <c r="F879" s="6" t="s">
        <v>317</v>
      </c>
      <c r="G879" s="10">
        <f t="shared" si="39"/>
        <v>2024</v>
      </c>
      <c r="H879" s="10">
        <f t="shared" si="40"/>
        <v>1</v>
      </c>
      <c r="I879" s="10">
        <f t="shared" si="41"/>
        <v>3</v>
      </c>
      <c r="J879" s="9" t="s">
        <v>889</v>
      </c>
      <c r="K879" s="2" t="s">
        <v>91</v>
      </c>
      <c r="L879" s="2">
        <v>327.64</v>
      </c>
      <c r="M879" s="2" t="s">
        <v>122</v>
      </c>
      <c r="N879" s="2" t="s">
        <v>20</v>
      </c>
      <c r="O879" s="2">
        <v>87</v>
      </c>
      <c r="P879" s="2">
        <v>1</v>
      </c>
    </row>
    <row r="880" spans="2:16" ht="21" hidden="1" x14ac:dyDescent="0.55000000000000004">
      <c r="B880" s="2" t="s">
        <v>2289</v>
      </c>
      <c r="C880" s="2" t="s">
        <v>2290</v>
      </c>
      <c r="D880" s="2" t="s">
        <v>29</v>
      </c>
      <c r="E880" s="2" t="s">
        <v>45</v>
      </c>
      <c r="F880" s="6" t="s">
        <v>69</v>
      </c>
      <c r="G880" s="10">
        <f t="shared" si="39"/>
        <v>2024</v>
      </c>
      <c r="H880" s="10">
        <f t="shared" si="40"/>
        <v>1</v>
      </c>
      <c r="I880" s="10">
        <f t="shared" si="41"/>
        <v>27</v>
      </c>
      <c r="J880" s="9" t="s">
        <v>1131</v>
      </c>
      <c r="K880" s="2" t="s">
        <v>33</v>
      </c>
      <c r="L880" s="2">
        <v>473.7</v>
      </c>
      <c r="M880" s="2" t="s">
        <v>65</v>
      </c>
      <c r="N880" s="2" t="s">
        <v>26</v>
      </c>
      <c r="O880" s="2">
        <v>62</v>
      </c>
      <c r="P880" s="2">
        <v>3</v>
      </c>
    </row>
    <row r="881" spans="2:16" ht="21" hidden="1" x14ac:dyDescent="0.55000000000000004">
      <c r="B881" s="2" t="s">
        <v>2291</v>
      </c>
      <c r="C881" s="2" t="s">
        <v>2292</v>
      </c>
      <c r="D881" s="2" t="s">
        <v>14</v>
      </c>
      <c r="E881" s="2" t="s">
        <v>125</v>
      </c>
      <c r="F881" s="6" t="s">
        <v>85</v>
      </c>
      <c r="G881" s="10">
        <f t="shared" si="39"/>
        <v>2024</v>
      </c>
      <c r="H881" s="10">
        <f t="shared" si="40"/>
        <v>1</v>
      </c>
      <c r="I881" s="10">
        <f t="shared" si="41"/>
        <v>16</v>
      </c>
      <c r="J881" s="9" t="s">
        <v>2293</v>
      </c>
      <c r="K881" s="2" t="s">
        <v>40</v>
      </c>
      <c r="L881" s="2">
        <v>423.01</v>
      </c>
      <c r="M881" s="2" t="s">
        <v>122</v>
      </c>
      <c r="N881" s="2" t="s">
        <v>41</v>
      </c>
      <c r="O881" s="2">
        <v>71</v>
      </c>
      <c r="P881" s="2">
        <v>5</v>
      </c>
    </row>
    <row r="882" spans="2:16" ht="21" hidden="1" x14ac:dyDescent="0.55000000000000004">
      <c r="B882" s="2" t="s">
        <v>2294</v>
      </c>
      <c r="C882" s="2" t="s">
        <v>2295</v>
      </c>
      <c r="D882" s="2" t="s">
        <v>117</v>
      </c>
      <c r="E882" s="2" t="s">
        <v>80</v>
      </c>
      <c r="F882" s="6" t="s">
        <v>62</v>
      </c>
      <c r="G882" s="10">
        <f t="shared" si="39"/>
        <v>2024</v>
      </c>
      <c r="H882" s="10">
        <f t="shared" si="40"/>
        <v>1</v>
      </c>
      <c r="I882" s="10">
        <f t="shared" si="41"/>
        <v>31</v>
      </c>
      <c r="J882" s="9" t="s">
        <v>586</v>
      </c>
      <c r="K882" s="2" t="s">
        <v>40</v>
      </c>
      <c r="L882" s="2">
        <v>73.739999999999995</v>
      </c>
      <c r="M882" s="2" t="s">
        <v>49</v>
      </c>
      <c r="N882" s="2" t="s">
        <v>50</v>
      </c>
      <c r="O882" s="2">
        <v>61</v>
      </c>
      <c r="P882" s="2">
        <v>4</v>
      </c>
    </row>
    <row r="883" spans="2:16" ht="21" hidden="1" x14ac:dyDescent="0.55000000000000004">
      <c r="B883" s="2" t="s">
        <v>2296</v>
      </c>
      <c r="C883" s="2" t="s">
        <v>2297</v>
      </c>
      <c r="D883" s="2" t="s">
        <v>14</v>
      </c>
      <c r="E883" s="2" t="s">
        <v>37</v>
      </c>
      <c r="F883" s="6" t="s">
        <v>272</v>
      </c>
      <c r="G883" s="10">
        <f t="shared" si="39"/>
        <v>2024</v>
      </c>
      <c r="H883" s="10">
        <f t="shared" si="40"/>
        <v>1</v>
      </c>
      <c r="I883" s="10">
        <f t="shared" si="41"/>
        <v>1</v>
      </c>
      <c r="J883" s="9" t="s">
        <v>387</v>
      </c>
      <c r="K883" s="2" t="s">
        <v>64</v>
      </c>
      <c r="L883" s="2">
        <v>452.76</v>
      </c>
      <c r="M883" s="2" t="s">
        <v>65</v>
      </c>
      <c r="N883" s="2" t="s">
        <v>26</v>
      </c>
      <c r="O883" s="2">
        <v>25</v>
      </c>
      <c r="P883" s="2">
        <v>2</v>
      </c>
    </row>
    <row r="884" spans="2:16" ht="21" x14ac:dyDescent="0.55000000000000004">
      <c r="B884" s="2" t="s">
        <v>2298</v>
      </c>
      <c r="C884" s="2" t="s">
        <v>2299</v>
      </c>
      <c r="D884" s="2" t="s">
        <v>29</v>
      </c>
      <c r="E884" s="2" t="s">
        <v>54</v>
      </c>
      <c r="F884" s="6" t="s">
        <v>16</v>
      </c>
      <c r="G884" s="10">
        <f t="shared" si="39"/>
        <v>2024</v>
      </c>
      <c r="H884" s="10">
        <f t="shared" si="40"/>
        <v>1</v>
      </c>
      <c r="I884" s="10">
        <f t="shared" si="41"/>
        <v>9</v>
      </c>
      <c r="J884" s="9" t="s">
        <v>1417</v>
      </c>
      <c r="K884" s="2" t="s">
        <v>64</v>
      </c>
      <c r="L884" s="2">
        <v>383.44</v>
      </c>
      <c r="M884" s="2" t="s">
        <v>49</v>
      </c>
      <c r="N884" s="2" t="s">
        <v>20</v>
      </c>
      <c r="O884" s="2">
        <v>57</v>
      </c>
      <c r="P884" s="2">
        <v>5</v>
      </c>
    </row>
    <row r="885" spans="2:16" ht="21" hidden="1" x14ac:dyDescent="0.55000000000000004">
      <c r="B885" s="2" t="s">
        <v>2300</v>
      </c>
      <c r="C885" s="2" t="s">
        <v>2301</v>
      </c>
      <c r="D885" s="2" t="s">
        <v>14</v>
      </c>
      <c r="E885" s="2" t="s">
        <v>15</v>
      </c>
      <c r="F885" s="6" t="s">
        <v>302</v>
      </c>
      <c r="G885" s="10">
        <f t="shared" si="39"/>
        <v>2024</v>
      </c>
      <c r="H885" s="10">
        <f t="shared" si="40"/>
        <v>1</v>
      </c>
      <c r="I885" s="10">
        <f t="shared" si="41"/>
        <v>2</v>
      </c>
      <c r="J885" s="9" t="s">
        <v>742</v>
      </c>
      <c r="K885" s="2" t="s">
        <v>77</v>
      </c>
      <c r="L885" s="2">
        <v>454.98</v>
      </c>
      <c r="M885" s="2" t="s">
        <v>19</v>
      </c>
      <c r="N885" s="2" t="s">
        <v>50</v>
      </c>
      <c r="O885" s="2">
        <v>39</v>
      </c>
      <c r="P885" s="2">
        <v>1</v>
      </c>
    </row>
    <row r="886" spans="2:16" ht="21" hidden="1" x14ac:dyDescent="0.55000000000000004">
      <c r="B886" s="2" t="s">
        <v>2302</v>
      </c>
      <c r="C886" s="2" t="s">
        <v>2303</v>
      </c>
      <c r="D886" s="2" t="s">
        <v>60</v>
      </c>
      <c r="E886" s="2" t="s">
        <v>89</v>
      </c>
      <c r="F886" s="6" t="s">
        <v>144</v>
      </c>
      <c r="G886" s="10">
        <f t="shared" si="39"/>
        <v>2024</v>
      </c>
      <c r="H886" s="10">
        <f t="shared" si="40"/>
        <v>1</v>
      </c>
      <c r="I886" s="10">
        <f t="shared" si="41"/>
        <v>7</v>
      </c>
      <c r="J886" s="9" t="s">
        <v>2304</v>
      </c>
      <c r="K886" s="2" t="s">
        <v>48</v>
      </c>
      <c r="L886" s="2">
        <v>56.81</v>
      </c>
      <c r="M886" s="2" t="s">
        <v>49</v>
      </c>
      <c r="N886" s="2" t="s">
        <v>50</v>
      </c>
      <c r="O886" s="2">
        <v>83</v>
      </c>
      <c r="P886" s="2">
        <v>5</v>
      </c>
    </row>
    <row r="887" spans="2:16" ht="21" hidden="1" x14ac:dyDescent="0.55000000000000004">
      <c r="B887" s="2" t="s">
        <v>2305</v>
      </c>
      <c r="C887" s="2" t="s">
        <v>2306</v>
      </c>
      <c r="D887" s="2" t="s">
        <v>44</v>
      </c>
      <c r="E887" s="2" t="s">
        <v>37</v>
      </c>
      <c r="F887" s="6" t="s">
        <v>343</v>
      </c>
      <c r="G887" s="10">
        <f t="shared" si="39"/>
        <v>2024</v>
      </c>
      <c r="H887" s="10">
        <f t="shared" si="40"/>
        <v>1</v>
      </c>
      <c r="I887" s="10">
        <f t="shared" si="41"/>
        <v>13</v>
      </c>
      <c r="J887" s="9" t="s">
        <v>2307</v>
      </c>
      <c r="K887" s="2" t="s">
        <v>91</v>
      </c>
      <c r="L887" s="2">
        <v>226.65</v>
      </c>
      <c r="M887" s="2" t="s">
        <v>19</v>
      </c>
      <c r="N887" s="2" t="s">
        <v>26</v>
      </c>
      <c r="O887" s="2">
        <v>33</v>
      </c>
      <c r="P887" s="2">
        <v>4</v>
      </c>
    </row>
    <row r="888" spans="2:16" ht="21" hidden="1" x14ac:dyDescent="0.55000000000000004">
      <c r="B888" s="2" t="s">
        <v>2308</v>
      </c>
      <c r="C888" s="2" t="s">
        <v>2278</v>
      </c>
      <c r="D888" s="2" t="s">
        <v>23</v>
      </c>
      <c r="E888" s="2" t="s">
        <v>74</v>
      </c>
      <c r="F888" s="6" t="s">
        <v>154</v>
      </c>
      <c r="G888" s="10">
        <f t="shared" si="39"/>
        <v>2024</v>
      </c>
      <c r="H888" s="10">
        <f t="shared" si="40"/>
        <v>1</v>
      </c>
      <c r="I888" s="10">
        <f t="shared" si="41"/>
        <v>22</v>
      </c>
      <c r="J888" s="9" t="s">
        <v>2309</v>
      </c>
      <c r="K888" s="2" t="s">
        <v>18</v>
      </c>
      <c r="L888" s="2">
        <v>97.7</v>
      </c>
      <c r="M888" s="2" t="s">
        <v>49</v>
      </c>
      <c r="N888" s="2" t="s">
        <v>41</v>
      </c>
      <c r="O888" s="2">
        <v>64</v>
      </c>
      <c r="P888" s="2">
        <v>3</v>
      </c>
    </row>
    <row r="889" spans="2:16" ht="21" hidden="1" x14ac:dyDescent="0.55000000000000004">
      <c r="B889" s="2" t="s">
        <v>2310</v>
      </c>
      <c r="C889" s="2" t="s">
        <v>2311</v>
      </c>
      <c r="D889" s="2" t="s">
        <v>106</v>
      </c>
      <c r="E889" s="2" t="s">
        <v>15</v>
      </c>
      <c r="F889" s="6" t="s">
        <v>69</v>
      </c>
      <c r="G889" s="10">
        <f t="shared" si="39"/>
        <v>2024</v>
      </c>
      <c r="H889" s="10">
        <f t="shared" si="40"/>
        <v>1</v>
      </c>
      <c r="I889" s="10">
        <f t="shared" si="41"/>
        <v>27</v>
      </c>
      <c r="J889" s="9" t="s">
        <v>577</v>
      </c>
      <c r="K889" s="2" t="s">
        <v>77</v>
      </c>
      <c r="L889" s="2">
        <v>442.02</v>
      </c>
      <c r="M889" s="2" t="s">
        <v>49</v>
      </c>
      <c r="N889" s="2" t="s">
        <v>20</v>
      </c>
      <c r="O889" s="2">
        <v>80</v>
      </c>
      <c r="P889" s="2">
        <v>4</v>
      </c>
    </row>
    <row r="890" spans="2:16" ht="21" hidden="1" x14ac:dyDescent="0.55000000000000004">
      <c r="B890" s="2" t="s">
        <v>2312</v>
      </c>
      <c r="C890" s="2" t="s">
        <v>2313</v>
      </c>
      <c r="D890" s="2" t="s">
        <v>117</v>
      </c>
      <c r="E890" s="2" t="s">
        <v>89</v>
      </c>
      <c r="F890" s="6" t="s">
        <v>24</v>
      </c>
      <c r="G890" s="10">
        <f t="shared" si="39"/>
        <v>2024</v>
      </c>
      <c r="H890" s="10">
        <f t="shared" si="40"/>
        <v>1</v>
      </c>
      <c r="I890" s="10">
        <f t="shared" si="41"/>
        <v>21</v>
      </c>
      <c r="J890" s="9" t="s">
        <v>2314</v>
      </c>
      <c r="K890" s="2" t="s">
        <v>91</v>
      </c>
      <c r="L890" s="2">
        <v>416.51</v>
      </c>
      <c r="M890" s="2" t="s">
        <v>65</v>
      </c>
      <c r="N890" s="2" t="s">
        <v>41</v>
      </c>
      <c r="O890" s="2">
        <v>16</v>
      </c>
      <c r="P890" s="2">
        <v>3</v>
      </c>
    </row>
    <row r="891" spans="2:16" ht="21" hidden="1" x14ac:dyDescent="0.55000000000000004">
      <c r="B891" s="2" t="s">
        <v>2315</v>
      </c>
      <c r="C891" s="2" t="s">
        <v>2316</v>
      </c>
      <c r="D891" s="2" t="s">
        <v>53</v>
      </c>
      <c r="E891" s="2" t="s">
        <v>74</v>
      </c>
      <c r="F891" s="6" t="s">
        <v>62</v>
      </c>
      <c r="G891" s="10">
        <f t="shared" si="39"/>
        <v>2024</v>
      </c>
      <c r="H891" s="10">
        <f t="shared" si="40"/>
        <v>1</v>
      </c>
      <c r="I891" s="10">
        <f t="shared" si="41"/>
        <v>31</v>
      </c>
      <c r="J891" s="9" t="s">
        <v>1447</v>
      </c>
      <c r="K891" s="2" t="s">
        <v>18</v>
      </c>
      <c r="L891" s="2">
        <v>61.22</v>
      </c>
      <c r="M891" s="2" t="s">
        <v>65</v>
      </c>
      <c r="N891" s="2" t="s">
        <v>26</v>
      </c>
      <c r="O891" s="2">
        <v>58</v>
      </c>
      <c r="P891" s="2">
        <v>2</v>
      </c>
    </row>
    <row r="892" spans="2:16" ht="21" hidden="1" x14ac:dyDescent="0.55000000000000004">
      <c r="B892" s="2" t="s">
        <v>2317</v>
      </c>
      <c r="C892" s="2" t="s">
        <v>2318</v>
      </c>
      <c r="D892" s="2" t="s">
        <v>23</v>
      </c>
      <c r="E892" s="2" t="s">
        <v>89</v>
      </c>
      <c r="F892" s="6" t="s">
        <v>129</v>
      </c>
      <c r="G892" s="10">
        <f t="shared" si="39"/>
        <v>2024</v>
      </c>
      <c r="H892" s="10">
        <f t="shared" si="40"/>
        <v>1</v>
      </c>
      <c r="I892" s="10">
        <f t="shared" si="41"/>
        <v>19</v>
      </c>
      <c r="J892" s="9" t="s">
        <v>2319</v>
      </c>
      <c r="K892" s="2" t="s">
        <v>33</v>
      </c>
      <c r="L892" s="2">
        <v>187.97</v>
      </c>
      <c r="M892" s="2" t="s">
        <v>19</v>
      </c>
      <c r="N892" s="2" t="s">
        <v>26</v>
      </c>
      <c r="O892" s="2">
        <v>66</v>
      </c>
      <c r="P892" s="2">
        <v>4</v>
      </c>
    </row>
    <row r="893" spans="2:16" ht="21" hidden="1" x14ac:dyDescent="0.55000000000000004">
      <c r="B893" s="2" t="s">
        <v>2320</v>
      </c>
      <c r="C893" s="2" t="s">
        <v>2321</v>
      </c>
      <c r="D893" s="2" t="s">
        <v>106</v>
      </c>
      <c r="E893" s="2" t="s">
        <v>80</v>
      </c>
      <c r="F893" s="6" t="s">
        <v>55</v>
      </c>
      <c r="G893" s="10">
        <f t="shared" si="39"/>
        <v>2024</v>
      </c>
      <c r="H893" s="10">
        <f t="shared" si="40"/>
        <v>1</v>
      </c>
      <c r="I893" s="10">
        <f t="shared" si="41"/>
        <v>8</v>
      </c>
      <c r="J893" s="9" t="s">
        <v>2322</v>
      </c>
      <c r="K893" s="2" t="s">
        <v>18</v>
      </c>
      <c r="L893" s="2">
        <v>239.03</v>
      </c>
      <c r="M893" s="2" t="s">
        <v>122</v>
      </c>
      <c r="N893" s="2" t="s">
        <v>50</v>
      </c>
      <c r="O893" s="2">
        <v>76</v>
      </c>
      <c r="P893" s="2">
        <v>4</v>
      </c>
    </row>
    <row r="894" spans="2:16" ht="21" hidden="1" x14ac:dyDescent="0.55000000000000004">
      <c r="B894" s="2" t="s">
        <v>2323</v>
      </c>
      <c r="C894" s="2" t="s">
        <v>2324</v>
      </c>
      <c r="D894" s="2" t="s">
        <v>106</v>
      </c>
      <c r="E894" s="2" t="s">
        <v>45</v>
      </c>
      <c r="F894" s="6" t="s">
        <v>180</v>
      </c>
      <c r="G894" s="10">
        <f t="shared" si="39"/>
        <v>2024</v>
      </c>
      <c r="H894" s="10">
        <f t="shared" si="40"/>
        <v>1</v>
      </c>
      <c r="I894" s="10">
        <f t="shared" si="41"/>
        <v>28</v>
      </c>
      <c r="J894" s="9" t="s">
        <v>2325</v>
      </c>
      <c r="K894" s="2" t="s">
        <v>91</v>
      </c>
      <c r="L894" s="2">
        <v>63.9</v>
      </c>
      <c r="M894" s="2" t="s">
        <v>65</v>
      </c>
      <c r="N894" s="2" t="s">
        <v>41</v>
      </c>
      <c r="O894" s="2">
        <v>48</v>
      </c>
      <c r="P894" s="2">
        <v>3</v>
      </c>
    </row>
    <row r="895" spans="2:16" ht="21" hidden="1" x14ac:dyDescent="0.55000000000000004">
      <c r="B895" s="2" t="s">
        <v>2326</v>
      </c>
      <c r="C895" s="2" t="s">
        <v>2327</v>
      </c>
      <c r="D895" s="2" t="s">
        <v>23</v>
      </c>
      <c r="E895" s="2" t="s">
        <v>37</v>
      </c>
      <c r="F895" s="6" t="s">
        <v>161</v>
      </c>
      <c r="G895" s="10">
        <f t="shared" si="39"/>
        <v>2024</v>
      </c>
      <c r="H895" s="10">
        <f t="shared" si="40"/>
        <v>1</v>
      </c>
      <c r="I895" s="10">
        <f t="shared" si="41"/>
        <v>5</v>
      </c>
      <c r="J895" s="9" t="s">
        <v>362</v>
      </c>
      <c r="K895" s="2" t="s">
        <v>48</v>
      </c>
      <c r="L895" s="2">
        <v>463.6</v>
      </c>
      <c r="M895" s="2" t="s">
        <v>65</v>
      </c>
      <c r="N895" s="2" t="s">
        <v>20</v>
      </c>
      <c r="O895" s="2">
        <v>35</v>
      </c>
      <c r="P895" s="2">
        <v>1</v>
      </c>
    </row>
    <row r="896" spans="2:16" ht="21" x14ac:dyDescent="0.55000000000000004">
      <c r="B896" s="2" t="s">
        <v>2328</v>
      </c>
      <c r="C896" s="2" t="s">
        <v>2329</v>
      </c>
      <c r="D896" s="2" t="s">
        <v>73</v>
      </c>
      <c r="E896" s="2" t="s">
        <v>54</v>
      </c>
      <c r="F896" s="6" t="s">
        <v>473</v>
      </c>
      <c r="G896" s="10">
        <f t="shared" si="39"/>
        <v>2024</v>
      </c>
      <c r="H896" s="10">
        <f t="shared" si="40"/>
        <v>1</v>
      </c>
      <c r="I896" s="10">
        <f t="shared" si="41"/>
        <v>30</v>
      </c>
      <c r="J896" s="9" t="s">
        <v>344</v>
      </c>
      <c r="K896" s="2" t="s">
        <v>18</v>
      </c>
      <c r="L896" s="2">
        <v>237.07</v>
      </c>
      <c r="M896" s="2" t="s">
        <v>19</v>
      </c>
      <c r="N896" s="2" t="s">
        <v>50</v>
      </c>
      <c r="O896" s="2">
        <v>73</v>
      </c>
      <c r="P896" s="2">
        <v>2</v>
      </c>
    </row>
    <row r="897" spans="2:16" ht="21" hidden="1" x14ac:dyDescent="0.55000000000000004">
      <c r="B897" s="2" t="s">
        <v>2330</v>
      </c>
      <c r="C897" s="2" t="s">
        <v>2331</v>
      </c>
      <c r="D897" s="2" t="s">
        <v>44</v>
      </c>
      <c r="E897" s="2" t="s">
        <v>80</v>
      </c>
      <c r="F897" s="6" t="s">
        <v>81</v>
      </c>
      <c r="G897" s="10">
        <f t="shared" si="39"/>
        <v>2024</v>
      </c>
      <c r="H897" s="10">
        <f t="shared" si="40"/>
        <v>1</v>
      </c>
      <c r="I897" s="10">
        <f t="shared" si="41"/>
        <v>18</v>
      </c>
      <c r="J897" s="9" t="s">
        <v>756</v>
      </c>
      <c r="K897" s="2" t="s">
        <v>77</v>
      </c>
      <c r="L897" s="2">
        <v>481.31</v>
      </c>
      <c r="M897" s="2" t="s">
        <v>49</v>
      </c>
      <c r="N897" s="2" t="s">
        <v>26</v>
      </c>
      <c r="O897" s="2">
        <v>65</v>
      </c>
      <c r="P897" s="2"/>
    </row>
    <row r="898" spans="2:16" ht="21" hidden="1" x14ac:dyDescent="0.55000000000000004">
      <c r="B898" s="2" t="s">
        <v>2332</v>
      </c>
      <c r="C898" s="2" t="s">
        <v>2333</v>
      </c>
      <c r="D898" s="2" t="s">
        <v>73</v>
      </c>
      <c r="E898" s="2" t="s">
        <v>37</v>
      </c>
      <c r="F898" s="6" t="s">
        <v>62</v>
      </c>
      <c r="G898" s="10">
        <f t="shared" si="39"/>
        <v>2024</v>
      </c>
      <c r="H898" s="10">
        <f t="shared" si="40"/>
        <v>1</v>
      </c>
      <c r="I898" s="10">
        <f t="shared" si="41"/>
        <v>31</v>
      </c>
      <c r="J898" s="9" t="s">
        <v>25</v>
      </c>
      <c r="K898" s="2" t="s">
        <v>18</v>
      </c>
      <c r="L898" s="2">
        <v>252.91</v>
      </c>
      <c r="M898" s="2" t="s">
        <v>65</v>
      </c>
      <c r="N898" s="2" t="s">
        <v>50</v>
      </c>
      <c r="O898" s="2">
        <v>16</v>
      </c>
      <c r="P898" s="2">
        <v>2</v>
      </c>
    </row>
    <row r="899" spans="2:16" ht="21" x14ac:dyDescent="0.55000000000000004">
      <c r="B899" s="2" t="s">
        <v>2334</v>
      </c>
      <c r="C899" s="2" t="s">
        <v>2335</v>
      </c>
      <c r="D899" s="2" t="s">
        <v>60</v>
      </c>
      <c r="E899" s="2" t="s">
        <v>54</v>
      </c>
      <c r="F899" s="6" t="s">
        <v>161</v>
      </c>
      <c r="G899" s="10">
        <f t="shared" si="39"/>
        <v>2024</v>
      </c>
      <c r="H899" s="10">
        <f t="shared" si="40"/>
        <v>1</v>
      </c>
      <c r="I899" s="10">
        <f t="shared" si="41"/>
        <v>5</v>
      </c>
      <c r="J899" s="9" t="s">
        <v>90</v>
      </c>
      <c r="K899" s="2" t="s">
        <v>40</v>
      </c>
      <c r="L899" s="2">
        <v>161.9</v>
      </c>
      <c r="M899" s="2" t="s">
        <v>19</v>
      </c>
      <c r="N899" s="2" t="s">
        <v>26</v>
      </c>
      <c r="O899" s="2">
        <v>18</v>
      </c>
      <c r="P899" s="2">
        <v>2</v>
      </c>
    </row>
    <row r="900" spans="2:16" ht="21" hidden="1" x14ac:dyDescent="0.55000000000000004">
      <c r="B900" s="2" t="s">
        <v>2336</v>
      </c>
      <c r="C900" s="2" t="s">
        <v>2337</v>
      </c>
      <c r="D900" s="2" t="s">
        <v>14</v>
      </c>
      <c r="E900" s="2" t="s">
        <v>80</v>
      </c>
      <c r="F900" s="6" t="s">
        <v>343</v>
      </c>
      <c r="G900" s="10">
        <f t="shared" ref="G900:G963" si="42">YEAR(F900)</f>
        <v>2024</v>
      </c>
      <c r="H900" s="10">
        <f t="shared" ref="H900:H963" si="43">MONTH(F900)</f>
        <v>1</v>
      </c>
      <c r="I900" s="10">
        <f t="shared" ref="I900:I963" si="44">DAY(F900)</f>
        <v>13</v>
      </c>
      <c r="J900" s="9" t="s">
        <v>1850</v>
      </c>
      <c r="K900" s="2" t="s">
        <v>57</v>
      </c>
      <c r="L900" s="2">
        <v>433.6</v>
      </c>
      <c r="M900" s="2" t="s">
        <v>122</v>
      </c>
      <c r="N900" s="2" t="s">
        <v>20</v>
      </c>
      <c r="O900" s="2">
        <v>31</v>
      </c>
      <c r="P900" s="2">
        <v>2</v>
      </c>
    </row>
    <row r="901" spans="2:16" ht="21" hidden="1" x14ac:dyDescent="0.55000000000000004">
      <c r="B901" s="2" t="s">
        <v>2338</v>
      </c>
      <c r="C901" s="2" t="s">
        <v>2339</v>
      </c>
      <c r="D901" s="2" t="s">
        <v>53</v>
      </c>
      <c r="E901" s="2" t="s">
        <v>80</v>
      </c>
      <c r="F901" s="6" t="s">
        <v>38</v>
      </c>
      <c r="G901" s="10">
        <f t="shared" si="42"/>
        <v>2024</v>
      </c>
      <c r="H901" s="10">
        <f t="shared" si="43"/>
        <v>1</v>
      </c>
      <c r="I901" s="10">
        <f t="shared" si="44"/>
        <v>11</v>
      </c>
      <c r="J901" s="9" t="s">
        <v>1200</v>
      </c>
      <c r="K901" s="2" t="s">
        <v>33</v>
      </c>
      <c r="L901" s="2">
        <v>84.22</v>
      </c>
      <c r="M901" s="2" t="s">
        <v>19</v>
      </c>
      <c r="N901" s="2" t="s">
        <v>41</v>
      </c>
      <c r="O901" s="2">
        <v>67</v>
      </c>
      <c r="P901" s="2">
        <v>5</v>
      </c>
    </row>
    <row r="902" spans="2:16" ht="21" hidden="1" x14ac:dyDescent="0.55000000000000004">
      <c r="B902" s="2" t="s">
        <v>2340</v>
      </c>
      <c r="C902" s="2" t="s">
        <v>2341</v>
      </c>
      <c r="D902" s="2" t="s">
        <v>29</v>
      </c>
      <c r="E902" s="2" t="s">
        <v>74</v>
      </c>
      <c r="F902" s="6" t="s">
        <v>81</v>
      </c>
      <c r="G902" s="10">
        <f t="shared" si="42"/>
        <v>2024</v>
      </c>
      <c r="H902" s="10">
        <f t="shared" si="43"/>
        <v>1</v>
      </c>
      <c r="I902" s="10">
        <f t="shared" si="44"/>
        <v>18</v>
      </c>
      <c r="J902" s="9" t="s">
        <v>2342</v>
      </c>
      <c r="K902" s="2" t="s">
        <v>77</v>
      </c>
      <c r="L902" s="2">
        <v>93.51</v>
      </c>
      <c r="M902" s="2" t="s">
        <v>65</v>
      </c>
      <c r="N902" s="2" t="s">
        <v>20</v>
      </c>
      <c r="O902" s="2">
        <v>85</v>
      </c>
      <c r="P902" s="2">
        <v>1</v>
      </c>
    </row>
    <row r="903" spans="2:16" ht="21" hidden="1" x14ac:dyDescent="0.55000000000000004">
      <c r="B903" s="2" t="s">
        <v>2343</v>
      </c>
      <c r="C903" s="2" t="s">
        <v>2344</v>
      </c>
      <c r="D903" s="2" t="s">
        <v>53</v>
      </c>
      <c r="E903" s="2" t="s">
        <v>80</v>
      </c>
      <c r="F903" s="6" t="s">
        <v>154</v>
      </c>
      <c r="G903" s="10">
        <f t="shared" si="42"/>
        <v>2024</v>
      </c>
      <c r="H903" s="10">
        <f t="shared" si="43"/>
        <v>1</v>
      </c>
      <c r="I903" s="10">
        <f t="shared" si="44"/>
        <v>22</v>
      </c>
      <c r="J903" s="9" t="s">
        <v>399</v>
      </c>
      <c r="K903" s="2" t="s">
        <v>40</v>
      </c>
      <c r="L903" s="2">
        <v>123.27</v>
      </c>
      <c r="M903" s="2" t="s">
        <v>65</v>
      </c>
      <c r="N903" s="2" t="s">
        <v>26</v>
      </c>
      <c r="O903" s="2">
        <v>32</v>
      </c>
      <c r="P903" s="2">
        <v>5</v>
      </c>
    </row>
    <row r="904" spans="2:16" ht="21" hidden="1" x14ac:dyDescent="0.55000000000000004">
      <c r="B904" s="2" t="s">
        <v>2345</v>
      </c>
      <c r="C904" s="2" t="s">
        <v>2346</v>
      </c>
      <c r="D904" s="2" t="s">
        <v>23</v>
      </c>
      <c r="E904" s="2" t="s">
        <v>61</v>
      </c>
      <c r="F904" s="6" t="s">
        <v>473</v>
      </c>
      <c r="G904" s="10">
        <f t="shared" si="42"/>
        <v>2024</v>
      </c>
      <c r="H904" s="10">
        <f t="shared" si="43"/>
        <v>1</v>
      </c>
      <c r="I904" s="10">
        <f t="shared" si="44"/>
        <v>30</v>
      </c>
      <c r="J904" s="9" t="s">
        <v>1567</v>
      </c>
      <c r="K904" s="2" t="s">
        <v>91</v>
      </c>
      <c r="L904" s="2">
        <v>448.51</v>
      </c>
      <c r="M904" s="2" t="s">
        <v>122</v>
      </c>
      <c r="N904" s="2" t="s">
        <v>41</v>
      </c>
      <c r="O904" s="2">
        <v>45</v>
      </c>
      <c r="P904" s="2"/>
    </row>
    <row r="905" spans="2:16" ht="21" x14ac:dyDescent="0.55000000000000004">
      <c r="B905" s="2" t="s">
        <v>2347</v>
      </c>
      <c r="C905" s="2" t="s">
        <v>944</v>
      </c>
      <c r="D905" s="2" t="s">
        <v>14</v>
      </c>
      <c r="E905" s="2" t="s">
        <v>54</v>
      </c>
      <c r="F905" s="6" t="s">
        <v>144</v>
      </c>
      <c r="G905" s="10">
        <f t="shared" si="42"/>
        <v>2024</v>
      </c>
      <c r="H905" s="10">
        <f t="shared" si="43"/>
        <v>1</v>
      </c>
      <c r="I905" s="10">
        <f t="shared" si="44"/>
        <v>7</v>
      </c>
      <c r="J905" s="9" t="s">
        <v>2080</v>
      </c>
      <c r="K905" s="2" t="s">
        <v>57</v>
      </c>
      <c r="L905" s="2">
        <v>87.16</v>
      </c>
      <c r="M905" s="2" t="s">
        <v>19</v>
      </c>
      <c r="N905" s="2" t="s">
        <v>50</v>
      </c>
      <c r="O905" s="2">
        <v>66</v>
      </c>
      <c r="P905" s="2">
        <v>4</v>
      </c>
    </row>
    <row r="906" spans="2:16" ht="21" x14ac:dyDescent="0.55000000000000004">
      <c r="B906" s="2" t="s">
        <v>2348</v>
      </c>
      <c r="C906" s="2" t="s">
        <v>2349</v>
      </c>
      <c r="D906" s="2" t="s">
        <v>29</v>
      </c>
      <c r="E906" s="2" t="s">
        <v>54</v>
      </c>
      <c r="F906" s="6" t="s">
        <v>343</v>
      </c>
      <c r="G906" s="10">
        <f t="shared" si="42"/>
        <v>2024</v>
      </c>
      <c r="H906" s="10">
        <f t="shared" si="43"/>
        <v>1</v>
      </c>
      <c r="I906" s="10">
        <f t="shared" si="44"/>
        <v>13</v>
      </c>
      <c r="J906" s="9" t="s">
        <v>770</v>
      </c>
      <c r="K906" s="2" t="s">
        <v>77</v>
      </c>
      <c r="L906" s="2">
        <v>359.81</v>
      </c>
      <c r="M906" s="2" t="s">
        <v>122</v>
      </c>
      <c r="N906" s="2" t="s">
        <v>20</v>
      </c>
      <c r="O906" s="2">
        <v>34</v>
      </c>
      <c r="P906" s="2">
        <v>5</v>
      </c>
    </row>
    <row r="907" spans="2:16" ht="21" hidden="1" x14ac:dyDescent="0.55000000000000004">
      <c r="B907" s="2" t="s">
        <v>2350</v>
      </c>
      <c r="C907" s="2" t="s">
        <v>2351</v>
      </c>
      <c r="D907" s="2" t="s">
        <v>73</v>
      </c>
      <c r="E907" s="2" t="s">
        <v>74</v>
      </c>
      <c r="F907" s="6" t="s">
        <v>140</v>
      </c>
      <c r="G907" s="10">
        <f t="shared" si="42"/>
        <v>2024</v>
      </c>
      <c r="H907" s="10">
        <f t="shared" si="43"/>
        <v>1</v>
      </c>
      <c r="I907" s="10">
        <f t="shared" si="44"/>
        <v>29</v>
      </c>
      <c r="J907" s="9" t="s">
        <v>2352</v>
      </c>
      <c r="K907" s="2" t="s">
        <v>91</v>
      </c>
      <c r="L907" s="2">
        <v>101.01</v>
      </c>
      <c r="M907" s="2" t="s">
        <v>122</v>
      </c>
      <c r="N907" s="2" t="s">
        <v>20</v>
      </c>
      <c r="O907" s="2">
        <v>20</v>
      </c>
      <c r="P907" s="2">
        <v>1</v>
      </c>
    </row>
    <row r="908" spans="2:16" ht="21" hidden="1" x14ac:dyDescent="0.55000000000000004">
      <c r="B908" s="2" t="s">
        <v>2353</v>
      </c>
      <c r="C908" s="2" t="s">
        <v>2354</v>
      </c>
      <c r="D908" s="2" t="s">
        <v>60</v>
      </c>
      <c r="E908" s="2" t="s">
        <v>74</v>
      </c>
      <c r="F908" s="6" t="s">
        <v>81</v>
      </c>
      <c r="G908" s="10">
        <f t="shared" si="42"/>
        <v>2024</v>
      </c>
      <c r="H908" s="10">
        <f t="shared" si="43"/>
        <v>1</v>
      </c>
      <c r="I908" s="10">
        <f t="shared" si="44"/>
        <v>18</v>
      </c>
      <c r="J908" s="9" t="s">
        <v>659</v>
      </c>
      <c r="K908" s="2" t="s">
        <v>77</v>
      </c>
      <c r="L908" s="2">
        <v>268.89</v>
      </c>
      <c r="M908" s="2" t="s">
        <v>19</v>
      </c>
      <c r="N908" s="2" t="s">
        <v>41</v>
      </c>
      <c r="O908" s="2">
        <v>30</v>
      </c>
      <c r="P908" s="2">
        <v>4</v>
      </c>
    </row>
    <row r="909" spans="2:16" ht="21" hidden="1" x14ac:dyDescent="0.55000000000000004">
      <c r="B909" s="2" t="s">
        <v>2355</v>
      </c>
      <c r="C909" s="2" t="s">
        <v>2356</v>
      </c>
      <c r="D909" s="2" t="s">
        <v>106</v>
      </c>
      <c r="E909" s="2" t="s">
        <v>74</v>
      </c>
      <c r="F909" s="6" t="s">
        <v>118</v>
      </c>
      <c r="G909" s="10">
        <f t="shared" si="42"/>
        <v>2024</v>
      </c>
      <c r="H909" s="10">
        <f t="shared" si="43"/>
        <v>1</v>
      </c>
      <c r="I909" s="10">
        <f t="shared" si="44"/>
        <v>24</v>
      </c>
      <c r="J909" s="9" t="s">
        <v>695</v>
      </c>
      <c r="K909" s="2" t="s">
        <v>91</v>
      </c>
      <c r="L909" s="2">
        <v>119.84</v>
      </c>
      <c r="M909" s="2" t="s">
        <v>122</v>
      </c>
      <c r="N909" s="2" t="s">
        <v>50</v>
      </c>
      <c r="O909" s="2">
        <v>18</v>
      </c>
      <c r="P909" s="2">
        <v>2</v>
      </c>
    </row>
    <row r="910" spans="2:16" ht="21" hidden="1" x14ac:dyDescent="0.55000000000000004">
      <c r="B910" s="2" t="s">
        <v>2357</v>
      </c>
      <c r="C910" s="2" t="s">
        <v>2358</v>
      </c>
      <c r="D910" s="2" t="s">
        <v>117</v>
      </c>
      <c r="E910" s="2" t="s">
        <v>15</v>
      </c>
      <c r="F910" s="6" t="s">
        <v>132</v>
      </c>
      <c r="G910" s="10">
        <f t="shared" si="42"/>
        <v>2024</v>
      </c>
      <c r="H910" s="10">
        <f t="shared" si="43"/>
        <v>1</v>
      </c>
      <c r="I910" s="10">
        <f t="shared" si="44"/>
        <v>6</v>
      </c>
      <c r="J910" s="9" t="s">
        <v>2359</v>
      </c>
      <c r="K910" s="2" t="s">
        <v>18</v>
      </c>
      <c r="L910" s="2">
        <v>60.39</v>
      </c>
      <c r="M910" s="2" t="s">
        <v>65</v>
      </c>
      <c r="N910" s="2" t="s">
        <v>41</v>
      </c>
      <c r="O910" s="2">
        <v>42</v>
      </c>
      <c r="P910" s="2">
        <v>1</v>
      </c>
    </row>
    <row r="911" spans="2:16" ht="21" x14ac:dyDescent="0.55000000000000004">
      <c r="B911" s="2" t="s">
        <v>2360</v>
      </c>
      <c r="C911" s="2" t="s">
        <v>2361</v>
      </c>
      <c r="D911" s="2" t="s">
        <v>60</v>
      </c>
      <c r="E911" s="2" t="s">
        <v>54</v>
      </c>
      <c r="F911" s="6" t="s">
        <v>161</v>
      </c>
      <c r="G911" s="10">
        <f t="shared" si="42"/>
        <v>2024</v>
      </c>
      <c r="H911" s="10">
        <f t="shared" si="43"/>
        <v>1</v>
      </c>
      <c r="I911" s="10">
        <f t="shared" si="44"/>
        <v>5</v>
      </c>
      <c r="J911" s="9" t="s">
        <v>1238</v>
      </c>
      <c r="K911" s="2" t="s">
        <v>77</v>
      </c>
      <c r="L911" s="2">
        <v>171.21</v>
      </c>
      <c r="M911" s="2" t="s">
        <v>19</v>
      </c>
      <c r="N911" s="2" t="s">
        <v>20</v>
      </c>
      <c r="O911" s="2">
        <v>18</v>
      </c>
      <c r="P911" s="2">
        <v>1</v>
      </c>
    </row>
    <row r="912" spans="2:16" ht="21" hidden="1" x14ac:dyDescent="0.55000000000000004">
      <c r="B912" s="2" t="s">
        <v>2362</v>
      </c>
      <c r="C912" s="2" t="s">
        <v>2363</v>
      </c>
      <c r="D912" s="2" t="s">
        <v>106</v>
      </c>
      <c r="E912" s="2" t="s">
        <v>61</v>
      </c>
      <c r="F912" s="6" t="s">
        <v>198</v>
      </c>
      <c r="G912" s="10">
        <f t="shared" si="42"/>
        <v>2024</v>
      </c>
      <c r="H912" s="10">
        <f t="shared" si="43"/>
        <v>1</v>
      </c>
      <c r="I912" s="10">
        <f t="shared" si="44"/>
        <v>4</v>
      </c>
      <c r="J912" s="9" t="s">
        <v>1499</v>
      </c>
      <c r="K912" s="2" t="s">
        <v>48</v>
      </c>
      <c r="L912" s="2">
        <v>429.64</v>
      </c>
      <c r="M912" s="2" t="s">
        <v>19</v>
      </c>
      <c r="N912" s="2" t="s">
        <v>20</v>
      </c>
      <c r="O912" s="2">
        <v>73</v>
      </c>
      <c r="P912" s="2">
        <v>1</v>
      </c>
    </row>
    <row r="913" spans="2:16" ht="21" hidden="1" x14ac:dyDescent="0.55000000000000004">
      <c r="B913" s="2" t="s">
        <v>2364</v>
      </c>
      <c r="C913" s="2" t="s">
        <v>2365</v>
      </c>
      <c r="D913" s="2" t="s">
        <v>68</v>
      </c>
      <c r="E913" s="2" t="s">
        <v>74</v>
      </c>
      <c r="F913" s="6" t="s">
        <v>75</v>
      </c>
      <c r="G913" s="10">
        <f t="shared" si="42"/>
        <v>2024</v>
      </c>
      <c r="H913" s="10">
        <f t="shared" si="43"/>
        <v>1</v>
      </c>
      <c r="I913" s="10">
        <f t="shared" si="44"/>
        <v>25</v>
      </c>
      <c r="J913" s="9" t="s">
        <v>1502</v>
      </c>
      <c r="K913" s="2" t="s">
        <v>57</v>
      </c>
      <c r="L913" s="2">
        <v>479.78</v>
      </c>
      <c r="M913" s="2" t="s">
        <v>49</v>
      </c>
      <c r="N913" s="2" t="s">
        <v>26</v>
      </c>
      <c r="O913" s="2">
        <v>76</v>
      </c>
      <c r="P913" s="2"/>
    </row>
    <row r="914" spans="2:16" ht="21" hidden="1" x14ac:dyDescent="0.55000000000000004">
      <c r="B914" s="2" t="s">
        <v>2366</v>
      </c>
      <c r="C914" s="2" t="s">
        <v>423</v>
      </c>
      <c r="D914" s="2" t="s">
        <v>60</v>
      </c>
      <c r="E914" s="2" t="s">
        <v>74</v>
      </c>
      <c r="F914" s="6" t="s">
        <v>31</v>
      </c>
      <c r="G914" s="10">
        <f t="shared" si="42"/>
        <v>2024</v>
      </c>
      <c r="H914" s="10">
        <f t="shared" si="43"/>
        <v>1</v>
      </c>
      <c r="I914" s="10">
        <f t="shared" si="44"/>
        <v>14</v>
      </c>
      <c r="J914" s="9" t="s">
        <v>223</v>
      </c>
      <c r="K914" s="2" t="s">
        <v>18</v>
      </c>
      <c r="L914" s="2">
        <v>385.54</v>
      </c>
      <c r="M914" s="2" t="s">
        <v>49</v>
      </c>
      <c r="N914" s="2" t="s">
        <v>26</v>
      </c>
      <c r="O914" s="2">
        <v>42</v>
      </c>
      <c r="P914" s="2">
        <v>5</v>
      </c>
    </row>
    <row r="915" spans="2:16" ht="21" hidden="1" x14ac:dyDescent="0.55000000000000004">
      <c r="B915" s="2" t="s">
        <v>2367</v>
      </c>
      <c r="C915" s="2" t="s">
        <v>128</v>
      </c>
      <c r="D915" s="2" t="s">
        <v>117</v>
      </c>
      <c r="E915" s="2" t="s">
        <v>61</v>
      </c>
      <c r="F915" s="6" t="s">
        <v>16</v>
      </c>
      <c r="G915" s="10">
        <f t="shared" si="42"/>
        <v>2024</v>
      </c>
      <c r="H915" s="10">
        <f t="shared" si="43"/>
        <v>1</v>
      </c>
      <c r="I915" s="10">
        <f t="shared" si="44"/>
        <v>9</v>
      </c>
      <c r="J915" s="9" t="s">
        <v>2147</v>
      </c>
      <c r="K915" s="2" t="s">
        <v>18</v>
      </c>
      <c r="L915" s="2">
        <v>389.58</v>
      </c>
      <c r="M915" s="2" t="s">
        <v>122</v>
      </c>
      <c r="N915" s="2" t="s">
        <v>26</v>
      </c>
      <c r="O915" s="2">
        <v>68</v>
      </c>
      <c r="P915" s="2">
        <v>5</v>
      </c>
    </row>
    <row r="916" spans="2:16" ht="21" hidden="1" x14ac:dyDescent="0.55000000000000004">
      <c r="B916" s="2" t="s">
        <v>2368</v>
      </c>
      <c r="C916" s="2" t="s">
        <v>2369</v>
      </c>
      <c r="D916" s="2" t="s">
        <v>73</v>
      </c>
      <c r="E916" s="2" t="s">
        <v>15</v>
      </c>
      <c r="F916" s="6" t="s">
        <v>198</v>
      </c>
      <c r="G916" s="10">
        <f t="shared" si="42"/>
        <v>2024</v>
      </c>
      <c r="H916" s="10">
        <f t="shared" si="43"/>
        <v>1</v>
      </c>
      <c r="I916" s="10">
        <f t="shared" si="44"/>
        <v>4</v>
      </c>
      <c r="J916" s="9" t="s">
        <v>1514</v>
      </c>
      <c r="K916" s="2" t="s">
        <v>64</v>
      </c>
      <c r="L916" s="2">
        <v>387.14</v>
      </c>
      <c r="M916" s="2" t="s">
        <v>19</v>
      </c>
      <c r="N916" s="2" t="s">
        <v>41</v>
      </c>
      <c r="O916" s="2">
        <v>18</v>
      </c>
      <c r="P916" s="2">
        <v>4</v>
      </c>
    </row>
    <row r="917" spans="2:16" ht="21" hidden="1" x14ac:dyDescent="0.55000000000000004">
      <c r="B917" s="2" t="s">
        <v>2370</v>
      </c>
      <c r="C917" s="2" t="s">
        <v>2371</v>
      </c>
      <c r="D917" s="2" t="s">
        <v>106</v>
      </c>
      <c r="E917" s="2" t="s">
        <v>125</v>
      </c>
      <c r="F917" s="6" t="s">
        <v>272</v>
      </c>
      <c r="G917" s="10">
        <f t="shared" si="42"/>
        <v>2024</v>
      </c>
      <c r="H917" s="10">
        <f t="shared" si="43"/>
        <v>1</v>
      </c>
      <c r="I917" s="10">
        <f t="shared" si="44"/>
        <v>1</v>
      </c>
      <c r="J917" s="9" t="s">
        <v>1355</v>
      </c>
      <c r="K917" s="2" t="s">
        <v>40</v>
      </c>
      <c r="L917" s="2">
        <v>308.49</v>
      </c>
      <c r="M917" s="2" t="s">
        <v>19</v>
      </c>
      <c r="N917" s="2" t="s">
        <v>26</v>
      </c>
      <c r="O917" s="2">
        <v>20</v>
      </c>
      <c r="P917" s="2">
        <v>1</v>
      </c>
    </row>
    <row r="918" spans="2:16" ht="21" hidden="1" x14ac:dyDescent="0.55000000000000004">
      <c r="B918" s="2" t="s">
        <v>2372</v>
      </c>
      <c r="C918" s="2" t="s">
        <v>2373</v>
      </c>
      <c r="D918" s="2" t="s">
        <v>29</v>
      </c>
      <c r="E918" s="2" t="s">
        <v>61</v>
      </c>
      <c r="F918" s="6" t="s">
        <v>161</v>
      </c>
      <c r="G918" s="10">
        <f t="shared" si="42"/>
        <v>2024</v>
      </c>
      <c r="H918" s="10">
        <f t="shared" si="43"/>
        <v>1</v>
      </c>
      <c r="I918" s="10">
        <f t="shared" si="44"/>
        <v>5</v>
      </c>
      <c r="J918" s="9" t="s">
        <v>513</v>
      </c>
      <c r="K918" s="2" t="s">
        <v>33</v>
      </c>
      <c r="L918" s="2">
        <v>120.2</v>
      </c>
      <c r="M918" s="2" t="s">
        <v>65</v>
      </c>
      <c r="N918" s="2" t="s">
        <v>41</v>
      </c>
      <c r="O918" s="2">
        <v>24</v>
      </c>
      <c r="P918" s="2"/>
    </row>
    <row r="919" spans="2:16" ht="21" hidden="1" x14ac:dyDescent="0.55000000000000004">
      <c r="B919" s="2" t="s">
        <v>2374</v>
      </c>
      <c r="C919" s="2" t="s">
        <v>2375</v>
      </c>
      <c r="D919" s="2" t="s">
        <v>60</v>
      </c>
      <c r="E919" s="2" t="s">
        <v>74</v>
      </c>
      <c r="F919" s="6" t="s">
        <v>161</v>
      </c>
      <c r="G919" s="10">
        <f t="shared" si="42"/>
        <v>2024</v>
      </c>
      <c r="H919" s="10">
        <f t="shared" si="43"/>
        <v>1</v>
      </c>
      <c r="I919" s="10">
        <f t="shared" si="44"/>
        <v>5</v>
      </c>
      <c r="J919" s="9" t="s">
        <v>2376</v>
      </c>
      <c r="K919" s="2" t="s">
        <v>48</v>
      </c>
      <c r="L919" s="2">
        <v>428.7</v>
      </c>
      <c r="M919" s="2" t="s">
        <v>19</v>
      </c>
      <c r="N919" s="2" t="s">
        <v>41</v>
      </c>
      <c r="O919" s="2">
        <v>56</v>
      </c>
      <c r="P919" s="2">
        <v>3</v>
      </c>
    </row>
    <row r="920" spans="2:16" ht="21" hidden="1" x14ac:dyDescent="0.55000000000000004">
      <c r="B920" s="2" t="s">
        <v>2377</v>
      </c>
      <c r="C920" s="2" t="s">
        <v>2378</v>
      </c>
      <c r="D920" s="2" t="s">
        <v>44</v>
      </c>
      <c r="E920" s="2" t="s">
        <v>89</v>
      </c>
      <c r="F920" s="6" t="s">
        <v>144</v>
      </c>
      <c r="G920" s="10">
        <f t="shared" si="42"/>
        <v>2024</v>
      </c>
      <c r="H920" s="10">
        <f t="shared" si="43"/>
        <v>1</v>
      </c>
      <c r="I920" s="10">
        <f t="shared" si="44"/>
        <v>7</v>
      </c>
      <c r="J920" s="9" t="s">
        <v>114</v>
      </c>
      <c r="K920" s="2" t="s">
        <v>18</v>
      </c>
      <c r="L920" s="2">
        <v>451.05</v>
      </c>
      <c r="M920" s="2" t="s">
        <v>122</v>
      </c>
      <c r="N920" s="2" t="s">
        <v>26</v>
      </c>
      <c r="O920" s="2">
        <v>69</v>
      </c>
      <c r="P920" s="2">
        <v>4</v>
      </c>
    </row>
    <row r="921" spans="2:16" ht="21" hidden="1" x14ac:dyDescent="0.55000000000000004">
      <c r="B921" s="2" t="s">
        <v>2379</v>
      </c>
      <c r="C921" s="2" t="s">
        <v>2380</v>
      </c>
      <c r="D921" s="2" t="s">
        <v>60</v>
      </c>
      <c r="E921" s="2" t="s">
        <v>45</v>
      </c>
      <c r="F921" s="6" t="s">
        <v>113</v>
      </c>
      <c r="G921" s="10">
        <f t="shared" si="42"/>
        <v>2024</v>
      </c>
      <c r="H921" s="10">
        <f t="shared" si="43"/>
        <v>1</v>
      </c>
      <c r="I921" s="10">
        <f t="shared" si="44"/>
        <v>15</v>
      </c>
      <c r="J921" s="9" t="s">
        <v>2381</v>
      </c>
      <c r="K921" s="2" t="s">
        <v>57</v>
      </c>
      <c r="L921" s="2">
        <v>380.35</v>
      </c>
      <c r="M921" s="2" t="s">
        <v>19</v>
      </c>
      <c r="N921" s="2" t="s">
        <v>26</v>
      </c>
      <c r="O921" s="2">
        <v>17</v>
      </c>
      <c r="P921" s="2">
        <v>3</v>
      </c>
    </row>
    <row r="922" spans="2:16" ht="21" x14ac:dyDescent="0.55000000000000004">
      <c r="B922" s="2" t="s">
        <v>2382</v>
      </c>
      <c r="C922" s="2" t="s">
        <v>2383</v>
      </c>
      <c r="D922" s="2" t="s">
        <v>53</v>
      </c>
      <c r="E922" s="2" t="s">
        <v>54</v>
      </c>
      <c r="F922" s="6" t="s">
        <v>349</v>
      </c>
      <c r="G922" s="10">
        <f t="shared" si="42"/>
        <v>2024</v>
      </c>
      <c r="H922" s="10">
        <f t="shared" si="43"/>
        <v>1</v>
      </c>
      <c r="I922" s="10">
        <f t="shared" si="44"/>
        <v>12</v>
      </c>
      <c r="J922" s="9" t="s">
        <v>195</v>
      </c>
      <c r="K922" s="2" t="s">
        <v>64</v>
      </c>
      <c r="L922" s="2">
        <v>117.93</v>
      </c>
      <c r="M922" s="2" t="s">
        <v>19</v>
      </c>
      <c r="N922" s="2" t="s">
        <v>26</v>
      </c>
      <c r="O922" s="2">
        <v>57</v>
      </c>
      <c r="P922" s="2">
        <v>4</v>
      </c>
    </row>
    <row r="923" spans="2:16" ht="21" hidden="1" x14ac:dyDescent="0.55000000000000004">
      <c r="B923" s="2" t="s">
        <v>2384</v>
      </c>
      <c r="C923" s="2" t="s">
        <v>2385</v>
      </c>
      <c r="D923" s="2" t="s">
        <v>53</v>
      </c>
      <c r="E923" s="2" t="s">
        <v>74</v>
      </c>
      <c r="F923" s="6" t="s">
        <v>75</v>
      </c>
      <c r="G923" s="10">
        <f t="shared" si="42"/>
        <v>2024</v>
      </c>
      <c r="H923" s="10">
        <f t="shared" si="43"/>
        <v>1</v>
      </c>
      <c r="I923" s="10">
        <f t="shared" si="44"/>
        <v>25</v>
      </c>
      <c r="J923" s="9" t="s">
        <v>795</v>
      </c>
      <c r="K923" s="2" t="s">
        <v>40</v>
      </c>
      <c r="L923" s="2">
        <v>198.17</v>
      </c>
      <c r="M923" s="2" t="s">
        <v>49</v>
      </c>
      <c r="N923" s="2" t="s">
        <v>26</v>
      </c>
      <c r="O923" s="2">
        <v>53</v>
      </c>
      <c r="P923" s="2">
        <v>2</v>
      </c>
    </row>
    <row r="924" spans="2:16" ht="21" hidden="1" x14ac:dyDescent="0.55000000000000004">
      <c r="B924" s="2" t="s">
        <v>2386</v>
      </c>
      <c r="C924" s="2" t="s">
        <v>2387</v>
      </c>
      <c r="D924" s="2" t="s">
        <v>73</v>
      </c>
      <c r="E924" s="2" t="s">
        <v>139</v>
      </c>
      <c r="F924" s="6" t="s">
        <v>69</v>
      </c>
      <c r="G924" s="10">
        <f t="shared" si="42"/>
        <v>2024</v>
      </c>
      <c r="H924" s="10">
        <f t="shared" si="43"/>
        <v>1</v>
      </c>
      <c r="I924" s="10">
        <f t="shared" si="44"/>
        <v>27</v>
      </c>
      <c r="J924" s="9" t="s">
        <v>608</v>
      </c>
      <c r="K924" s="2" t="s">
        <v>77</v>
      </c>
      <c r="L924" s="2">
        <v>378.95</v>
      </c>
      <c r="M924" s="2" t="s">
        <v>122</v>
      </c>
      <c r="N924" s="2" t="s">
        <v>20</v>
      </c>
      <c r="O924" s="2">
        <v>49</v>
      </c>
      <c r="P924" s="2">
        <v>4</v>
      </c>
    </row>
    <row r="925" spans="2:16" ht="21" hidden="1" x14ac:dyDescent="0.55000000000000004">
      <c r="B925" s="2" t="s">
        <v>2388</v>
      </c>
      <c r="C925" s="2" t="s">
        <v>2389</v>
      </c>
      <c r="D925" s="2" t="s">
        <v>29</v>
      </c>
      <c r="E925" s="2" t="s">
        <v>80</v>
      </c>
      <c r="F925" s="6" t="s">
        <v>85</v>
      </c>
      <c r="G925" s="10">
        <f t="shared" si="42"/>
        <v>2024</v>
      </c>
      <c r="H925" s="10">
        <f t="shared" si="43"/>
        <v>1</v>
      </c>
      <c r="I925" s="10">
        <f t="shared" si="44"/>
        <v>16</v>
      </c>
      <c r="J925" s="9" t="s">
        <v>2390</v>
      </c>
      <c r="K925" s="2" t="s">
        <v>91</v>
      </c>
      <c r="L925" s="2">
        <v>331.62</v>
      </c>
      <c r="M925" s="2" t="s">
        <v>19</v>
      </c>
      <c r="N925" s="2" t="s">
        <v>20</v>
      </c>
      <c r="O925" s="2">
        <v>63</v>
      </c>
      <c r="P925" s="2">
        <v>3</v>
      </c>
    </row>
    <row r="926" spans="2:16" ht="21" hidden="1" x14ac:dyDescent="0.55000000000000004">
      <c r="B926" s="2" t="s">
        <v>2391</v>
      </c>
      <c r="C926" s="2" t="s">
        <v>2392</v>
      </c>
      <c r="D926" s="2" t="s">
        <v>60</v>
      </c>
      <c r="E926" s="2" t="s">
        <v>80</v>
      </c>
      <c r="F926" s="6" t="s">
        <v>272</v>
      </c>
      <c r="G926" s="10">
        <f t="shared" si="42"/>
        <v>2024</v>
      </c>
      <c r="H926" s="10">
        <f t="shared" si="43"/>
        <v>1</v>
      </c>
      <c r="I926" s="10">
        <f t="shared" si="44"/>
        <v>1</v>
      </c>
      <c r="J926" s="9" t="s">
        <v>2393</v>
      </c>
      <c r="K926" s="2" t="s">
        <v>64</v>
      </c>
      <c r="L926" s="2">
        <v>237.63</v>
      </c>
      <c r="M926" s="2" t="s">
        <v>122</v>
      </c>
      <c r="N926" s="2" t="s">
        <v>50</v>
      </c>
      <c r="O926" s="2">
        <v>58</v>
      </c>
      <c r="P926" s="2">
        <v>4</v>
      </c>
    </row>
    <row r="927" spans="2:16" ht="21" hidden="1" x14ac:dyDescent="0.55000000000000004">
      <c r="B927" s="2" t="s">
        <v>2394</v>
      </c>
      <c r="C927" s="2" t="s">
        <v>2395</v>
      </c>
      <c r="D927" s="2" t="s">
        <v>44</v>
      </c>
      <c r="E927" s="2" t="s">
        <v>74</v>
      </c>
      <c r="F927" s="6" t="s">
        <v>343</v>
      </c>
      <c r="G927" s="10">
        <f t="shared" si="42"/>
        <v>2024</v>
      </c>
      <c r="H927" s="10">
        <f t="shared" si="43"/>
        <v>1</v>
      </c>
      <c r="I927" s="10">
        <f t="shared" si="44"/>
        <v>13</v>
      </c>
      <c r="J927" s="9" t="s">
        <v>1243</v>
      </c>
      <c r="K927" s="2" t="s">
        <v>91</v>
      </c>
      <c r="L927" s="2">
        <v>403.41</v>
      </c>
      <c r="M927" s="2" t="s">
        <v>49</v>
      </c>
      <c r="N927" s="2" t="s">
        <v>41</v>
      </c>
      <c r="O927" s="2">
        <v>24</v>
      </c>
      <c r="P927" s="2">
        <v>4</v>
      </c>
    </row>
    <row r="928" spans="2:16" ht="21" hidden="1" x14ac:dyDescent="0.55000000000000004">
      <c r="B928" s="2" t="s">
        <v>2396</v>
      </c>
      <c r="C928" s="2" t="s">
        <v>2397</v>
      </c>
      <c r="D928" s="2" t="s">
        <v>23</v>
      </c>
      <c r="E928" s="2" t="s">
        <v>139</v>
      </c>
      <c r="F928" s="6" t="s">
        <v>118</v>
      </c>
      <c r="G928" s="10">
        <f t="shared" si="42"/>
        <v>2024</v>
      </c>
      <c r="H928" s="10">
        <f t="shared" si="43"/>
        <v>1</v>
      </c>
      <c r="I928" s="10">
        <f t="shared" si="44"/>
        <v>24</v>
      </c>
      <c r="J928" s="9" t="s">
        <v>2152</v>
      </c>
      <c r="K928" s="2" t="s">
        <v>57</v>
      </c>
      <c r="L928" s="2">
        <v>163.82</v>
      </c>
      <c r="M928" s="2" t="s">
        <v>49</v>
      </c>
      <c r="N928" s="2" t="s">
        <v>26</v>
      </c>
      <c r="O928" s="2">
        <v>25</v>
      </c>
      <c r="P928" s="2">
        <v>5</v>
      </c>
    </row>
    <row r="929" spans="2:16" ht="21" hidden="1" x14ac:dyDescent="0.55000000000000004">
      <c r="B929" s="2" t="s">
        <v>2398</v>
      </c>
      <c r="C929" s="2" t="s">
        <v>2399</v>
      </c>
      <c r="D929" s="2" t="s">
        <v>68</v>
      </c>
      <c r="E929" s="2" t="s">
        <v>37</v>
      </c>
      <c r="F929" s="6" t="s">
        <v>257</v>
      </c>
      <c r="G929" s="10">
        <f t="shared" si="42"/>
        <v>2024</v>
      </c>
      <c r="H929" s="10">
        <f t="shared" si="43"/>
        <v>1</v>
      </c>
      <c r="I929" s="10">
        <f t="shared" si="44"/>
        <v>10</v>
      </c>
      <c r="J929" s="9" t="s">
        <v>967</v>
      </c>
      <c r="K929" s="2" t="s">
        <v>77</v>
      </c>
      <c r="L929" s="2">
        <v>64.73</v>
      </c>
      <c r="M929" s="2" t="s">
        <v>65</v>
      </c>
      <c r="N929" s="2" t="s">
        <v>20</v>
      </c>
      <c r="O929" s="2">
        <v>48</v>
      </c>
      <c r="P929" s="2">
        <v>3</v>
      </c>
    </row>
    <row r="930" spans="2:16" ht="21" hidden="1" x14ac:dyDescent="0.55000000000000004">
      <c r="B930" s="2" t="s">
        <v>2400</v>
      </c>
      <c r="C930" s="2" t="s">
        <v>2401</v>
      </c>
      <c r="D930" s="2" t="s">
        <v>29</v>
      </c>
      <c r="E930" s="2" t="s">
        <v>125</v>
      </c>
      <c r="F930" s="6" t="s">
        <v>85</v>
      </c>
      <c r="G930" s="10">
        <f t="shared" si="42"/>
        <v>2024</v>
      </c>
      <c r="H930" s="10">
        <f t="shared" si="43"/>
        <v>1</v>
      </c>
      <c r="I930" s="10">
        <f t="shared" si="44"/>
        <v>16</v>
      </c>
      <c r="J930" s="9" t="s">
        <v>63</v>
      </c>
      <c r="K930" s="2" t="s">
        <v>40</v>
      </c>
      <c r="L930" s="2">
        <v>112.49</v>
      </c>
      <c r="M930" s="2" t="s">
        <v>65</v>
      </c>
      <c r="N930" s="2" t="s">
        <v>20</v>
      </c>
      <c r="O930" s="2">
        <v>46</v>
      </c>
      <c r="P930" s="2">
        <v>4</v>
      </c>
    </row>
    <row r="931" spans="2:16" ht="21" hidden="1" x14ac:dyDescent="0.55000000000000004">
      <c r="B931" s="2" t="s">
        <v>2402</v>
      </c>
      <c r="C931" s="2" t="s">
        <v>1621</v>
      </c>
      <c r="D931" s="2" t="s">
        <v>44</v>
      </c>
      <c r="E931" s="2" t="s">
        <v>45</v>
      </c>
      <c r="F931" s="6" t="s">
        <v>272</v>
      </c>
      <c r="G931" s="10">
        <f t="shared" si="42"/>
        <v>2024</v>
      </c>
      <c r="H931" s="10">
        <f t="shared" si="43"/>
        <v>1</v>
      </c>
      <c r="I931" s="10">
        <f t="shared" si="44"/>
        <v>1</v>
      </c>
      <c r="J931" s="9" t="s">
        <v>2403</v>
      </c>
      <c r="K931" s="2" t="s">
        <v>77</v>
      </c>
      <c r="L931" s="2">
        <v>136.34</v>
      </c>
      <c r="M931" s="2" t="s">
        <v>65</v>
      </c>
      <c r="N931" s="2" t="s">
        <v>26</v>
      </c>
      <c r="O931" s="2">
        <v>61</v>
      </c>
      <c r="P931" s="2">
        <v>5</v>
      </c>
    </row>
    <row r="932" spans="2:16" ht="21" x14ac:dyDescent="0.55000000000000004">
      <c r="B932" s="2" t="s">
        <v>2404</v>
      </c>
      <c r="C932" s="2" t="s">
        <v>2405</v>
      </c>
      <c r="D932" s="2" t="s">
        <v>23</v>
      </c>
      <c r="E932" s="2" t="s">
        <v>54</v>
      </c>
      <c r="F932" s="6" t="s">
        <v>349</v>
      </c>
      <c r="G932" s="10">
        <f t="shared" si="42"/>
        <v>2024</v>
      </c>
      <c r="H932" s="10">
        <f t="shared" si="43"/>
        <v>1</v>
      </c>
      <c r="I932" s="10">
        <f t="shared" si="44"/>
        <v>12</v>
      </c>
      <c r="J932" s="9" t="s">
        <v>659</v>
      </c>
      <c r="K932" s="2" t="s">
        <v>64</v>
      </c>
      <c r="L932" s="2">
        <v>91.74</v>
      </c>
      <c r="M932" s="2" t="s">
        <v>19</v>
      </c>
      <c r="N932" s="2" t="s">
        <v>50</v>
      </c>
      <c r="O932" s="2">
        <v>30</v>
      </c>
      <c r="P932" s="2">
        <v>2</v>
      </c>
    </row>
    <row r="933" spans="2:16" ht="21" hidden="1" x14ac:dyDescent="0.55000000000000004">
      <c r="B933" s="2" t="s">
        <v>2406</v>
      </c>
      <c r="C933" s="2" t="s">
        <v>2407</v>
      </c>
      <c r="D933" s="2" t="s">
        <v>14</v>
      </c>
      <c r="E933" s="2" t="s">
        <v>125</v>
      </c>
      <c r="F933" s="6" t="s">
        <v>140</v>
      </c>
      <c r="G933" s="10">
        <f t="shared" si="42"/>
        <v>2024</v>
      </c>
      <c r="H933" s="10">
        <f t="shared" si="43"/>
        <v>1</v>
      </c>
      <c r="I933" s="10">
        <f t="shared" si="44"/>
        <v>29</v>
      </c>
      <c r="J933" s="9" t="s">
        <v>2104</v>
      </c>
      <c r="K933" s="2" t="s">
        <v>77</v>
      </c>
      <c r="L933" s="2">
        <v>228.17</v>
      </c>
      <c r="M933" s="2" t="s">
        <v>19</v>
      </c>
      <c r="N933" s="2" t="s">
        <v>26</v>
      </c>
      <c r="O933" s="2">
        <v>49</v>
      </c>
      <c r="P933" s="2">
        <v>4</v>
      </c>
    </row>
    <row r="934" spans="2:16" ht="21" hidden="1" x14ac:dyDescent="0.55000000000000004">
      <c r="B934" s="2" t="s">
        <v>2408</v>
      </c>
      <c r="C934" s="2" t="s">
        <v>2409</v>
      </c>
      <c r="D934" s="2" t="s">
        <v>106</v>
      </c>
      <c r="E934" s="2" t="s">
        <v>89</v>
      </c>
      <c r="F934" s="6" t="s">
        <v>317</v>
      </c>
      <c r="G934" s="10">
        <f t="shared" si="42"/>
        <v>2024</v>
      </c>
      <c r="H934" s="10">
        <f t="shared" si="43"/>
        <v>1</v>
      </c>
      <c r="I934" s="10">
        <f t="shared" si="44"/>
        <v>3</v>
      </c>
      <c r="J934" s="9" t="s">
        <v>2410</v>
      </c>
      <c r="K934" s="2" t="s">
        <v>77</v>
      </c>
      <c r="L934" s="2">
        <v>488.91</v>
      </c>
      <c r="M934" s="2" t="s">
        <v>122</v>
      </c>
      <c r="N934" s="2" t="s">
        <v>20</v>
      </c>
      <c r="O934" s="2">
        <v>64</v>
      </c>
      <c r="P934" s="2">
        <v>3</v>
      </c>
    </row>
    <row r="935" spans="2:16" ht="21" hidden="1" x14ac:dyDescent="0.55000000000000004">
      <c r="B935" s="2" t="s">
        <v>2411</v>
      </c>
      <c r="C935" s="2" t="s">
        <v>2412</v>
      </c>
      <c r="D935" s="2" t="s">
        <v>29</v>
      </c>
      <c r="E935" s="2" t="s">
        <v>89</v>
      </c>
      <c r="F935" s="6" t="s">
        <v>31</v>
      </c>
      <c r="G935" s="10">
        <f t="shared" si="42"/>
        <v>2024</v>
      </c>
      <c r="H935" s="10">
        <f t="shared" si="43"/>
        <v>1</v>
      </c>
      <c r="I935" s="10">
        <f t="shared" si="44"/>
        <v>14</v>
      </c>
      <c r="J935" s="9" t="s">
        <v>279</v>
      </c>
      <c r="K935" s="2" t="s">
        <v>77</v>
      </c>
      <c r="L935" s="2">
        <v>485.31</v>
      </c>
      <c r="M935" s="2" t="s">
        <v>19</v>
      </c>
      <c r="N935" s="2" t="s">
        <v>26</v>
      </c>
      <c r="O935" s="2">
        <v>21</v>
      </c>
      <c r="P935" s="2">
        <v>2</v>
      </c>
    </row>
    <row r="936" spans="2:16" ht="21" hidden="1" x14ac:dyDescent="0.55000000000000004">
      <c r="B936" s="2" t="s">
        <v>2413</v>
      </c>
      <c r="C936" s="2" t="s">
        <v>2414</v>
      </c>
      <c r="D936" s="2" t="s">
        <v>53</v>
      </c>
      <c r="E936" s="2" t="s">
        <v>74</v>
      </c>
      <c r="F936" s="6" t="s">
        <v>118</v>
      </c>
      <c r="G936" s="10">
        <f t="shared" si="42"/>
        <v>2024</v>
      </c>
      <c r="H936" s="10">
        <f t="shared" si="43"/>
        <v>1</v>
      </c>
      <c r="I936" s="10">
        <f t="shared" si="44"/>
        <v>24</v>
      </c>
      <c r="J936" s="9" t="s">
        <v>2415</v>
      </c>
      <c r="K936" s="2" t="s">
        <v>40</v>
      </c>
      <c r="L936" s="2">
        <v>103.67</v>
      </c>
      <c r="M936" s="2" t="s">
        <v>65</v>
      </c>
      <c r="N936" s="2" t="s">
        <v>50</v>
      </c>
      <c r="O936" s="2">
        <v>36</v>
      </c>
      <c r="P936" s="2">
        <v>2</v>
      </c>
    </row>
    <row r="937" spans="2:16" ht="21" hidden="1" x14ac:dyDescent="0.55000000000000004">
      <c r="B937" s="2" t="s">
        <v>2416</v>
      </c>
      <c r="C937" s="2" t="s">
        <v>2417</v>
      </c>
      <c r="D937" s="2" t="s">
        <v>44</v>
      </c>
      <c r="E937" s="2" t="s">
        <v>61</v>
      </c>
      <c r="F937" s="6" t="s">
        <v>69</v>
      </c>
      <c r="G937" s="10">
        <f t="shared" si="42"/>
        <v>2024</v>
      </c>
      <c r="H937" s="10">
        <f t="shared" si="43"/>
        <v>1</v>
      </c>
      <c r="I937" s="10">
        <f t="shared" si="44"/>
        <v>27</v>
      </c>
      <c r="J937" s="9" t="s">
        <v>739</v>
      </c>
      <c r="K937" s="2" t="s">
        <v>40</v>
      </c>
      <c r="L937" s="2">
        <v>465.77</v>
      </c>
      <c r="M937" s="2" t="s">
        <v>19</v>
      </c>
      <c r="N937" s="2" t="s">
        <v>50</v>
      </c>
      <c r="O937" s="2">
        <v>64</v>
      </c>
      <c r="P937" s="2">
        <v>2</v>
      </c>
    </row>
    <row r="938" spans="2:16" ht="21" x14ac:dyDescent="0.55000000000000004">
      <c r="B938" s="2" t="s">
        <v>2418</v>
      </c>
      <c r="C938" s="2" t="s">
        <v>2419</v>
      </c>
      <c r="D938" s="2" t="s">
        <v>23</v>
      </c>
      <c r="E938" s="2" t="s">
        <v>54</v>
      </c>
      <c r="F938" s="6" t="s">
        <v>272</v>
      </c>
      <c r="G938" s="10">
        <f t="shared" si="42"/>
        <v>2024</v>
      </c>
      <c r="H938" s="10">
        <f t="shared" si="43"/>
        <v>1</v>
      </c>
      <c r="I938" s="10">
        <f t="shared" si="44"/>
        <v>1</v>
      </c>
      <c r="J938" s="9" t="s">
        <v>1110</v>
      </c>
      <c r="K938" s="2" t="s">
        <v>40</v>
      </c>
      <c r="L938" s="2">
        <v>367.86</v>
      </c>
      <c r="M938" s="2" t="s">
        <v>49</v>
      </c>
      <c r="N938" s="2" t="s">
        <v>41</v>
      </c>
      <c r="O938" s="2">
        <v>38</v>
      </c>
      <c r="P938" s="2">
        <v>5</v>
      </c>
    </row>
    <row r="939" spans="2:16" ht="21" hidden="1" x14ac:dyDescent="0.55000000000000004">
      <c r="B939" s="2" t="s">
        <v>2420</v>
      </c>
      <c r="C939" s="2" t="s">
        <v>960</v>
      </c>
      <c r="D939" s="2" t="s">
        <v>73</v>
      </c>
      <c r="E939" s="2" t="s">
        <v>125</v>
      </c>
      <c r="F939" s="6" t="s">
        <v>343</v>
      </c>
      <c r="G939" s="10">
        <f t="shared" si="42"/>
        <v>2024</v>
      </c>
      <c r="H939" s="10">
        <f t="shared" si="43"/>
        <v>1</v>
      </c>
      <c r="I939" s="10">
        <f t="shared" si="44"/>
        <v>13</v>
      </c>
      <c r="J939" s="9" t="s">
        <v>1113</v>
      </c>
      <c r="K939" s="2" t="s">
        <v>91</v>
      </c>
      <c r="L939" s="2">
        <v>161.41999999999999</v>
      </c>
      <c r="M939" s="2" t="s">
        <v>19</v>
      </c>
      <c r="N939" s="2" t="s">
        <v>50</v>
      </c>
      <c r="O939" s="2">
        <v>44</v>
      </c>
      <c r="P939" s="2">
        <v>4</v>
      </c>
    </row>
    <row r="940" spans="2:16" ht="21" hidden="1" x14ac:dyDescent="0.55000000000000004">
      <c r="B940" s="2" t="s">
        <v>2421</v>
      </c>
      <c r="C940" s="2" t="s">
        <v>2422</v>
      </c>
      <c r="D940" s="2" t="s">
        <v>68</v>
      </c>
      <c r="E940" s="2" t="s">
        <v>15</v>
      </c>
      <c r="F940" s="6" t="s">
        <v>38</v>
      </c>
      <c r="G940" s="10">
        <f t="shared" si="42"/>
        <v>2024</v>
      </c>
      <c r="H940" s="10">
        <f t="shared" si="43"/>
        <v>1</v>
      </c>
      <c r="I940" s="10">
        <f t="shared" si="44"/>
        <v>11</v>
      </c>
      <c r="J940" s="9" t="s">
        <v>1812</v>
      </c>
      <c r="K940" s="2" t="s">
        <v>57</v>
      </c>
      <c r="L940" s="2">
        <v>270.45999999999998</v>
      </c>
      <c r="M940" s="2" t="s">
        <v>19</v>
      </c>
      <c r="N940" s="2" t="s">
        <v>41</v>
      </c>
      <c r="O940" s="2">
        <v>36</v>
      </c>
      <c r="P940" s="2">
        <v>3</v>
      </c>
    </row>
    <row r="941" spans="2:16" ht="21" hidden="1" x14ac:dyDescent="0.55000000000000004">
      <c r="B941" s="2" t="s">
        <v>2423</v>
      </c>
      <c r="C941" s="2" t="s">
        <v>2424</v>
      </c>
      <c r="D941" s="2" t="s">
        <v>14</v>
      </c>
      <c r="E941" s="2" t="s">
        <v>125</v>
      </c>
      <c r="F941" s="6" t="s">
        <v>349</v>
      </c>
      <c r="G941" s="10">
        <f t="shared" si="42"/>
        <v>2024</v>
      </c>
      <c r="H941" s="10">
        <f t="shared" si="43"/>
        <v>1</v>
      </c>
      <c r="I941" s="10">
        <f t="shared" si="44"/>
        <v>12</v>
      </c>
      <c r="J941" s="9" t="s">
        <v>158</v>
      </c>
      <c r="K941" s="2" t="s">
        <v>18</v>
      </c>
      <c r="L941" s="2">
        <v>82.14</v>
      </c>
      <c r="M941" s="2" t="s">
        <v>49</v>
      </c>
      <c r="N941" s="2" t="s">
        <v>50</v>
      </c>
      <c r="O941" s="2">
        <v>71</v>
      </c>
      <c r="P941" s="2">
        <v>3</v>
      </c>
    </row>
    <row r="942" spans="2:16" ht="21" hidden="1" x14ac:dyDescent="0.55000000000000004">
      <c r="B942" s="2" t="s">
        <v>2425</v>
      </c>
      <c r="C942" s="2" t="s">
        <v>2426</v>
      </c>
      <c r="D942" s="2" t="s">
        <v>14</v>
      </c>
      <c r="E942" s="2" t="s">
        <v>125</v>
      </c>
      <c r="F942" s="6" t="s">
        <v>349</v>
      </c>
      <c r="G942" s="10">
        <f t="shared" si="42"/>
        <v>2024</v>
      </c>
      <c r="H942" s="10">
        <f t="shared" si="43"/>
        <v>1</v>
      </c>
      <c r="I942" s="10">
        <f t="shared" si="44"/>
        <v>12</v>
      </c>
      <c r="J942" s="9" t="s">
        <v>2269</v>
      </c>
      <c r="K942" s="2" t="s">
        <v>77</v>
      </c>
      <c r="L942" s="2">
        <v>461.97</v>
      </c>
      <c r="M942" s="2" t="s">
        <v>19</v>
      </c>
      <c r="N942" s="2" t="s">
        <v>20</v>
      </c>
      <c r="O942" s="2">
        <v>34</v>
      </c>
      <c r="P942" s="2">
        <v>1</v>
      </c>
    </row>
    <row r="943" spans="2:16" ht="21" x14ac:dyDescent="0.55000000000000004">
      <c r="B943" s="2" t="s">
        <v>2427</v>
      </c>
      <c r="C943" s="2" t="s">
        <v>2428</v>
      </c>
      <c r="D943" s="2" t="s">
        <v>73</v>
      </c>
      <c r="E943" s="2" t="s">
        <v>54</v>
      </c>
      <c r="F943" s="6" t="s">
        <v>102</v>
      </c>
      <c r="G943" s="10">
        <f t="shared" si="42"/>
        <v>2024</v>
      </c>
      <c r="H943" s="10">
        <f t="shared" si="43"/>
        <v>1</v>
      </c>
      <c r="I943" s="10">
        <f t="shared" si="44"/>
        <v>26</v>
      </c>
      <c r="J943" s="9" t="s">
        <v>1864</v>
      </c>
      <c r="K943" s="2" t="s">
        <v>40</v>
      </c>
      <c r="L943" s="2">
        <v>389.53</v>
      </c>
      <c r="M943" s="2" t="s">
        <v>122</v>
      </c>
      <c r="N943" s="2" t="s">
        <v>20</v>
      </c>
      <c r="O943" s="2">
        <v>76</v>
      </c>
      <c r="P943" s="2">
        <v>4</v>
      </c>
    </row>
    <row r="944" spans="2:16" ht="21" hidden="1" x14ac:dyDescent="0.55000000000000004">
      <c r="B944" s="2" t="s">
        <v>2429</v>
      </c>
      <c r="C944" s="2" t="s">
        <v>2430</v>
      </c>
      <c r="D944" s="2" t="s">
        <v>29</v>
      </c>
      <c r="E944" s="2" t="s">
        <v>80</v>
      </c>
      <c r="F944" s="6" t="s">
        <v>302</v>
      </c>
      <c r="G944" s="10">
        <f t="shared" si="42"/>
        <v>2024</v>
      </c>
      <c r="H944" s="10">
        <f t="shared" si="43"/>
        <v>1</v>
      </c>
      <c r="I944" s="10">
        <f t="shared" si="44"/>
        <v>2</v>
      </c>
      <c r="J944" s="9" t="s">
        <v>76</v>
      </c>
      <c r="K944" s="2" t="s">
        <v>33</v>
      </c>
      <c r="L944" s="2">
        <v>447.33</v>
      </c>
      <c r="M944" s="2" t="s">
        <v>19</v>
      </c>
      <c r="N944" s="2" t="s">
        <v>26</v>
      </c>
      <c r="O944" s="2">
        <v>77</v>
      </c>
      <c r="P944" s="2">
        <v>4</v>
      </c>
    </row>
    <row r="945" spans="2:16" ht="21" hidden="1" x14ac:dyDescent="0.55000000000000004">
      <c r="B945" s="2" t="s">
        <v>2431</v>
      </c>
      <c r="C945" s="2" t="s">
        <v>2432</v>
      </c>
      <c r="D945" s="2" t="s">
        <v>106</v>
      </c>
      <c r="E945" s="2" t="s">
        <v>15</v>
      </c>
      <c r="F945" s="6" t="s">
        <v>46</v>
      </c>
      <c r="G945" s="10">
        <f t="shared" si="42"/>
        <v>2024</v>
      </c>
      <c r="H945" s="10">
        <f t="shared" si="43"/>
        <v>1</v>
      </c>
      <c r="I945" s="10">
        <f t="shared" si="44"/>
        <v>17</v>
      </c>
      <c r="J945" s="9" t="s">
        <v>849</v>
      </c>
      <c r="K945" s="2" t="s">
        <v>91</v>
      </c>
      <c r="L945" s="2">
        <v>375.31</v>
      </c>
      <c r="M945" s="2" t="s">
        <v>49</v>
      </c>
      <c r="N945" s="2" t="s">
        <v>41</v>
      </c>
      <c r="O945" s="2">
        <v>80</v>
      </c>
      <c r="P945" s="2">
        <v>3</v>
      </c>
    </row>
    <row r="946" spans="2:16" ht="21" x14ac:dyDescent="0.55000000000000004">
      <c r="B946" s="2" t="s">
        <v>2433</v>
      </c>
      <c r="C946" s="2" t="s">
        <v>2434</v>
      </c>
      <c r="D946" s="2" t="s">
        <v>68</v>
      </c>
      <c r="E946" s="2" t="s">
        <v>54</v>
      </c>
      <c r="F946" s="6" t="s">
        <v>272</v>
      </c>
      <c r="G946" s="10">
        <f t="shared" si="42"/>
        <v>2024</v>
      </c>
      <c r="H946" s="10">
        <f t="shared" si="43"/>
        <v>1</v>
      </c>
      <c r="I946" s="10">
        <f t="shared" si="44"/>
        <v>1</v>
      </c>
      <c r="J946" s="9" t="s">
        <v>1221</v>
      </c>
      <c r="K946" s="2" t="s">
        <v>91</v>
      </c>
      <c r="L946" s="2">
        <v>449.92</v>
      </c>
      <c r="M946" s="2" t="s">
        <v>19</v>
      </c>
      <c r="N946" s="2" t="s">
        <v>26</v>
      </c>
      <c r="O946" s="2">
        <v>17</v>
      </c>
      <c r="P946" s="2"/>
    </row>
    <row r="947" spans="2:16" ht="21" hidden="1" x14ac:dyDescent="0.55000000000000004">
      <c r="B947" s="2" t="s">
        <v>2435</v>
      </c>
      <c r="C947" s="2" t="s">
        <v>2436</v>
      </c>
      <c r="D947" s="2" t="s">
        <v>117</v>
      </c>
      <c r="E947" s="2" t="s">
        <v>45</v>
      </c>
      <c r="F947" s="6" t="s">
        <v>238</v>
      </c>
      <c r="G947" s="10">
        <f t="shared" si="42"/>
        <v>2024</v>
      </c>
      <c r="H947" s="10">
        <f t="shared" si="43"/>
        <v>1</v>
      </c>
      <c r="I947" s="10">
        <f t="shared" si="44"/>
        <v>20</v>
      </c>
      <c r="J947" s="9" t="s">
        <v>668</v>
      </c>
      <c r="K947" s="2" t="s">
        <v>57</v>
      </c>
      <c r="L947" s="2">
        <v>106.8</v>
      </c>
      <c r="M947" s="2" t="s">
        <v>122</v>
      </c>
      <c r="N947" s="2" t="s">
        <v>41</v>
      </c>
      <c r="O947" s="2">
        <v>32</v>
      </c>
      <c r="P947" s="2">
        <v>4</v>
      </c>
    </row>
    <row r="948" spans="2:16" ht="21" hidden="1" x14ac:dyDescent="0.55000000000000004">
      <c r="B948" s="2" t="s">
        <v>2437</v>
      </c>
      <c r="C948" s="2" t="s">
        <v>2438</v>
      </c>
      <c r="D948" s="2" t="s">
        <v>29</v>
      </c>
      <c r="E948" s="2" t="s">
        <v>125</v>
      </c>
      <c r="F948" s="6" t="s">
        <v>317</v>
      </c>
      <c r="G948" s="10">
        <f t="shared" si="42"/>
        <v>2024</v>
      </c>
      <c r="H948" s="10">
        <f t="shared" si="43"/>
        <v>1</v>
      </c>
      <c r="I948" s="10">
        <f t="shared" si="44"/>
        <v>3</v>
      </c>
      <c r="J948" s="9" t="s">
        <v>1355</v>
      </c>
      <c r="K948" s="2" t="s">
        <v>48</v>
      </c>
      <c r="L948" s="2">
        <v>77.56</v>
      </c>
      <c r="M948" s="2" t="s">
        <v>49</v>
      </c>
      <c r="N948" s="2" t="s">
        <v>50</v>
      </c>
      <c r="O948" s="2">
        <v>44</v>
      </c>
      <c r="P948" s="2">
        <v>2</v>
      </c>
    </row>
    <row r="949" spans="2:16" ht="21" x14ac:dyDescent="0.55000000000000004">
      <c r="B949" s="2" t="s">
        <v>2439</v>
      </c>
      <c r="C949" s="2" t="s">
        <v>2440</v>
      </c>
      <c r="D949" s="2" t="s">
        <v>23</v>
      </c>
      <c r="E949" s="2" t="s">
        <v>54</v>
      </c>
      <c r="F949" s="6" t="s">
        <v>85</v>
      </c>
      <c r="G949" s="10">
        <f t="shared" si="42"/>
        <v>2024</v>
      </c>
      <c r="H949" s="10">
        <f t="shared" si="43"/>
        <v>1</v>
      </c>
      <c r="I949" s="10">
        <f t="shared" si="44"/>
        <v>16</v>
      </c>
      <c r="J949" s="9" t="s">
        <v>396</v>
      </c>
      <c r="K949" s="2" t="s">
        <v>91</v>
      </c>
      <c r="L949" s="2">
        <v>94.01</v>
      </c>
      <c r="M949" s="2" t="s">
        <v>65</v>
      </c>
      <c r="N949" s="2" t="s">
        <v>20</v>
      </c>
      <c r="O949" s="2">
        <v>63</v>
      </c>
      <c r="P949" s="2">
        <v>5</v>
      </c>
    </row>
    <row r="950" spans="2:16" ht="21" hidden="1" x14ac:dyDescent="0.55000000000000004">
      <c r="B950" s="2" t="s">
        <v>2441</v>
      </c>
      <c r="C950" s="2" t="s">
        <v>2442</v>
      </c>
      <c r="D950" s="2" t="s">
        <v>44</v>
      </c>
      <c r="E950" s="2" t="s">
        <v>45</v>
      </c>
      <c r="F950" s="6" t="s">
        <v>62</v>
      </c>
      <c r="G950" s="10">
        <f t="shared" si="42"/>
        <v>2024</v>
      </c>
      <c r="H950" s="10">
        <f t="shared" si="43"/>
        <v>1</v>
      </c>
      <c r="I950" s="10">
        <f t="shared" si="44"/>
        <v>31</v>
      </c>
      <c r="J950" s="9" t="s">
        <v>1599</v>
      </c>
      <c r="K950" s="2" t="s">
        <v>57</v>
      </c>
      <c r="L950" s="2">
        <v>180.48</v>
      </c>
      <c r="M950" s="2" t="s">
        <v>19</v>
      </c>
      <c r="N950" s="2" t="s">
        <v>26</v>
      </c>
      <c r="O950" s="2">
        <v>40</v>
      </c>
      <c r="P950" s="2">
        <v>3</v>
      </c>
    </row>
    <row r="951" spans="2:16" ht="21" hidden="1" x14ac:dyDescent="0.55000000000000004">
      <c r="B951" s="2" t="s">
        <v>2443</v>
      </c>
      <c r="C951" s="2" t="s">
        <v>281</v>
      </c>
      <c r="D951" s="2" t="s">
        <v>60</v>
      </c>
      <c r="E951" s="2" t="s">
        <v>125</v>
      </c>
      <c r="F951" s="6" t="s">
        <v>46</v>
      </c>
      <c r="G951" s="10">
        <f t="shared" si="42"/>
        <v>2024</v>
      </c>
      <c r="H951" s="10">
        <f t="shared" si="43"/>
        <v>1</v>
      </c>
      <c r="I951" s="10">
        <f t="shared" si="44"/>
        <v>17</v>
      </c>
      <c r="J951" s="9" t="s">
        <v>211</v>
      </c>
      <c r="K951" s="2" t="s">
        <v>91</v>
      </c>
      <c r="L951" s="2">
        <v>67.06</v>
      </c>
      <c r="M951" s="2" t="s">
        <v>122</v>
      </c>
      <c r="N951" s="2" t="s">
        <v>50</v>
      </c>
      <c r="O951" s="2">
        <v>31</v>
      </c>
      <c r="P951" s="2">
        <v>3</v>
      </c>
    </row>
    <row r="952" spans="2:16" ht="21" hidden="1" x14ac:dyDescent="0.55000000000000004">
      <c r="B952" s="2" t="s">
        <v>2444</v>
      </c>
      <c r="C952" s="2" t="s">
        <v>2445</v>
      </c>
      <c r="D952" s="2" t="s">
        <v>53</v>
      </c>
      <c r="E952" s="2" t="s">
        <v>45</v>
      </c>
      <c r="F952" s="6" t="s">
        <v>31</v>
      </c>
      <c r="G952" s="10">
        <f t="shared" si="42"/>
        <v>2024</v>
      </c>
      <c r="H952" s="10">
        <f t="shared" si="43"/>
        <v>1</v>
      </c>
      <c r="I952" s="10">
        <f t="shared" si="44"/>
        <v>14</v>
      </c>
      <c r="J952" s="9" t="s">
        <v>254</v>
      </c>
      <c r="K952" s="2" t="s">
        <v>64</v>
      </c>
      <c r="L952" s="2">
        <v>78.16</v>
      </c>
      <c r="M952" s="2" t="s">
        <v>19</v>
      </c>
      <c r="N952" s="2" t="s">
        <v>41</v>
      </c>
      <c r="O952" s="2">
        <v>29</v>
      </c>
      <c r="P952" s="2">
        <v>1</v>
      </c>
    </row>
    <row r="953" spans="2:16" ht="21" hidden="1" x14ac:dyDescent="0.55000000000000004">
      <c r="B953" s="2" t="s">
        <v>2446</v>
      </c>
      <c r="C953" s="2" t="s">
        <v>2447</v>
      </c>
      <c r="D953" s="2" t="s">
        <v>68</v>
      </c>
      <c r="E953" s="2" t="s">
        <v>45</v>
      </c>
      <c r="F953" s="6" t="s">
        <v>473</v>
      </c>
      <c r="G953" s="10">
        <f t="shared" si="42"/>
        <v>2024</v>
      </c>
      <c r="H953" s="10">
        <f t="shared" si="43"/>
        <v>1</v>
      </c>
      <c r="I953" s="10">
        <f t="shared" si="44"/>
        <v>30</v>
      </c>
      <c r="J953" s="9" t="s">
        <v>306</v>
      </c>
      <c r="K953" s="2" t="s">
        <v>40</v>
      </c>
      <c r="L953" s="2">
        <v>424.5</v>
      </c>
      <c r="M953" s="2" t="s">
        <v>19</v>
      </c>
      <c r="N953" s="2" t="s">
        <v>41</v>
      </c>
      <c r="O953" s="2">
        <v>63</v>
      </c>
      <c r="P953" s="2"/>
    </row>
    <row r="954" spans="2:16" ht="21" hidden="1" x14ac:dyDescent="0.55000000000000004">
      <c r="B954" s="2" t="s">
        <v>2448</v>
      </c>
      <c r="C954" s="2" t="s">
        <v>2449</v>
      </c>
      <c r="D954" s="2" t="s">
        <v>53</v>
      </c>
      <c r="E954" s="2" t="s">
        <v>89</v>
      </c>
      <c r="F954" s="6" t="s">
        <v>102</v>
      </c>
      <c r="G954" s="10">
        <f t="shared" si="42"/>
        <v>2024</v>
      </c>
      <c r="H954" s="10">
        <f t="shared" si="43"/>
        <v>1</v>
      </c>
      <c r="I954" s="10">
        <f t="shared" si="44"/>
        <v>26</v>
      </c>
      <c r="J954" s="9" t="s">
        <v>1752</v>
      </c>
      <c r="K954" s="2" t="s">
        <v>77</v>
      </c>
      <c r="L954" s="2">
        <v>121.92</v>
      </c>
      <c r="M954" s="2" t="s">
        <v>19</v>
      </c>
      <c r="N954" s="2" t="s">
        <v>50</v>
      </c>
      <c r="O954" s="2">
        <v>42</v>
      </c>
      <c r="P954" s="2">
        <v>5</v>
      </c>
    </row>
    <row r="955" spans="2:16" ht="21" hidden="1" x14ac:dyDescent="0.55000000000000004">
      <c r="B955" s="2" t="s">
        <v>2450</v>
      </c>
      <c r="C955" s="2" t="s">
        <v>2451</v>
      </c>
      <c r="D955" s="2" t="s">
        <v>53</v>
      </c>
      <c r="E955" s="2" t="s">
        <v>61</v>
      </c>
      <c r="F955" s="6" t="s">
        <v>349</v>
      </c>
      <c r="G955" s="10">
        <f t="shared" si="42"/>
        <v>2024</v>
      </c>
      <c r="H955" s="10">
        <f t="shared" si="43"/>
        <v>1</v>
      </c>
      <c r="I955" s="10">
        <f t="shared" si="44"/>
        <v>12</v>
      </c>
      <c r="J955" s="9" t="s">
        <v>2452</v>
      </c>
      <c r="K955" s="2" t="s">
        <v>40</v>
      </c>
      <c r="L955" s="2">
        <v>200.29</v>
      </c>
      <c r="M955" s="2" t="s">
        <v>49</v>
      </c>
      <c r="N955" s="2" t="s">
        <v>50</v>
      </c>
      <c r="O955" s="2">
        <v>75</v>
      </c>
      <c r="P955" s="2">
        <v>4</v>
      </c>
    </row>
    <row r="956" spans="2:16" ht="21" hidden="1" x14ac:dyDescent="0.55000000000000004">
      <c r="B956" s="2" t="s">
        <v>2453</v>
      </c>
      <c r="C956" s="2" t="s">
        <v>2454</v>
      </c>
      <c r="D956" s="2" t="s">
        <v>106</v>
      </c>
      <c r="E956" s="2" t="s">
        <v>61</v>
      </c>
      <c r="F956" s="6" t="s">
        <v>198</v>
      </c>
      <c r="G956" s="10">
        <f t="shared" si="42"/>
        <v>2024</v>
      </c>
      <c r="H956" s="10">
        <f t="shared" si="43"/>
        <v>1</v>
      </c>
      <c r="I956" s="10">
        <f t="shared" si="44"/>
        <v>4</v>
      </c>
      <c r="J956" s="9" t="s">
        <v>534</v>
      </c>
      <c r="K956" s="2" t="s">
        <v>48</v>
      </c>
      <c r="L956" s="2">
        <v>257.92</v>
      </c>
      <c r="M956" s="2" t="s">
        <v>65</v>
      </c>
      <c r="N956" s="2" t="s">
        <v>26</v>
      </c>
      <c r="O956" s="2">
        <v>29</v>
      </c>
      <c r="P956" s="2">
        <v>3</v>
      </c>
    </row>
    <row r="957" spans="2:16" ht="21" hidden="1" x14ac:dyDescent="0.55000000000000004">
      <c r="B957" s="2" t="s">
        <v>2455</v>
      </c>
      <c r="C957" s="2" t="s">
        <v>2456</v>
      </c>
      <c r="D957" s="2" t="s">
        <v>73</v>
      </c>
      <c r="E957" s="2" t="s">
        <v>125</v>
      </c>
      <c r="F957" s="6" t="s">
        <v>238</v>
      </c>
      <c r="G957" s="10">
        <f t="shared" si="42"/>
        <v>2024</v>
      </c>
      <c r="H957" s="10">
        <f t="shared" si="43"/>
        <v>1</v>
      </c>
      <c r="I957" s="10">
        <f t="shared" si="44"/>
        <v>20</v>
      </c>
      <c r="J957" s="9" t="s">
        <v>2457</v>
      </c>
      <c r="K957" s="2" t="s">
        <v>57</v>
      </c>
      <c r="L957" s="2">
        <v>489.98</v>
      </c>
      <c r="M957" s="2" t="s">
        <v>49</v>
      </c>
      <c r="N957" s="2" t="s">
        <v>26</v>
      </c>
      <c r="O957" s="2">
        <v>72</v>
      </c>
      <c r="P957" s="2">
        <v>3</v>
      </c>
    </row>
    <row r="958" spans="2:16" ht="21" hidden="1" x14ac:dyDescent="0.55000000000000004">
      <c r="B958" s="2" t="s">
        <v>2458</v>
      </c>
      <c r="C958" s="2" t="s">
        <v>2459</v>
      </c>
      <c r="D958" s="2" t="s">
        <v>53</v>
      </c>
      <c r="E958" s="2" t="s">
        <v>89</v>
      </c>
      <c r="F958" s="6" t="s">
        <v>55</v>
      </c>
      <c r="G958" s="10">
        <f t="shared" si="42"/>
        <v>2024</v>
      </c>
      <c r="H958" s="10">
        <f t="shared" si="43"/>
        <v>1</v>
      </c>
      <c r="I958" s="10">
        <f t="shared" si="44"/>
        <v>8</v>
      </c>
      <c r="J958" s="9" t="s">
        <v>1990</v>
      </c>
      <c r="K958" s="2" t="s">
        <v>33</v>
      </c>
      <c r="L958" s="2">
        <v>111.74</v>
      </c>
      <c r="M958" s="2" t="s">
        <v>122</v>
      </c>
      <c r="N958" s="2" t="s">
        <v>26</v>
      </c>
      <c r="O958" s="2">
        <v>63</v>
      </c>
      <c r="P958" s="2">
        <v>1</v>
      </c>
    </row>
    <row r="959" spans="2:16" ht="21" hidden="1" x14ac:dyDescent="0.55000000000000004">
      <c r="B959" s="2" t="s">
        <v>2460</v>
      </c>
      <c r="C959" s="2" t="s">
        <v>2461</v>
      </c>
      <c r="D959" s="2" t="s">
        <v>106</v>
      </c>
      <c r="E959" s="2" t="s">
        <v>74</v>
      </c>
      <c r="F959" s="6" t="s">
        <v>85</v>
      </c>
      <c r="G959" s="10">
        <f t="shared" si="42"/>
        <v>2024</v>
      </c>
      <c r="H959" s="10">
        <f t="shared" si="43"/>
        <v>1</v>
      </c>
      <c r="I959" s="10">
        <f t="shared" si="44"/>
        <v>16</v>
      </c>
      <c r="J959" s="9" t="s">
        <v>1221</v>
      </c>
      <c r="K959" s="2" t="s">
        <v>48</v>
      </c>
      <c r="L959" s="2">
        <v>211.21</v>
      </c>
      <c r="M959" s="2" t="s">
        <v>122</v>
      </c>
      <c r="N959" s="2" t="s">
        <v>20</v>
      </c>
      <c r="O959" s="2">
        <v>52</v>
      </c>
      <c r="P959" s="2"/>
    </row>
    <row r="960" spans="2:16" ht="21" hidden="1" x14ac:dyDescent="0.55000000000000004">
      <c r="B960" s="2" t="s">
        <v>2462</v>
      </c>
      <c r="C960" s="2" t="s">
        <v>2463</v>
      </c>
      <c r="D960" s="2" t="s">
        <v>73</v>
      </c>
      <c r="E960" s="2" t="s">
        <v>80</v>
      </c>
      <c r="F960" s="6" t="s">
        <v>46</v>
      </c>
      <c r="G960" s="10">
        <f t="shared" si="42"/>
        <v>2024</v>
      </c>
      <c r="H960" s="10">
        <f t="shared" si="43"/>
        <v>1</v>
      </c>
      <c r="I960" s="10">
        <f t="shared" si="44"/>
        <v>17</v>
      </c>
      <c r="J960" s="9" t="s">
        <v>1248</v>
      </c>
      <c r="K960" s="2" t="s">
        <v>33</v>
      </c>
      <c r="L960" s="2">
        <v>167.68</v>
      </c>
      <c r="M960" s="2" t="s">
        <v>49</v>
      </c>
      <c r="N960" s="2" t="s">
        <v>50</v>
      </c>
      <c r="O960" s="2">
        <v>24</v>
      </c>
      <c r="P960" s="2">
        <v>2</v>
      </c>
    </row>
    <row r="961" spans="2:16" ht="21" hidden="1" x14ac:dyDescent="0.55000000000000004">
      <c r="B961" s="2" t="s">
        <v>2464</v>
      </c>
      <c r="C961" s="2" t="s">
        <v>2465</v>
      </c>
      <c r="D961" s="2" t="s">
        <v>44</v>
      </c>
      <c r="E961" s="2" t="s">
        <v>61</v>
      </c>
      <c r="F961" s="6" t="s">
        <v>102</v>
      </c>
      <c r="G961" s="10">
        <f t="shared" si="42"/>
        <v>2024</v>
      </c>
      <c r="H961" s="10">
        <f t="shared" si="43"/>
        <v>1</v>
      </c>
      <c r="I961" s="10">
        <f t="shared" si="44"/>
        <v>26</v>
      </c>
      <c r="J961" s="9" t="s">
        <v>2179</v>
      </c>
      <c r="K961" s="2" t="s">
        <v>57</v>
      </c>
      <c r="L961" s="2">
        <v>391.74</v>
      </c>
      <c r="M961" s="2" t="s">
        <v>19</v>
      </c>
      <c r="N961" s="2" t="s">
        <v>20</v>
      </c>
      <c r="O961" s="2">
        <v>68</v>
      </c>
      <c r="P961" s="2">
        <v>1</v>
      </c>
    </row>
    <row r="962" spans="2:16" ht="21" hidden="1" x14ac:dyDescent="0.55000000000000004">
      <c r="B962" s="2" t="s">
        <v>2466</v>
      </c>
      <c r="C962" s="2" t="s">
        <v>2467</v>
      </c>
      <c r="D962" s="2" t="s">
        <v>14</v>
      </c>
      <c r="E962" s="2" t="s">
        <v>15</v>
      </c>
      <c r="F962" s="6" t="s">
        <v>272</v>
      </c>
      <c r="G962" s="10">
        <f t="shared" si="42"/>
        <v>2024</v>
      </c>
      <c r="H962" s="10">
        <f t="shared" si="43"/>
        <v>1</v>
      </c>
      <c r="I962" s="10">
        <f t="shared" si="44"/>
        <v>1</v>
      </c>
      <c r="J962" s="9" t="s">
        <v>2468</v>
      </c>
      <c r="K962" s="2" t="s">
        <v>33</v>
      </c>
      <c r="L962" s="2">
        <v>342.86</v>
      </c>
      <c r="M962" s="2" t="s">
        <v>65</v>
      </c>
      <c r="N962" s="2" t="s">
        <v>50</v>
      </c>
      <c r="O962" s="2">
        <v>59</v>
      </c>
      <c r="P962" s="2">
        <v>5</v>
      </c>
    </row>
    <row r="963" spans="2:16" ht="21" hidden="1" x14ac:dyDescent="0.55000000000000004">
      <c r="B963" s="2" t="s">
        <v>2469</v>
      </c>
      <c r="C963" s="2" t="s">
        <v>2470</v>
      </c>
      <c r="D963" s="2" t="s">
        <v>73</v>
      </c>
      <c r="E963" s="2" t="s">
        <v>139</v>
      </c>
      <c r="F963" s="6" t="s">
        <v>69</v>
      </c>
      <c r="G963" s="10">
        <f t="shared" si="42"/>
        <v>2024</v>
      </c>
      <c r="H963" s="10">
        <f t="shared" si="43"/>
        <v>1</v>
      </c>
      <c r="I963" s="10">
        <f t="shared" si="44"/>
        <v>27</v>
      </c>
      <c r="J963" s="9" t="s">
        <v>2471</v>
      </c>
      <c r="K963" s="2" t="s">
        <v>64</v>
      </c>
      <c r="L963" s="2">
        <v>179.21</v>
      </c>
      <c r="M963" s="2" t="s">
        <v>49</v>
      </c>
      <c r="N963" s="2" t="s">
        <v>41</v>
      </c>
      <c r="O963" s="2">
        <v>15</v>
      </c>
      <c r="P963" s="2">
        <v>3</v>
      </c>
    </row>
    <row r="964" spans="2:16" ht="21" hidden="1" x14ac:dyDescent="0.55000000000000004">
      <c r="B964" s="2" t="s">
        <v>2472</v>
      </c>
      <c r="C964" s="2" t="s">
        <v>2473</v>
      </c>
      <c r="D964" s="2" t="s">
        <v>73</v>
      </c>
      <c r="E964" s="2" t="s">
        <v>37</v>
      </c>
      <c r="F964" s="6" t="s">
        <v>75</v>
      </c>
      <c r="G964" s="10">
        <f t="shared" ref="G964:G1027" si="45">YEAR(F964)</f>
        <v>2024</v>
      </c>
      <c r="H964" s="10">
        <f t="shared" ref="H964:H1027" si="46">MONTH(F964)</f>
        <v>1</v>
      </c>
      <c r="I964" s="10">
        <f t="shared" ref="I964:I1027" si="47">DAY(F964)</f>
        <v>25</v>
      </c>
      <c r="J964" s="9" t="s">
        <v>1711</v>
      </c>
      <c r="K964" s="2" t="s">
        <v>48</v>
      </c>
      <c r="L964" s="2">
        <v>411.51</v>
      </c>
      <c r="M964" s="2" t="s">
        <v>49</v>
      </c>
      <c r="N964" s="2" t="s">
        <v>26</v>
      </c>
      <c r="O964" s="2">
        <v>86</v>
      </c>
      <c r="P964" s="2">
        <v>1</v>
      </c>
    </row>
    <row r="965" spans="2:16" ht="21" hidden="1" x14ac:dyDescent="0.55000000000000004">
      <c r="B965" s="2" t="s">
        <v>2474</v>
      </c>
      <c r="C965" s="2" t="s">
        <v>2475</v>
      </c>
      <c r="D965" s="2" t="s">
        <v>29</v>
      </c>
      <c r="E965" s="2" t="s">
        <v>45</v>
      </c>
      <c r="F965" s="6" t="s">
        <v>69</v>
      </c>
      <c r="G965" s="10">
        <f t="shared" si="45"/>
        <v>2024</v>
      </c>
      <c r="H965" s="10">
        <f t="shared" si="46"/>
        <v>1</v>
      </c>
      <c r="I965" s="10">
        <f t="shared" si="47"/>
        <v>27</v>
      </c>
      <c r="J965" s="9" t="s">
        <v>1812</v>
      </c>
      <c r="K965" s="2" t="s">
        <v>33</v>
      </c>
      <c r="L965" s="2">
        <v>451.37</v>
      </c>
      <c r="M965" s="2" t="s">
        <v>19</v>
      </c>
      <c r="N965" s="2" t="s">
        <v>26</v>
      </c>
      <c r="O965" s="2">
        <v>46</v>
      </c>
      <c r="P965" s="2">
        <v>1</v>
      </c>
    </row>
    <row r="966" spans="2:16" ht="21" hidden="1" x14ac:dyDescent="0.55000000000000004">
      <c r="B966" s="2" t="s">
        <v>2476</v>
      </c>
      <c r="C966" s="2" t="s">
        <v>2477</v>
      </c>
      <c r="D966" s="2" t="s">
        <v>73</v>
      </c>
      <c r="E966" s="2" t="s">
        <v>89</v>
      </c>
      <c r="F966" s="6" t="s">
        <v>118</v>
      </c>
      <c r="G966" s="10">
        <f t="shared" si="45"/>
        <v>2024</v>
      </c>
      <c r="H966" s="10">
        <f t="shared" si="46"/>
        <v>1</v>
      </c>
      <c r="I966" s="10">
        <f t="shared" si="47"/>
        <v>24</v>
      </c>
      <c r="J966" s="9" t="s">
        <v>1496</v>
      </c>
      <c r="K966" s="2" t="s">
        <v>64</v>
      </c>
      <c r="L966" s="2">
        <v>113.55</v>
      </c>
      <c r="M966" s="2" t="s">
        <v>49</v>
      </c>
      <c r="N966" s="2" t="s">
        <v>50</v>
      </c>
      <c r="O966" s="2">
        <v>79</v>
      </c>
      <c r="P966" s="2">
        <v>4</v>
      </c>
    </row>
    <row r="967" spans="2:16" ht="21" hidden="1" x14ac:dyDescent="0.55000000000000004">
      <c r="B967" s="2" t="s">
        <v>2478</v>
      </c>
      <c r="C967" s="2" t="s">
        <v>2479</v>
      </c>
      <c r="D967" s="2" t="s">
        <v>68</v>
      </c>
      <c r="E967" s="2" t="s">
        <v>61</v>
      </c>
      <c r="F967" s="6" t="s">
        <v>272</v>
      </c>
      <c r="G967" s="10">
        <f t="shared" si="45"/>
        <v>2024</v>
      </c>
      <c r="H967" s="10">
        <f t="shared" si="46"/>
        <v>1</v>
      </c>
      <c r="I967" s="10">
        <f t="shared" si="47"/>
        <v>1</v>
      </c>
      <c r="J967" s="9" t="s">
        <v>605</v>
      </c>
      <c r="K967" s="2" t="s">
        <v>40</v>
      </c>
      <c r="L967" s="2">
        <v>419.72</v>
      </c>
      <c r="M967" s="2" t="s">
        <v>19</v>
      </c>
      <c r="N967" s="2" t="s">
        <v>50</v>
      </c>
      <c r="O967" s="2">
        <v>75</v>
      </c>
      <c r="P967" s="2">
        <v>4</v>
      </c>
    </row>
    <row r="968" spans="2:16" ht="21" x14ac:dyDescent="0.55000000000000004">
      <c r="B968" s="2" t="s">
        <v>2480</v>
      </c>
      <c r="C968" s="2" t="s">
        <v>2481</v>
      </c>
      <c r="D968" s="2" t="s">
        <v>53</v>
      </c>
      <c r="E968" s="2" t="s">
        <v>54</v>
      </c>
      <c r="F968" s="6" t="s">
        <v>113</v>
      </c>
      <c r="G968" s="10">
        <f t="shared" si="45"/>
        <v>2024</v>
      </c>
      <c r="H968" s="10">
        <f t="shared" si="46"/>
        <v>1</v>
      </c>
      <c r="I968" s="10">
        <f t="shared" si="47"/>
        <v>15</v>
      </c>
      <c r="J968" s="9" t="s">
        <v>1815</v>
      </c>
      <c r="K968" s="2" t="s">
        <v>40</v>
      </c>
      <c r="L968" s="2">
        <v>131.66</v>
      </c>
      <c r="M968" s="2" t="s">
        <v>19</v>
      </c>
      <c r="N968" s="2" t="s">
        <v>26</v>
      </c>
      <c r="O968" s="2">
        <v>70</v>
      </c>
      <c r="P968" s="2">
        <v>2</v>
      </c>
    </row>
    <row r="969" spans="2:16" ht="21" hidden="1" x14ac:dyDescent="0.55000000000000004">
      <c r="B969" s="2" t="s">
        <v>2482</v>
      </c>
      <c r="C969" s="2" t="s">
        <v>2483</v>
      </c>
      <c r="D969" s="2" t="s">
        <v>44</v>
      </c>
      <c r="E969" s="2" t="s">
        <v>89</v>
      </c>
      <c r="F969" s="6" t="s">
        <v>180</v>
      </c>
      <c r="G969" s="10">
        <f t="shared" si="45"/>
        <v>2024</v>
      </c>
      <c r="H969" s="10">
        <f t="shared" si="46"/>
        <v>1</v>
      </c>
      <c r="I969" s="10">
        <f t="shared" si="47"/>
        <v>28</v>
      </c>
      <c r="J969" s="9" t="s">
        <v>756</v>
      </c>
      <c r="K969" s="2" t="s">
        <v>48</v>
      </c>
      <c r="L969" s="2">
        <v>498.57</v>
      </c>
      <c r="M969" s="2" t="s">
        <v>65</v>
      </c>
      <c r="N969" s="2" t="s">
        <v>41</v>
      </c>
      <c r="O969" s="2">
        <v>90</v>
      </c>
      <c r="P969" s="2">
        <v>4</v>
      </c>
    </row>
    <row r="970" spans="2:16" ht="21" hidden="1" x14ac:dyDescent="0.55000000000000004">
      <c r="B970" s="2" t="s">
        <v>2484</v>
      </c>
      <c r="C970" s="2" t="s">
        <v>2485</v>
      </c>
      <c r="D970" s="2" t="s">
        <v>29</v>
      </c>
      <c r="E970" s="2" t="s">
        <v>61</v>
      </c>
      <c r="F970" s="6" t="s">
        <v>16</v>
      </c>
      <c r="G970" s="10">
        <f t="shared" si="45"/>
        <v>2024</v>
      </c>
      <c r="H970" s="10">
        <f t="shared" si="46"/>
        <v>1</v>
      </c>
      <c r="I970" s="10">
        <f t="shared" si="47"/>
        <v>9</v>
      </c>
      <c r="J970" s="9" t="s">
        <v>824</v>
      </c>
      <c r="K970" s="2" t="s">
        <v>48</v>
      </c>
      <c r="L970" s="2">
        <v>392.63</v>
      </c>
      <c r="M970" s="2" t="s">
        <v>19</v>
      </c>
      <c r="N970" s="2" t="s">
        <v>50</v>
      </c>
      <c r="O970" s="2">
        <v>42</v>
      </c>
      <c r="P970" s="2">
        <v>1</v>
      </c>
    </row>
    <row r="971" spans="2:16" ht="21" hidden="1" x14ac:dyDescent="0.55000000000000004">
      <c r="B971" s="2" t="s">
        <v>2486</v>
      </c>
      <c r="C971" s="2" t="s">
        <v>2487</v>
      </c>
      <c r="D971" s="2" t="s">
        <v>68</v>
      </c>
      <c r="E971" s="2" t="s">
        <v>37</v>
      </c>
      <c r="F971" s="6" t="s">
        <v>302</v>
      </c>
      <c r="G971" s="10">
        <f t="shared" si="45"/>
        <v>2024</v>
      </c>
      <c r="H971" s="10">
        <f t="shared" si="46"/>
        <v>1</v>
      </c>
      <c r="I971" s="10">
        <f t="shared" si="47"/>
        <v>2</v>
      </c>
      <c r="J971" s="9" t="s">
        <v>1447</v>
      </c>
      <c r="K971" s="2" t="s">
        <v>33</v>
      </c>
      <c r="L971" s="2">
        <v>378.44</v>
      </c>
      <c r="M971" s="2" t="s">
        <v>122</v>
      </c>
      <c r="N971" s="2" t="s">
        <v>26</v>
      </c>
      <c r="O971" s="2">
        <v>46</v>
      </c>
      <c r="P971" s="2">
        <v>2</v>
      </c>
    </row>
    <row r="972" spans="2:16" ht="21" hidden="1" x14ac:dyDescent="0.55000000000000004">
      <c r="B972" s="2" t="s">
        <v>2488</v>
      </c>
      <c r="C972" s="2" t="s">
        <v>2489</v>
      </c>
      <c r="D972" s="2" t="s">
        <v>117</v>
      </c>
      <c r="E972" s="2" t="s">
        <v>74</v>
      </c>
      <c r="F972" s="6" t="s">
        <v>75</v>
      </c>
      <c r="G972" s="10">
        <f t="shared" si="45"/>
        <v>2024</v>
      </c>
      <c r="H972" s="10">
        <f t="shared" si="46"/>
        <v>1</v>
      </c>
      <c r="I972" s="10">
        <f t="shared" si="47"/>
        <v>25</v>
      </c>
      <c r="J972" s="9" t="s">
        <v>550</v>
      </c>
      <c r="K972" s="2" t="s">
        <v>18</v>
      </c>
      <c r="L972" s="2">
        <v>351.95</v>
      </c>
      <c r="M972" s="2" t="s">
        <v>65</v>
      </c>
      <c r="N972" s="2" t="s">
        <v>50</v>
      </c>
      <c r="O972" s="2">
        <v>54</v>
      </c>
      <c r="P972" s="2">
        <v>2</v>
      </c>
    </row>
    <row r="973" spans="2:16" ht="21" hidden="1" x14ac:dyDescent="0.55000000000000004">
      <c r="B973" s="2" t="s">
        <v>2490</v>
      </c>
      <c r="C973" s="2" t="s">
        <v>2491</v>
      </c>
      <c r="D973" s="2" t="s">
        <v>44</v>
      </c>
      <c r="E973" s="2" t="s">
        <v>125</v>
      </c>
      <c r="F973" s="6" t="s">
        <v>118</v>
      </c>
      <c r="G973" s="10">
        <f t="shared" si="45"/>
        <v>2024</v>
      </c>
      <c r="H973" s="10">
        <f t="shared" si="46"/>
        <v>1</v>
      </c>
      <c r="I973" s="10">
        <f t="shared" si="47"/>
        <v>24</v>
      </c>
      <c r="J973" s="9" t="s">
        <v>2492</v>
      </c>
      <c r="K973" s="2" t="s">
        <v>64</v>
      </c>
      <c r="L973" s="2">
        <v>137.88</v>
      </c>
      <c r="M973" s="2" t="s">
        <v>65</v>
      </c>
      <c r="N973" s="2" t="s">
        <v>41</v>
      </c>
      <c r="O973" s="2">
        <v>33</v>
      </c>
      <c r="P973" s="2">
        <v>2</v>
      </c>
    </row>
    <row r="974" spans="2:16" ht="21" hidden="1" x14ac:dyDescent="0.55000000000000004">
      <c r="B974" s="2" t="s">
        <v>2493</v>
      </c>
      <c r="C974" s="2" t="s">
        <v>2494</v>
      </c>
      <c r="D974" s="2" t="s">
        <v>14</v>
      </c>
      <c r="E974" s="2" t="s">
        <v>61</v>
      </c>
      <c r="F974" s="6" t="s">
        <v>85</v>
      </c>
      <c r="G974" s="10">
        <f t="shared" si="45"/>
        <v>2024</v>
      </c>
      <c r="H974" s="10">
        <f t="shared" si="46"/>
        <v>1</v>
      </c>
      <c r="I974" s="10">
        <f t="shared" si="47"/>
        <v>16</v>
      </c>
      <c r="J974" s="9" t="s">
        <v>2495</v>
      </c>
      <c r="K974" s="2" t="s">
        <v>57</v>
      </c>
      <c r="L974" s="2">
        <v>388.64</v>
      </c>
      <c r="M974" s="2" t="s">
        <v>19</v>
      </c>
      <c r="N974" s="2" t="s">
        <v>26</v>
      </c>
      <c r="O974" s="2">
        <v>86</v>
      </c>
      <c r="P974" s="2">
        <v>5</v>
      </c>
    </row>
    <row r="975" spans="2:16" ht="21" hidden="1" x14ac:dyDescent="0.55000000000000004">
      <c r="B975" s="2" t="s">
        <v>2496</v>
      </c>
      <c r="C975" s="2" t="s">
        <v>2497</v>
      </c>
      <c r="D975" s="2" t="s">
        <v>53</v>
      </c>
      <c r="E975" s="2" t="s">
        <v>89</v>
      </c>
      <c r="F975" s="6" t="s">
        <v>129</v>
      </c>
      <c r="G975" s="10">
        <f t="shared" si="45"/>
        <v>2024</v>
      </c>
      <c r="H975" s="10">
        <f t="shared" si="46"/>
        <v>1</v>
      </c>
      <c r="I975" s="10">
        <f t="shared" si="47"/>
        <v>19</v>
      </c>
      <c r="J975" s="9" t="s">
        <v>1340</v>
      </c>
      <c r="K975" s="2" t="s">
        <v>48</v>
      </c>
      <c r="L975" s="2">
        <v>58.55</v>
      </c>
      <c r="M975" s="2" t="s">
        <v>65</v>
      </c>
      <c r="N975" s="2" t="s">
        <v>41</v>
      </c>
      <c r="O975" s="2">
        <v>83</v>
      </c>
      <c r="P975" s="2">
        <v>4</v>
      </c>
    </row>
    <row r="976" spans="2:16" ht="21" hidden="1" x14ac:dyDescent="0.55000000000000004">
      <c r="B976" s="2" t="s">
        <v>2498</v>
      </c>
      <c r="C976" s="2" t="s">
        <v>2499</v>
      </c>
      <c r="D976" s="2" t="s">
        <v>73</v>
      </c>
      <c r="E976" s="2" t="s">
        <v>37</v>
      </c>
      <c r="F976" s="6" t="s">
        <v>349</v>
      </c>
      <c r="G976" s="10">
        <f t="shared" si="45"/>
        <v>2024</v>
      </c>
      <c r="H976" s="10">
        <f t="shared" si="46"/>
        <v>1</v>
      </c>
      <c r="I976" s="10">
        <f t="shared" si="47"/>
        <v>12</v>
      </c>
      <c r="J976" s="9" t="s">
        <v>950</v>
      </c>
      <c r="K976" s="2" t="s">
        <v>77</v>
      </c>
      <c r="L976" s="2">
        <v>373.45</v>
      </c>
      <c r="M976" s="2" t="s">
        <v>122</v>
      </c>
      <c r="N976" s="2" t="s">
        <v>26</v>
      </c>
      <c r="O976" s="2">
        <v>61</v>
      </c>
      <c r="P976" s="2">
        <v>2</v>
      </c>
    </row>
    <row r="977" spans="2:16" ht="21" hidden="1" x14ac:dyDescent="0.55000000000000004">
      <c r="B977" s="2" t="s">
        <v>2500</v>
      </c>
      <c r="C977" s="2" t="s">
        <v>2501</v>
      </c>
      <c r="D977" s="2" t="s">
        <v>44</v>
      </c>
      <c r="E977" s="2" t="s">
        <v>80</v>
      </c>
      <c r="F977" s="6" t="s">
        <v>16</v>
      </c>
      <c r="G977" s="10">
        <f t="shared" si="45"/>
        <v>2024</v>
      </c>
      <c r="H977" s="10">
        <f t="shared" si="46"/>
        <v>1</v>
      </c>
      <c r="I977" s="10">
        <f t="shared" si="47"/>
        <v>9</v>
      </c>
      <c r="J977" s="9" t="s">
        <v>2502</v>
      </c>
      <c r="K977" s="2" t="s">
        <v>18</v>
      </c>
      <c r="L977" s="2">
        <v>388.09</v>
      </c>
      <c r="M977" s="2" t="s">
        <v>65</v>
      </c>
      <c r="N977" s="2" t="s">
        <v>50</v>
      </c>
      <c r="O977" s="2">
        <v>90</v>
      </c>
      <c r="P977" s="2"/>
    </row>
    <row r="978" spans="2:16" ht="21" hidden="1" x14ac:dyDescent="0.55000000000000004">
      <c r="B978" s="2" t="s">
        <v>2503</v>
      </c>
      <c r="C978" s="2" t="s">
        <v>2504</v>
      </c>
      <c r="D978" s="2" t="s">
        <v>14</v>
      </c>
      <c r="E978" s="2" t="s">
        <v>15</v>
      </c>
      <c r="F978" s="6" t="s">
        <v>238</v>
      </c>
      <c r="G978" s="10">
        <f t="shared" si="45"/>
        <v>2024</v>
      </c>
      <c r="H978" s="10">
        <f t="shared" si="46"/>
        <v>1</v>
      </c>
      <c r="I978" s="10">
        <f t="shared" si="47"/>
        <v>20</v>
      </c>
      <c r="J978" s="9" t="s">
        <v>1464</v>
      </c>
      <c r="K978" s="2" t="s">
        <v>33</v>
      </c>
      <c r="L978" s="2">
        <v>143.94</v>
      </c>
      <c r="M978" s="2" t="s">
        <v>49</v>
      </c>
      <c r="N978" s="2" t="s">
        <v>41</v>
      </c>
      <c r="O978" s="2">
        <v>22</v>
      </c>
      <c r="P978" s="2"/>
    </row>
    <row r="979" spans="2:16" ht="21" x14ac:dyDescent="0.55000000000000004">
      <c r="B979" s="2" t="s">
        <v>2505</v>
      </c>
      <c r="C979" s="2" t="s">
        <v>2506</v>
      </c>
      <c r="D979" s="2" t="s">
        <v>29</v>
      </c>
      <c r="E979" s="2" t="s">
        <v>54</v>
      </c>
      <c r="F979" s="6" t="s">
        <v>180</v>
      </c>
      <c r="G979" s="10">
        <f t="shared" si="45"/>
        <v>2024</v>
      </c>
      <c r="H979" s="10">
        <f t="shared" si="46"/>
        <v>1</v>
      </c>
      <c r="I979" s="10">
        <f t="shared" si="47"/>
        <v>28</v>
      </c>
      <c r="J979" s="9" t="s">
        <v>1990</v>
      </c>
      <c r="K979" s="2" t="s">
        <v>64</v>
      </c>
      <c r="L979" s="2">
        <v>199.07</v>
      </c>
      <c r="M979" s="2" t="s">
        <v>49</v>
      </c>
      <c r="N979" s="2" t="s">
        <v>26</v>
      </c>
      <c r="O979" s="2">
        <v>63</v>
      </c>
      <c r="P979" s="2">
        <v>5</v>
      </c>
    </row>
    <row r="980" spans="2:16" ht="21" hidden="1" x14ac:dyDescent="0.55000000000000004">
      <c r="B980" s="2" t="s">
        <v>2507</v>
      </c>
      <c r="C980" s="2" t="s">
        <v>2508</v>
      </c>
      <c r="D980" s="2" t="s">
        <v>44</v>
      </c>
      <c r="E980" s="2" t="s">
        <v>61</v>
      </c>
      <c r="F980" s="6" t="s">
        <v>132</v>
      </c>
      <c r="G980" s="10">
        <f t="shared" si="45"/>
        <v>2024</v>
      </c>
      <c r="H980" s="10">
        <f t="shared" si="46"/>
        <v>1</v>
      </c>
      <c r="I980" s="10">
        <f t="shared" si="47"/>
        <v>6</v>
      </c>
      <c r="J980" s="9" t="s">
        <v>86</v>
      </c>
      <c r="K980" s="2" t="s">
        <v>91</v>
      </c>
      <c r="L980" s="2">
        <v>429.6</v>
      </c>
      <c r="M980" s="2" t="s">
        <v>122</v>
      </c>
      <c r="N980" s="2" t="s">
        <v>41</v>
      </c>
      <c r="O980" s="2">
        <v>88</v>
      </c>
      <c r="P980" s="2">
        <v>2</v>
      </c>
    </row>
    <row r="981" spans="2:16" ht="21" hidden="1" x14ac:dyDescent="0.55000000000000004">
      <c r="B981" s="2" t="s">
        <v>2509</v>
      </c>
      <c r="C981" s="2" t="s">
        <v>2510</v>
      </c>
      <c r="D981" s="2" t="s">
        <v>68</v>
      </c>
      <c r="E981" s="2" t="s">
        <v>139</v>
      </c>
      <c r="F981" s="6" t="s">
        <v>69</v>
      </c>
      <c r="G981" s="10">
        <f t="shared" si="45"/>
        <v>2024</v>
      </c>
      <c r="H981" s="10">
        <f t="shared" si="46"/>
        <v>1</v>
      </c>
      <c r="I981" s="10">
        <f t="shared" si="47"/>
        <v>27</v>
      </c>
      <c r="J981" s="9" t="s">
        <v>1982</v>
      </c>
      <c r="K981" s="2" t="s">
        <v>33</v>
      </c>
      <c r="L981" s="2">
        <v>348.74</v>
      </c>
      <c r="M981" s="2" t="s">
        <v>122</v>
      </c>
      <c r="N981" s="2" t="s">
        <v>41</v>
      </c>
      <c r="O981" s="2">
        <v>27</v>
      </c>
      <c r="P981" s="2"/>
    </row>
    <row r="982" spans="2:16" ht="21" hidden="1" x14ac:dyDescent="0.55000000000000004">
      <c r="B982" s="2" t="s">
        <v>2511</v>
      </c>
      <c r="C982" s="2" t="s">
        <v>913</v>
      </c>
      <c r="D982" s="2" t="s">
        <v>60</v>
      </c>
      <c r="E982" s="2" t="s">
        <v>74</v>
      </c>
      <c r="F982" s="6" t="s">
        <v>302</v>
      </c>
      <c r="G982" s="10">
        <f t="shared" si="45"/>
        <v>2024</v>
      </c>
      <c r="H982" s="10">
        <f t="shared" si="46"/>
        <v>1</v>
      </c>
      <c r="I982" s="10">
        <f t="shared" si="47"/>
        <v>2</v>
      </c>
      <c r="J982" s="9" t="s">
        <v>857</v>
      </c>
      <c r="K982" s="2" t="s">
        <v>33</v>
      </c>
      <c r="L982" s="2">
        <v>124.62</v>
      </c>
      <c r="M982" s="2" t="s">
        <v>122</v>
      </c>
      <c r="N982" s="2" t="s">
        <v>41</v>
      </c>
      <c r="O982" s="2">
        <v>27</v>
      </c>
      <c r="P982" s="2">
        <v>3</v>
      </c>
    </row>
    <row r="983" spans="2:16" ht="21" x14ac:dyDescent="0.55000000000000004">
      <c r="B983" s="2" t="s">
        <v>2512</v>
      </c>
      <c r="C983" s="2" t="s">
        <v>2513</v>
      </c>
      <c r="D983" s="2" t="s">
        <v>73</v>
      </c>
      <c r="E983" s="2" t="s">
        <v>54</v>
      </c>
      <c r="F983" s="6" t="s">
        <v>302</v>
      </c>
      <c r="G983" s="10">
        <f t="shared" si="45"/>
        <v>2024</v>
      </c>
      <c r="H983" s="10">
        <f t="shared" si="46"/>
        <v>1</v>
      </c>
      <c r="I983" s="10">
        <f t="shared" si="47"/>
        <v>2</v>
      </c>
      <c r="J983" s="9" t="s">
        <v>621</v>
      </c>
      <c r="K983" s="2" t="s">
        <v>91</v>
      </c>
      <c r="L983" s="2">
        <v>98.8</v>
      </c>
      <c r="M983" s="2" t="s">
        <v>19</v>
      </c>
      <c r="N983" s="2" t="s">
        <v>20</v>
      </c>
      <c r="O983" s="2">
        <v>65</v>
      </c>
      <c r="P983" s="2">
        <v>2</v>
      </c>
    </row>
    <row r="984" spans="2:16" ht="21" hidden="1" x14ac:dyDescent="0.55000000000000004">
      <c r="B984" s="2" t="s">
        <v>2514</v>
      </c>
      <c r="C984" s="2" t="s">
        <v>2515</v>
      </c>
      <c r="D984" s="2" t="s">
        <v>29</v>
      </c>
      <c r="E984" s="2" t="s">
        <v>61</v>
      </c>
      <c r="F984" s="6" t="s">
        <v>16</v>
      </c>
      <c r="G984" s="10">
        <f t="shared" si="45"/>
        <v>2024</v>
      </c>
      <c r="H984" s="10">
        <f t="shared" si="46"/>
        <v>1</v>
      </c>
      <c r="I984" s="10">
        <f t="shared" si="47"/>
        <v>9</v>
      </c>
      <c r="J984" s="9" t="s">
        <v>1296</v>
      </c>
      <c r="K984" s="2" t="s">
        <v>40</v>
      </c>
      <c r="L984" s="2">
        <v>497.65</v>
      </c>
      <c r="M984" s="2" t="s">
        <v>49</v>
      </c>
      <c r="N984" s="2" t="s">
        <v>20</v>
      </c>
      <c r="O984" s="2">
        <v>29</v>
      </c>
      <c r="P984" s="2">
        <v>3</v>
      </c>
    </row>
    <row r="985" spans="2:16" ht="21" hidden="1" x14ac:dyDescent="0.55000000000000004">
      <c r="B985" s="2" t="s">
        <v>2516</v>
      </c>
      <c r="C985" s="2" t="s">
        <v>2517</v>
      </c>
      <c r="D985" s="2" t="s">
        <v>29</v>
      </c>
      <c r="E985" s="2" t="s">
        <v>125</v>
      </c>
      <c r="F985" s="6" t="s">
        <v>102</v>
      </c>
      <c r="G985" s="10">
        <f t="shared" si="45"/>
        <v>2024</v>
      </c>
      <c r="H985" s="10">
        <f t="shared" si="46"/>
        <v>1</v>
      </c>
      <c r="I985" s="10">
        <f t="shared" si="47"/>
        <v>26</v>
      </c>
      <c r="J985" s="9" t="s">
        <v>1206</v>
      </c>
      <c r="K985" s="2" t="s">
        <v>40</v>
      </c>
      <c r="L985" s="2">
        <v>421.31</v>
      </c>
      <c r="M985" s="2" t="s">
        <v>19</v>
      </c>
      <c r="N985" s="2" t="s">
        <v>50</v>
      </c>
      <c r="O985" s="2">
        <v>65</v>
      </c>
      <c r="P985" s="2">
        <v>5</v>
      </c>
    </row>
    <row r="986" spans="2:16" ht="21" hidden="1" x14ac:dyDescent="0.55000000000000004">
      <c r="B986" s="2" t="s">
        <v>2518</v>
      </c>
      <c r="C986" s="2" t="s">
        <v>521</v>
      </c>
      <c r="D986" s="2" t="s">
        <v>14</v>
      </c>
      <c r="E986" s="2" t="s">
        <v>139</v>
      </c>
      <c r="F986" s="6" t="s">
        <v>24</v>
      </c>
      <c r="G986" s="10">
        <f t="shared" si="45"/>
        <v>2024</v>
      </c>
      <c r="H986" s="10">
        <f t="shared" si="46"/>
        <v>1</v>
      </c>
      <c r="I986" s="10">
        <f t="shared" si="47"/>
        <v>21</v>
      </c>
      <c r="J986" s="9" t="s">
        <v>2519</v>
      </c>
      <c r="K986" s="2" t="s">
        <v>77</v>
      </c>
      <c r="L986" s="2">
        <v>199.51</v>
      </c>
      <c r="M986" s="2" t="s">
        <v>122</v>
      </c>
      <c r="N986" s="2" t="s">
        <v>41</v>
      </c>
      <c r="O986" s="2">
        <v>51</v>
      </c>
      <c r="P986" s="2">
        <v>5</v>
      </c>
    </row>
    <row r="987" spans="2:16" ht="21" hidden="1" x14ac:dyDescent="0.55000000000000004">
      <c r="B987" s="2" t="s">
        <v>2520</v>
      </c>
      <c r="C987" s="2" t="s">
        <v>2521</v>
      </c>
      <c r="D987" s="2" t="s">
        <v>68</v>
      </c>
      <c r="E987" s="2" t="s">
        <v>80</v>
      </c>
      <c r="F987" s="6" t="s">
        <v>81</v>
      </c>
      <c r="G987" s="10">
        <f t="shared" si="45"/>
        <v>2024</v>
      </c>
      <c r="H987" s="10">
        <f t="shared" si="46"/>
        <v>1</v>
      </c>
      <c r="I987" s="10">
        <f t="shared" si="47"/>
        <v>18</v>
      </c>
      <c r="J987" s="9" t="s">
        <v>967</v>
      </c>
      <c r="K987" s="2" t="s">
        <v>77</v>
      </c>
      <c r="L987" s="2">
        <v>413.41</v>
      </c>
      <c r="M987" s="2" t="s">
        <v>49</v>
      </c>
      <c r="N987" s="2" t="s">
        <v>50</v>
      </c>
      <c r="O987" s="2">
        <v>18</v>
      </c>
      <c r="P987" s="2">
        <v>3</v>
      </c>
    </row>
    <row r="988" spans="2:16" ht="21" hidden="1" x14ac:dyDescent="0.55000000000000004">
      <c r="B988" s="2" t="s">
        <v>2522</v>
      </c>
      <c r="C988" s="2" t="s">
        <v>2523</v>
      </c>
      <c r="D988" s="2" t="s">
        <v>14</v>
      </c>
      <c r="E988" s="2" t="s">
        <v>89</v>
      </c>
      <c r="F988" s="6" t="s">
        <v>118</v>
      </c>
      <c r="G988" s="10">
        <f t="shared" si="45"/>
        <v>2024</v>
      </c>
      <c r="H988" s="10">
        <f t="shared" si="46"/>
        <v>1</v>
      </c>
      <c r="I988" s="10">
        <f t="shared" si="47"/>
        <v>24</v>
      </c>
      <c r="J988" s="9" t="s">
        <v>2524</v>
      </c>
      <c r="K988" s="2" t="s">
        <v>33</v>
      </c>
      <c r="L988" s="2">
        <v>347.2</v>
      </c>
      <c r="M988" s="2" t="s">
        <v>122</v>
      </c>
      <c r="N988" s="2" t="s">
        <v>20</v>
      </c>
      <c r="O988" s="2">
        <v>87</v>
      </c>
      <c r="P988" s="2">
        <v>3</v>
      </c>
    </row>
    <row r="989" spans="2:16" ht="21" hidden="1" x14ac:dyDescent="0.55000000000000004">
      <c r="B989" s="2" t="s">
        <v>2525</v>
      </c>
      <c r="C989" s="2" t="s">
        <v>2526</v>
      </c>
      <c r="D989" s="2" t="s">
        <v>117</v>
      </c>
      <c r="E989" s="2" t="s">
        <v>61</v>
      </c>
      <c r="F989" s="6" t="s">
        <v>129</v>
      </c>
      <c r="G989" s="10">
        <f t="shared" si="45"/>
        <v>2024</v>
      </c>
      <c r="H989" s="10">
        <f t="shared" si="46"/>
        <v>1</v>
      </c>
      <c r="I989" s="10">
        <f t="shared" si="47"/>
        <v>19</v>
      </c>
      <c r="J989" s="9" t="s">
        <v>2527</v>
      </c>
      <c r="K989" s="2" t="s">
        <v>48</v>
      </c>
      <c r="L989" s="2">
        <v>65.209999999999994</v>
      </c>
      <c r="M989" s="2" t="s">
        <v>19</v>
      </c>
      <c r="N989" s="2" t="s">
        <v>20</v>
      </c>
      <c r="O989" s="2">
        <v>78</v>
      </c>
      <c r="P989" s="2">
        <v>2</v>
      </c>
    </row>
    <row r="990" spans="2:16" ht="21" hidden="1" x14ac:dyDescent="0.55000000000000004">
      <c r="B990" s="2" t="s">
        <v>2528</v>
      </c>
      <c r="C990" s="2" t="s">
        <v>2529</v>
      </c>
      <c r="D990" s="2" t="s">
        <v>60</v>
      </c>
      <c r="E990" s="2" t="s">
        <v>80</v>
      </c>
      <c r="F990" s="6" t="s">
        <v>129</v>
      </c>
      <c r="G990" s="10">
        <f t="shared" si="45"/>
        <v>2024</v>
      </c>
      <c r="H990" s="10">
        <f t="shared" si="46"/>
        <v>1</v>
      </c>
      <c r="I990" s="10">
        <f t="shared" si="47"/>
        <v>19</v>
      </c>
      <c r="J990" s="9" t="s">
        <v>616</v>
      </c>
      <c r="K990" s="2" t="s">
        <v>33</v>
      </c>
      <c r="L990" s="2">
        <v>273.06</v>
      </c>
      <c r="M990" s="2" t="s">
        <v>65</v>
      </c>
      <c r="N990" s="2" t="s">
        <v>41</v>
      </c>
      <c r="O990" s="2">
        <v>29</v>
      </c>
      <c r="P990" s="2">
        <v>2</v>
      </c>
    </row>
    <row r="991" spans="2:16" ht="21" hidden="1" x14ac:dyDescent="0.55000000000000004">
      <c r="B991" s="2" t="s">
        <v>2530</v>
      </c>
      <c r="C991" s="2" t="s">
        <v>2531</v>
      </c>
      <c r="D991" s="2" t="s">
        <v>68</v>
      </c>
      <c r="E991" s="2" t="s">
        <v>37</v>
      </c>
      <c r="F991" s="6" t="s">
        <v>473</v>
      </c>
      <c r="G991" s="10">
        <f t="shared" si="45"/>
        <v>2024</v>
      </c>
      <c r="H991" s="10">
        <f t="shared" si="46"/>
        <v>1</v>
      </c>
      <c r="I991" s="10">
        <f t="shared" si="47"/>
        <v>30</v>
      </c>
      <c r="J991" s="9" t="s">
        <v>82</v>
      </c>
      <c r="K991" s="2" t="s">
        <v>40</v>
      </c>
      <c r="L991" s="2">
        <v>306.97000000000003</v>
      </c>
      <c r="M991" s="2" t="s">
        <v>122</v>
      </c>
      <c r="N991" s="2" t="s">
        <v>26</v>
      </c>
      <c r="O991" s="2">
        <v>61</v>
      </c>
      <c r="P991" s="2">
        <v>4</v>
      </c>
    </row>
    <row r="992" spans="2:16" ht="21" hidden="1" x14ac:dyDescent="0.55000000000000004">
      <c r="B992" s="2" t="s">
        <v>2532</v>
      </c>
      <c r="C992" s="2" t="s">
        <v>2533</v>
      </c>
      <c r="D992" s="2" t="s">
        <v>44</v>
      </c>
      <c r="E992" s="2" t="s">
        <v>125</v>
      </c>
      <c r="F992" s="6" t="s">
        <v>69</v>
      </c>
      <c r="G992" s="10">
        <f t="shared" si="45"/>
        <v>2024</v>
      </c>
      <c r="H992" s="10">
        <f t="shared" si="46"/>
        <v>1</v>
      </c>
      <c r="I992" s="10">
        <f t="shared" si="47"/>
        <v>27</v>
      </c>
      <c r="J992" s="9" t="s">
        <v>2534</v>
      </c>
      <c r="K992" s="2" t="s">
        <v>77</v>
      </c>
      <c r="L992" s="2">
        <v>111.75</v>
      </c>
      <c r="M992" s="2" t="s">
        <v>19</v>
      </c>
      <c r="N992" s="2" t="s">
        <v>50</v>
      </c>
      <c r="O992" s="2">
        <v>75</v>
      </c>
      <c r="P992" s="2">
        <v>3</v>
      </c>
    </row>
    <row r="993" spans="2:16" ht="21" hidden="1" x14ac:dyDescent="0.55000000000000004">
      <c r="B993" s="2" t="s">
        <v>2535</v>
      </c>
      <c r="C993" s="2" t="s">
        <v>2536</v>
      </c>
      <c r="D993" s="2" t="s">
        <v>73</v>
      </c>
      <c r="E993" s="2" t="s">
        <v>37</v>
      </c>
      <c r="F993" s="6" t="s">
        <v>75</v>
      </c>
      <c r="G993" s="10">
        <f t="shared" si="45"/>
        <v>2024</v>
      </c>
      <c r="H993" s="10">
        <f t="shared" si="46"/>
        <v>1</v>
      </c>
      <c r="I993" s="10">
        <f t="shared" si="47"/>
        <v>25</v>
      </c>
      <c r="J993" s="9" t="s">
        <v>1850</v>
      </c>
      <c r="K993" s="2" t="s">
        <v>33</v>
      </c>
      <c r="L993" s="2">
        <v>250.83</v>
      </c>
      <c r="M993" s="2" t="s">
        <v>65</v>
      </c>
      <c r="N993" s="2" t="s">
        <v>41</v>
      </c>
      <c r="O993" s="2">
        <v>85</v>
      </c>
      <c r="P993" s="2">
        <v>5</v>
      </c>
    </row>
    <row r="994" spans="2:16" ht="21" x14ac:dyDescent="0.55000000000000004">
      <c r="B994" s="2" t="s">
        <v>2537</v>
      </c>
      <c r="C994" s="2" t="s">
        <v>2538</v>
      </c>
      <c r="D994" s="2" t="s">
        <v>44</v>
      </c>
      <c r="E994" s="2" t="s">
        <v>54</v>
      </c>
      <c r="F994" s="6" t="s">
        <v>349</v>
      </c>
      <c r="G994" s="10">
        <f t="shared" si="45"/>
        <v>2024</v>
      </c>
      <c r="H994" s="10">
        <f t="shared" si="46"/>
        <v>1</v>
      </c>
      <c r="I994" s="10">
        <f t="shared" si="47"/>
        <v>12</v>
      </c>
      <c r="J994" s="9" t="s">
        <v>2539</v>
      </c>
      <c r="K994" s="2" t="s">
        <v>91</v>
      </c>
      <c r="L994" s="2">
        <v>264.77</v>
      </c>
      <c r="M994" s="2" t="s">
        <v>65</v>
      </c>
      <c r="N994" s="2" t="s">
        <v>50</v>
      </c>
      <c r="O994" s="2">
        <v>45</v>
      </c>
      <c r="P994" s="2">
        <v>4</v>
      </c>
    </row>
    <row r="995" spans="2:16" ht="21" hidden="1" x14ac:dyDescent="0.55000000000000004">
      <c r="B995" s="2" t="s">
        <v>2540</v>
      </c>
      <c r="C995" s="2" t="s">
        <v>2541</v>
      </c>
      <c r="D995" s="2" t="s">
        <v>73</v>
      </c>
      <c r="E995" s="2" t="s">
        <v>80</v>
      </c>
      <c r="F995" s="6" t="s">
        <v>272</v>
      </c>
      <c r="G995" s="10">
        <f t="shared" si="45"/>
        <v>2024</v>
      </c>
      <c r="H995" s="10">
        <f t="shared" si="46"/>
        <v>1</v>
      </c>
      <c r="I995" s="10">
        <f t="shared" si="47"/>
        <v>1</v>
      </c>
      <c r="J995" s="9" t="s">
        <v>988</v>
      </c>
      <c r="K995" s="2" t="s">
        <v>33</v>
      </c>
      <c r="L995" s="2">
        <v>240.39</v>
      </c>
      <c r="M995" s="2" t="s">
        <v>122</v>
      </c>
      <c r="N995" s="2" t="s">
        <v>20</v>
      </c>
      <c r="O995" s="2">
        <v>70</v>
      </c>
      <c r="P995" s="2">
        <v>1</v>
      </c>
    </row>
    <row r="996" spans="2:16" ht="21" x14ac:dyDescent="0.55000000000000004">
      <c r="B996" s="2" t="s">
        <v>2542</v>
      </c>
      <c r="C996" s="2" t="s">
        <v>2543</v>
      </c>
      <c r="D996" s="2" t="s">
        <v>73</v>
      </c>
      <c r="E996" s="2" t="s">
        <v>54</v>
      </c>
      <c r="F996" s="6" t="s">
        <v>302</v>
      </c>
      <c r="G996" s="10">
        <f t="shared" si="45"/>
        <v>2024</v>
      </c>
      <c r="H996" s="10">
        <f t="shared" si="46"/>
        <v>1</v>
      </c>
      <c r="I996" s="10">
        <f t="shared" si="47"/>
        <v>2</v>
      </c>
      <c r="J996" s="9" t="s">
        <v>103</v>
      </c>
      <c r="K996" s="2" t="s">
        <v>48</v>
      </c>
      <c r="L996" s="2">
        <v>227.74</v>
      </c>
      <c r="M996" s="2" t="s">
        <v>19</v>
      </c>
      <c r="N996" s="2" t="s">
        <v>50</v>
      </c>
      <c r="O996" s="2">
        <v>23</v>
      </c>
      <c r="P996" s="2">
        <v>3</v>
      </c>
    </row>
    <row r="997" spans="2:16" ht="21" hidden="1" x14ac:dyDescent="0.55000000000000004">
      <c r="B997" s="2" t="s">
        <v>2544</v>
      </c>
      <c r="C997" s="2" t="s">
        <v>430</v>
      </c>
      <c r="D997" s="2" t="s">
        <v>23</v>
      </c>
      <c r="E997" s="2" t="s">
        <v>74</v>
      </c>
      <c r="F997" s="6" t="s">
        <v>257</v>
      </c>
      <c r="G997" s="10">
        <f t="shared" si="45"/>
        <v>2024</v>
      </c>
      <c r="H997" s="10">
        <f t="shared" si="46"/>
        <v>1</v>
      </c>
      <c r="I997" s="10">
        <f t="shared" si="47"/>
        <v>10</v>
      </c>
      <c r="J997" s="9" t="s">
        <v>2545</v>
      </c>
      <c r="K997" s="2" t="s">
        <v>57</v>
      </c>
      <c r="L997" s="2">
        <v>121.19</v>
      </c>
      <c r="M997" s="2" t="s">
        <v>19</v>
      </c>
      <c r="N997" s="2" t="s">
        <v>50</v>
      </c>
      <c r="O997" s="2">
        <v>33</v>
      </c>
      <c r="P997" s="2">
        <v>5</v>
      </c>
    </row>
    <row r="998" spans="2:16" ht="21" x14ac:dyDescent="0.55000000000000004">
      <c r="B998" s="2" t="s">
        <v>2546</v>
      </c>
      <c r="C998" s="2" t="s">
        <v>2547</v>
      </c>
      <c r="D998" s="2" t="s">
        <v>44</v>
      </c>
      <c r="E998" s="2" t="s">
        <v>54</v>
      </c>
      <c r="F998" s="6" t="s">
        <v>302</v>
      </c>
      <c r="G998" s="10">
        <f t="shared" si="45"/>
        <v>2024</v>
      </c>
      <c r="H998" s="10">
        <f t="shared" si="46"/>
        <v>1</v>
      </c>
      <c r="I998" s="10">
        <f t="shared" si="47"/>
        <v>2</v>
      </c>
      <c r="J998" s="9" t="s">
        <v>2548</v>
      </c>
      <c r="K998" s="2" t="s">
        <v>64</v>
      </c>
      <c r="L998" s="2">
        <v>97.9</v>
      </c>
      <c r="M998" s="2" t="s">
        <v>49</v>
      </c>
      <c r="N998" s="2" t="s">
        <v>26</v>
      </c>
      <c r="O998" s="2">
        <v>29</v>
      </c>
      <c r="P998" s="2">
        <v>4</v>
      </c>
    </row>
    <row r="999" spans="2:16" ht="21" x14ac:dyDescent="0.55000000000000004">
      <c r="B999" s="2" t="s">
        <v>2549</v>
      </c>
      <c r="C999" s="2" t="s">
        <v>2550</v>
      </c>
      <c r="D999" s="2" t="s">
        <v>53</v>
      </c>
      <c r="E999" s="2" t="s">
        <v>54</v>
      </c>
      <c r="F999" s="6" t="s">
        <v>118</v>
      </c>
      <c r="G999" s="10">
        <f t="shared" si="45"/>
        <v>2024</v>
      </c>
      <c r="H999" s="10">
        <f t="shared" si="46"/>
        <v>1</v>
      </c>
      <c r="I999" s="10">
        <f t="shared" si="47"/>
        <v>24</v>
      </c>
      <c r="J999" s="9" t="s">
        <v>840</v>
      </c>
      <c r="K999" s="2" t="s">
        <v>48</v>
      </c>
      <c r="L999" s="2">
        <v>421.37</v>
      </c>
      <c r="M999" s="2" t="s">
        <v>19</v>
      </c>
      <c r="N999" s="2" t="s">
        <v>50</v>
      </c>
      <c r="O999" s="2">
        <v>52</v>
      </c>
      <c r="P999" s="2"/>
    </row>
    <row r="1000" spans="2:16" ht="21" hidden="1" x14ac:dyDescent="0.55000000000000004">
      <c r="B1000" s="2" t="s">
        <v>2551</v>
      </c>
      <c r="C1000" s="2" t="s">
        <v>2552</v>
      </c>
      <c r="D1000" s="2" t="s">
        <v>23</v>
      </c>
      <c r="E1000" s="2" t="s">
        <v>74</v>
      </c>
      <c r="F1000" s="6" t="s">
        <v>55</v>
      </c>
      <c r="G1000" s="10">
        <f t="shared" si="45"/>
        <v>2024</v>
      </c>
      <c r="H1000" s="10">
        <f t="shared" si="46"/>
        <v>1</v>
      </c>
      <c r="I1000" s="10">
        <f t="shared" si="47"/>
        <v>8</v>
      </c>
      <c r="J1000" s="9" t="s">
        <v>1622</v>
      </c>
      <c r="K1000" s="2" t="s">
        <v>33</v>
      </c>
      <c r="L1000" s="2">
        <v>52.09</v>
      </c>
      <c r="M1000" s="2" t="s">
        <v>19</v>
      </c>
      <c r="N1000" s="2" t="s">
        <v>20</v>
      </c>
      <c r="O1000" s="2">
        <v>54</v>
      </c>
      <c r="P1000" s="2">
        <v>3</v>
      </c>
    </row>
    <row r="1001" spans="2:16" ht="21" hidden="1" x14ac:dyDescent="0.55000000000000004">
      <c r="B1001" s="2" t="s">
        <v>2553</v>
      </c>
      <c r="C1001" s="2" t="s">
        <v>2554</v>
      </c>
      <c r="D1001" s="2" t="s">
        <v>53</v>
      </c>
      <c r="E1001" s="2" t="s">
        <v>139</v>
      </c>
      <c r="F1001" s="6" t="s">
        <v>129</v>
      </c>
      <c r="G1001" s="10">
        <f t="shared" si="45"/>
        <v>2024</v>
      </c>
      <c r="H1001" s="10">
        <f t="shared" si="46"/>
        <v>1</v>
      </c>
      <c r="I1001" s="10">
        <f t="shared" si="47"/>
        <v>19</v>
      </c>
      <c r="J1001" s="9" t="s">
        <v>258</v>
      </c>
      <c r="K1001" s="2" t="s">
        <v>33</v>
      </c>
      <c r="L1001" s="2">
        <v>86.21</v>
      </c>
      <c r="M1001" s="2" t="s">
        <v>19</v>
      </c>
      <c r="N1001" s="2" t="s">
        <v>50</v>
      </c>
      <c r="O1001" s="2">
        <v>60</v>
      </c>
      <c r="P1001" s="2">
        <v>1</v>
      </c>
    </row>
    <row r="1002" spans="2:16" ht="21" hidden="1" x14ac:dyDescent="0.55000000000000004">
      <c r="B1002" s="2" t="s">
        <v>2555</v>
      </c>
      <c r="C1002" s="2" t="s">
        <v>2556</v>
      </c>
      <c r="D1002" s="2" t="s">
        <v>106</v>
      </c>
      <c r="E1002" s="2" t="s">
        <v>74</v>
      </c>
      <c r="F1002" s="6" t="s">
        <v>69</v>
      </c>
      <c r="G1002" s="10">
        <f t="shared" si="45"/>
        <v>2024</v>
      </c>
      <c r="H1002" s="10">
        <f t="shared" si="46"/>
        <v>1</v>
      </c>
      <c r="I1002" s="10">
        <f t="shared" si="47"/>
        <v>27</v>
      </c>
      <c r="J1002" s="9" t="s">
        <v>1548</v>
      </c>
      <c r="K1002" s="2" t="s">
        <v>64</v>
      </c>
      <c r="L1002" s="2">
        <v>254.8</v>
      </c>
      <c r="M1002" s="2" t="s">
        <v>122</v>
      </c>
      <c r="N1002" s="2" t="s">
        <v>26</v>
      </c>
      <c r="O1002" s="2">
        <v>87</v>
      </c>
      <c r="P1002" s="2">
        <v>5</v>
      </c>
    </row>
    <row r="1003" spans="2:16" ht="21" hidden="1" x14ac:dyDescent="0.55000000000000004">
      <c r="B1003" s="2" t="s">
        <v>2557</v>
      </c>
      <c r="C1003" s="2" t="s">
        <v>2558</v>
      </c>
      <c r="D1003" s="2" t="s">
        <v>117</v>
      </c>
      <c r="E1003" s="2" t="s">
        <v>61</v>
      </c>
      <c r="F1003" s="6" t="s">
        <v>102</v>
      </c>
      <c r="G1003" s="10">
        <f t="shared" si="45"/>
        <v>2024</v>
      </c>
      <c r="H1003" s="10">
        <f t="shared" si="46"/>
        <v>1</v>
      </c>
      <c r="I1003" s="10">
        <f t="shared" si="47"/>
        <v>26</v>
      </c>
      <c r="J1003" s="9" t="s">
        <v>724</v>
      </c>
      <c r="K1003" s="2" t="s">
        <v>91</v>
      </c>
      <c r="L1003" s="2">
        <v>459.85</v>
      </c>
      <c r="M1003" s="2" t="s">
        <v>122</v>
      </c>
      <c r="N1003" s="2" t="s">
        <v>41</v>
      </c>
      <c r="O1003" s="2">
        <v>18</v>
      </c>
      <c r="P1003" s="2">
        <v>3</v>
      </c>
    </row>
    <row r="1004" spans="2:16" ht="21" hidden="1" x14ac:dyDescent="0.55000000000000004">
      <c r="B1004" s="2" t="s">
        <v>2559</v>
      </c>
      <c r="C1004" s="2" t="s">
        <v>2560</v>
      </c>
      <c r="D1004" s="2" t="s">
        <v>14</v>
      </c>
      <c r="E1004" s="2" t="s">
        <v>37</v>
      </c>
      <c r="F1004" s="6" t="s">
        <v>473</v>
      </c>
      <c r="G1004" s="10">
        <f t="shared" si="45"/>
        <v>2024</v>
      </c>
      <c r="H1004" s="10">
        <f t="shared" si="46"/>
        <v>1</v>
      </c>
      <c r="I1004" s="10">
        <f t="shared" si="47"/>
        <v>30</v>
      </c>
      <c r="J1004" s="9" t="s">
        <v>574</v>
      </c>
      <c r="K1004" s="2" t="s">
        <v>64</v>
      </c>
      <c r="L1004" s="2">
        <v>485.04</v>
      </c>
      <c r="M1004" s="2" t="s">
        <v>122</v>
      </c>
      <c r="N1004" s="2" t="s">
        <v>26</v>
      </c>
      <c r="O1004" s="2">
        <v>88</v>
      </c>
      <c r="P1004" s="2">
        <v>5</v>
      </c>
    </row>
    <row r="1005" spans="2:16" ht="21" hidden="1" x14ac:dyDescent="0.55000000000000004">
      <c r="B1005" s="2" t="s">
        <v>2561</v>
      </c>
      <c r="C1005" s="2" t="s">
        <v>213</v>
      </c>
      <c r="D1005" s="2" t="s">
        <v>44</v>
      </c>
      <c r="E1005" s="2" t="s">
        <v>125</v>
      </c>
      <c r="F1005" s="6" t="s">
        <v>102</v>
      </c>
      <c r="G1005" s="10">
        <f t="shared" si="45"/>
        <v>2024</v>
      </c>
      <c r="H1005" s="10">
        <f t="shared" si="46"/>
        <v>1</v>
      </c>
      <c r="I1005" s="10">
        <f t="shared" si="47"/>
        <v>26</v>
      </c>
      <c r="J1005" s="9" t="s">
        <v>1136</v>
      </c>
      <c r="K1005" s="2" t="s">
        <v>33</v>
      </c>
      <c r="L1005" s="2">
        <v>302.3</v>
      </c>
      <c r="M1005" s="2" t="s">
        <v>65</v>
      </c>
      <c r="N1005" s="2" t="s">
        <v>50</v>
      </c>
      <c r="O1005" s="2">
        <v>61</v>
      </c>
      <c r="P1005" s="2">
        <v>4</v>
      </c>
    </row>
    <row r="1006" spans="2:16" ht="21" hidden="1" x14ac:dyDescent="0.55000000000000004">
      <c r="B1006" s="2" t="s">
        <v>2562</v>
      </c>
      <c r="C1006" s="2" t="s">
        <v>2563</v>
      </c>
      <c r="D1006" s="2" t="s">
        <v>23</v>
      </c>
      <c r="E1006" s="2" t="s">
        <v>61</v>
      </c>
      <c r="F1006" s="6" t="s">
        <v>238</v>
      </c>
      <c r="G1006" s="10">
        <f t="shared" si="45"/>
        <v>2024</v>
      </c>
      <c r="H1006" s="10">
        <f t="shared" si="46"/>
        <v>1</v>
      </c>
      <c r="I1006" s="10">
        <f t="shared" si="47"/>
        <v>20</v>
      </c>
      <c r="J1006" s="9" t="s">
        <v>2564</v>
      </c>
      <c r="K1006" s="2" t="s">
        <v>33</v>
      </c>
      <c r="L1006" s="2">
        <v>181.65</v>
      </c>
      <c r="M1006" s="2" t="s">
        <v>49</v>
      </c>
      <c r="N1006" s="2" t="s">
        <v>26</v>
      </c>
      <c r="O1006" s="2">
        <v>58</v>
      </c>
      <c r="P1006" s="2">
        <v>4</v>
      </c>
    </row>
    <row r="1007" spans="2:16" ht="21" hidden="1" x14ac:dyDescent="0.55000000000000004">
      <c r="B1007" s="2" t="s">
        <v>2565</v>
      </c>
      <c r="C1007" s="2" t="s">
        <v>2566</v>
      </c>
      <c r="D1007" s="2" t="s">
        <v>23</v>
      </c>
      <c r="E1007" s="2" t="s">
        <v>80</v>
      </c>
      <c r="F1007" s="6" t="s">
        <v>272</v>
      </c>
      <c r="G1007" s="10">
        <f t="shared" si="45"/>
        <v>2024</v>
      </c>
      <c r="H1007" s="10">
        <f t="shared" si="46"/>
        <v>1</v>
      </c>
      <c r="I1007" s="10">
        <f t="shared" si="47"/>
        <v>1</v>
      </c>
      <c r="J1007" s="9" t="s">
        <v>1200</v>
      </c>
      <c r="K1007" s="2" t="s">
        <v>48</v>
      </c>
      <c r="L1007" s="2">
        <v>231.45</v>
      </c>
      <c r="M1007" s="2" t="s">
        <v>19</v>
      </c>
      <c r="N1007" s="2" t="s">
        <v>50</v>
      </c>
      <c r="O1007" s="2">
        <v>43</v>
      </c>
      <c r="P1007" s="2">
        <v>1</v>
      </c>
    </row>
    <row r="1008" spans="2:16" ht="21" hidden="1" x14ac:dyDescent="0.55000000000000004">
      <c r="B1008" s="2" t="s">
        <v>2567</v>
      </c>
      <c r="C1008" s="2" t="s">
        <v>2568</v>
      </c>
      <c r="D1008" s="2" t="s">
        <v>68</v>
      </c>
      <c r="E1008" s="2" t="s">
        <v>89</v>
      </c>
      <c r="F1008" s="6" t="s">
        <v>55</v>
      </c>
      <c r="G1008" s="10">
        <f t="shared" si="45"/>
        <v>2024</v>
      </c>
      <c r="H1008" s="10">
        <f t="shared" si="46"/>
        <v>1</v>
      </c>
      <c r="I1008" s="10">
        <f t="shared" si="47"/>
        <v>8</v>
      </c>
      <c r="J1008" s="9" t="s">
        <v>854</v>
      </c>
      <c r="K1008" s="2" t="s">
        <v>57</v>
      </c>
      <c r="L1008" s="2">
        <v>238.78</v>
      </c>
      <c r="M1008" s="2" t="s">
        <v>122</v>
      </c>
      <c r="N1008" s="2" t="s">
        <v>41</v>
      </c>
      <c r="O1008" s="2">
        <v>54</v>
      </c>
      <c r="P1008" s="2"/>
    </row>
    <row r="1009" spans="2:16" ht="21" hidden="1" x14ac:dyDescent="0.55000000000000004">
      <c r="B1009" s="2" t="s">
        <v>2569</v>
      </c>
      <c r="C1009" s="2" t="s">
        <v>2570</v>
      </c>
      <c r="D1009" s="2" t="s">
        <v>14</v>
      </c>
      <c r="E1009" s="2" t="s">
        <v>89</v>
      </c>
      <c r="F1009" s="6" t="s">
        <v>473</v>
      </c>
      <c r="G1009" s="10">
        <f t="shared" si="45"/>
        <v>2024</v>
      </c>
      <c r="H1009" s="10">
        <f t="shared" si="46"/>
        <v>1</v>
      </c>
      <c r="I1009" s="10">
        <f t="shared" si="47"/>
        <v>30</v>
      </c>
      <c r="J1009" s="9" t="s">
        <v>2571</v>
      </c>
      <c r="K1009" s="2" t="s">
        <v>64</v>
      </c>
      <c r="L1009" s="2">
        <v>107.05</v>
      </c>
      <c r="M1009" s="2" t="s">
        <v>19</v>
      </c>
      <c r="N1009" s="2" t="s">
        <v>26</v>
      </c>
      <c r="O1009" s="2">
        <v>59</v>
      </c>
      <c r="P1009" s="2">
        <v>2</v>
      </c>
    </row>
    <row r="1010" spans="2:16" ht="21" hidden="1" x14ac:dyDescent="0.55000000000000004">
      <c r="B1010" s="2" t="s">
        <v>2572</v>
      </c>
      <c r="C1010" s="2" t="s">
        <v>2573</v>
      </c>
      <c r="D1010" s="2" t="s">
        <v>60</v>
      </c>
      <c r="E1010" s="2" t="s">
        <v>45</v>
      </c>
      <c r="F1010" s="6" t="s">
        <v>75</v>
      </c>
      <c r="G1010" s="10">
        <f t="shared" si="45"/>
        <v>2024</v>
      </c>
      <c r="H1010" s="10">
        <f t="shared" si="46"/>
        <v>1</v>
      </c>
      <c r="I1010" s="10">
        <f t="shared" si="47"/>
        <v>25</v>
      </c>
      <c r="J1010" s="9" t="s">
        <v>970</v>
      </c>
      <c r="K1010" s="2" t="s">
        <v>91</v>
      </c>
      <c r="L1010" s="2">
        <v>263.22000000000003</v>
      </c>
      <c r="M1010" s="2" t="s">
        <v>65</v>
      </c>
      <c r="N1010" s="2" t="s">
        <v>50</v>
      </c>
      <c r="O1010" s="2">
        <v>35</v>
      </c>
      <c r="P1010" s="2">
        <v>2</v>
      </c>
    </row>
    <row r="1011" spans="2:16" ht="21" hidden="1" x14ac:dyDescent="0.55000000000000004">
      <c r="B1011" s="2" t="s">
        <v>2574</v>
      </c>
      <c r="C1011" s="2" t="s">
        <v>2575</v>
      </c>
      <c r="D1011" s="2" t="s">
        <v>23</v>
      </c>
      <c r="E1011" s="2" t="s">
        <v>139</v>
      </c>
      <c r="F1011" s="6" t="s">
        <v>113</v>
      </c>
      <c r="G1011" s="10">
        <f t="shared" si="45"/>
        <v>2024</v>
      </c>
      <c r="H1011" s="10">
        <f t="shared" si="46"/>
        <v>1</v>
      </c>
      <c r="I1011" s="10">
        <f t="shared" si="47"/>
        <v>15</v>
      </c>
      <c r="J1011" s="9" t="s">
        <v>1409</v>
      </c>
      <c r="K1011" s="2" t="s">
        <v>91</v>
      </c>
      <c r="L1011" s="2">
        <v>338</v>
      </c>
      <c r="M1011" s="2" t="s">
        <v>19</v>
      </c>
      <c r="N1011" s="2" t="s">
        <v>26</v>
      </c>
      <c r="O1011" s="2">
        <v>52</v>
      </c>
      <c r="P1011" s="2">
        <v>4</v>
      </c>
    </row>
    <row r="1012" spans="2:16" ht="21" hidden="1" x14ac:dyDescent="0.55000000000000004">
      <c r="B1012" s="2" t="s">
        <v>2576</v>
      </c>
      <c r="C1012" s="2" t="s">
        <v>2577</v>
      </c>
      <c r="D1012" s="2" t="s">
        <v>106</v>
      </c>
      <c r="E1012" s="2" t="s">
        <v>89</v>
      </c>
      <c r="F1012" s="6" t="s">
        <v>69</v>
      </c>
      <c r="G1012" s="10">
        <f t="shared" si="45"/>
        <v>2024</v>
      </c>
      <c r="H1012" s="10">
        <f t="shared" si="46"/>
        <v>1</v>
      </c>
      <c r="I1012" s="10">
        <f t="shared" si="47"/>
        <v>27</v>
      </c>
      <c r="J1012" s="9" t="s">
        <v>540</v>
      </c>
      <c r="K1012" s="2" t="s">
        <v>77</v>
      </c>
      <c r="L1012" s="2">
        <v>490.79</v>
      </c>
      <c r="M1012" s="2" t="s">
        <v>65</v>
      </c>
      <c r="N1012" s="2" t="s">
        <v>26</v>
      </c>
      <c r="O1012" s="2">
        <v>81</v>
      </c>
      <c r="P1012" s="2">
        <v>2</v>
      </c>
    </row>
    <row r="1013" spans="2:16" ht="21" hidden="1" x14ac:dyDescent="0.55000000000000004">
      <c r="B1013" s="2" t="s">
        <v>2578</v>
      </c>
      <c r="C1013" s="2" t="s">
        <v>2579</v>
      </c>
      <c r="D1013" s="2" t="s">
        <v>60</v>
      </c>
      <c r="E1013" s="2" t="s">
        <v>125</v>
      </c>
      <c r="F1013" s="6" t="s">
        <v>129</v>
      </c>
      <c r="G1013" s="10">
        <f t="shared" si="45"/>
        <v>2024</v>
      </c>
      <c r="H1013" s="10">
        <f t="shared" si="46"/>
        <v>1</v>
      </c>
      <c r="I1013" s="10">
        <f t="shared" si="47"/>
        <v>19</v>
      </c>
      <c r="J1013" s="9" t="s">
        <v>1464</v>
      </c>
      <c r="K1013" s="2" t="s">
        <v>91</v>
      </c>
      <c r="L1013" s="2">
        <v>217.06</v>
      </c>
      <c r="M1013" s="2" t="s">
        <v>122</v>
      </c>
      <c r="N1013" s="2" t="s">
        <v>41</v>
      </c>
      <c r="O1013" s="2">
        <v>82</v>
      </c>
      <c r="P1013" s="2">
        <v>4</v>
      </c>
    </row>
    <row r="1014" spans="2:16" ht="21" hidden="1" x14ac:dyDescent="0.55000000000000004">
      <c r="B1014" s="2" t="s">
        <v>2580</v>
      </c>
      <c r="C1014" s="2" t="s">
        <v>2581</v>
      </c>
      <c r="D1014" s="2" t="s">
        <v>44</v>
      </c>
      <c r="E1014" s="2" t="s">
        <v>15</v>
      </c>
      <c r="F1014" s="6" t="s">
        <v>46</v>
      </c>
      <c r="G1014" s="10">
        <f t="shared" si="45"/>
        <v>2024</v>
      </c>
      <c r="H1014" s="10">
        <f t="shared" si="46"/>
        <v>1</v>
      </c>
      <c r="I1014" s="10">
        <f t="shared" si="47"/>
        <v>17</v>
      </c>
      <c r="J1014" s="9" t="s">
        <v>291</v>
      </c>
      <c r="K1014" s="2" t="s">
        <v>48</v>
      </c>
      <c r="L1014" s="2">
        <v>319.69</v>
      </c>
      <c r="M1014" s="2" t="s">
        <v>19</v>
      </c>
      <c r="N1014" s="2" t="s">
        <v>20</v>
      </c>
      <c r="O1014" s="2">
        <v>70</v>
      </c>
      <c r="P1014" s="2">
        <v>1</v>
      </c>
    </row>
    <row r="1015" spans="2:16" ht="21" hidden="1" x14ac:dyDescent="0.55000000000000004">
      <c r="B1015" s="2" t="s">
        <v>2582</v>
      </c>
      <c r="C1015" s="2" t="s">
        <v>2583</v>
      </c>
      <c r="D1015" s="2" t="s">
        <v>106</v>
      </c>
      <c r="E1015" s="2" t="s">
        <v>37</v>
      </c>
      <c r="F1015" s="6" t="s">
        <v>102</v>
      </c>
      <c r="G1015" s="10">
        <f t="shared" si="45"/>
        <v>2024</v>
      </c>
      <c r="H1015" s="10">
        <f t="shared" si="46"/>
        <v>1</v>
      </c>
      <c r="I1015" s="10">
        <f t="shared" si="47"/>
        <v>26</v>
      </c>
      <c r="J1015" s="9" t="s">
        <v>1195</v>
      </c>
      <c r="K1015" s="2" t="s">
        <v>18</v>
      </c>
      <c r="L1015" s="2">
        <v>200.46</v>
      </c>
      <c r="M1015" s="2" t="s">
        <v>65</v>
      </c>
      <c r="N1015" s="2" t="s">
        <v>20</v>
      </c>
      <c r="O1015" s="2">
        <v>50</v>
      </c>
      <c r="P1015" s="2">
        <v>4</v>
      </c>
    </row>
    <row r="1016" spans="2:16" ht="21" hidden="1" x14ac:dyDescent="0.55000000000000004">
      <c r="B1016" s="2" t="s">
        <v>2584</v>
      </c>
      <c r="C1016" s="2" t="s">
        <v>2585</v>
      </c>
      <c r="D1016" s="2" t="s">
        <v>106</v>
      </c>
      <c r="E1016" s="2" t="s">
        <v>15</v>
      </c>
      <c r="F1016" s="6" t="s">
        <v>69</v>
      </c>
      <c r="G1016" s="10">
        <f t="shared" si="45"/>
        <v>2024</v>
      </c>
      <c r="H1016" s="10">
        <f t="shared" si="46"/>
        <v>1</v>
      </c>
      <c r="I1016" s="10">
        <f t="shared" si="47"/>
        <v>27</v>
      </c>
      <c r="J1016" s="9" t="s">
        <v>1102</v>
      </c>
      <c r="K1016" s="2" t="s">
        <v>77</v>
      </c>
      <c r="L1016" s="2">
        <v>74.400000000000006</v>
      </c>
      <c r="M1016" s="2" t="s">
        <v>49</v>
      </c>
      <c r="N1016" s="2" t="s">
        <v>26</v>
      </c>
      <c r="O1016" s="2">
        <v>56</v>
      </c>
      <c r="P1016" s="2">
        <v>4</v>
      </c>
    </row>
    <row r="1017" spans="2:16" ht="21" hidden="1" x14ac:dyDescent="0.55000000000000004">
      <c r="B1017" s="2" t="s">
        <v>2586</v>
      </c>
      <c r="C1017" s="2" t="s">
        <v>2587</v>
      </c>
      <c r="D1017" s="2" t="s">
        <v>106</v>
      </c>
      <c r="E1017" s="2" t="s">
        <v>61</v>
      </c>
      <c r="F1017" s="6" t="s">
        <v>257</v>
      </c>
      <c r="G1017" s="10">
        <f t="shared" si="45"/>
        <v>2024</v>
      </c>
      <c r="H1017" s="10">
        <f t="shared" si="46"/>
        <v>1</v>
      </c>
      <c r="I1017" s="10">
        <f t="shared" si="47"/>
        <v>10</v>
      </c>
      <c r="J1017" s="9" t="s">
        <v>730</v>
      </c>
      <c r="K1017" s="2" t="s">
        <v>64</v>
      </c>
      <c r="L1017" s="2">
        <v>412.61</v>
      </c>
      <c r="M1017" s="2" t="s">
        <v>19</v>
      </c>
      <c r="N1017" s="2" t="s">
        <v>50</v>
      </c>
      <c r="O1017" s="2">
        <v>19</v>
      </c>
      <c r="P1017" s="2">
        <v>4</v>
      </c>
    </row>
    <row r="1018" spans="2:16" ht="21" x14ac:dyDescent="0.55000000000000004">
      <c r="B1018" s="2" t="s">
        <v>2588</v>
      </c>
      <c r="C1018" s="2" t="s">
        <v>2589</v>
      </c>
      <c r="D1018" s="2" t="s">
        <v>117</v>
      </c>
      <c r="E1018" s="2" t="s">
        <v>54</v>
      </c>
      <c r="F1018" s="6" t="s">
        <v>140</v>
      </c>
      <c r="G1018" s="10">
        <f t="shared" si="45"/>
        <v>2024</v>
      </c>
      <c r="H1018" s="10">
        <f t="shared" si="46"/>
        <v>1</v>
      </c>
      <c r="I1018" s="10">
        <f t="shared" si="47"/>
        <v>29</v>
      </c>
      <c r="J1018" s="9" t="s">
        <v>273</v>
      </c>
      <c r="K1018" s="2" t="s">
        <v>77</v>
      </c>
      <c r="L1018" s="2">
        <v>462.17</v>
      </c>
      <c r="M1018" s="2" t="s">
        <v>19</v>
      </c>
      <c r="N1018" s="2" t="s">
        <v>20</v>
      </c>
      <c r="O1018" s="2">
        <v>85</v>
      </c>
      <c r="P1018" s="2">
        <v>4</v>
      </c>
    </row>
    <row r="1019" spans="2:16" ht="21" hidden="1" x14ac:dyDescent="0.55000000000000004">
      <c r="B1019" s="2" t="s">
        <v>2590</v>
      </c>
      <c r="C1019" s="2" t="s">
        <v>2591</v>
      </c>
      <c r="D1019" s="2" t="s">
        <v>14</v>
      </c>
      <c r="E1019" s="2" t="s">
        <v>74</v>
      </c>
      <c r="F1019" s="6" t="s">
        <v>343</v>
      </c>
      <c r="G1019" s="10">
        <f t="shared" si="45"/>
        <v>2024</v>
      </c>
      <c r="H1019" s="10">
        <f t="shared" si="46"/>
        <v>1</v>
      </c>
      <c r="I1019" s="10">
        <f t="shared" si="47"/>
        <v>13</v>
      </c>
      <c r="J1019" s="9" t="s">
        <v>1474</v>
      </c>
      <c r="K1019" s="2" t="s">
        <v>18</v>
      </c>
      <c r="L1019" s="2">
        <v>435.64</v>
      </c>
      <c r="M1019" s="2" t="s">
        <v>19</v>
      </c>
      <c r="N1019" s="2" t="s">
        <v>41</v>
      </c>
      <c r="O1019" s="2">
        <v>88</v>
      </c>
      <c r="P1019" s="2"/>
    </row>
    <row r="1020" spans="2:16" ht="21" x14ac:dyDescent="0.55000000000000004">
      <c r="B1020" s="2" t="s">
        <v>2592</v>
      </c>
      <c r="C1020" s="2" t="s">
        <v>2593</v>
      </c>
      <c r="D1020" s="2" t="s">
        <v>53</v>
      </c>
      <c r="E1020" s="2" t="s">
        <v>54</v>
      </c>
      <c r="F1020" s="6" t="s">
        <v>62</v>
      </c>
      <c r="G1020" s="10">
        <f t="shared" si="45"/>
        <v>2024</v>
      </c>
      <c r="H1020" s="10">
        <f t="shared" si="46"/>
        <v>1</v>
      </c>
      <c r="I1020" s="10">
        <f t="shared" si="47"/>
        <v>31</v>
      </c>
      <c r="J1020" s="9" t="s">
        <v>2594</v>
      </c>
      <c r="K1020" s="2" t="s">
        <v>91</v>
      </c>
      <c r="L1020" s="2">
        <v>146.94</v>
      </c>
      <c r="M1020" s="2" t="s">
        <v>19</v>
      </c>
      <c r="N1020" s="2" t="s">
        <v>50</v>
      </c>
      <c r="O1020" s="2">
        <v>64</v>
      </c>
      <c r="P1020" s="2">
        <v>3</v>
      </c>
    </row>
    <row r="1021" spans="2:16" ht="21" x14ac:dyDescent="0.55000000000000004">
      <c r="B1021" s="2" t="s">
        <v>2595</v>
      </c>
      <c r="C1021" s="2" t="s">
        <v>2596</v>
      </c>
      <c r="D1021" s="2" t="s">
        <v>73</v>
      </c>
      <c r="E1021" s="2" t="s">
        <v>54</v>
      </c>
      <c r="F1021" s="6" t="s">
        <v>257</v>
      </c>
      <c r="G1021" s="10">
        <f t="shared" si="45"/>
        <v>2024</v>
      </c>
      <c r="H1021" s="10">
        <f t="shared" si="46"/>
        <v>1</v>
      </c>
      <c r="I1021" s="10">
        <f t="shared" si="47"/>
        <v>10</v>
      </c>
      <c r="J1021" s="9" t="s">
        <v>296</v>
      </c>
      <c r="K1021" s="2" t="s">
        <v>18</v>
      </c>
      <c r="L1021" s="2">
        <v>65.88</v>
      </c>
      <c r="M1021" s="2" t="s">
        <v>19</v>
      </c>
      <c r="N1021" s="2" t="s">
        <v>20</v>
      </c>
      <c r="O1021" s="2">
        <v>21</v>
      </c>
      <c r="P1021" s="2">
        <v>2</v>
      </c>
    </row>
    <row r="1022" spans="2:16" ht="21" x14ac:dyDescent="0.55000000000000004">
      <c r="B1022" s="2" t="s">
        <v>2597</v>
      </c>
      <c r="C1022" s="2" t="s">
        <v>2598</v>
      </c>
      <c r="D1022" s="2" t="s">
        <v>14</v>
      </c>
      <c r="E1022" s="2" t="s">
        <v>54</v>
      </c>
      <c r="F1022" s="6" t="s">
        <v>113</v>
      </c>
      <c r="G1022" s="10">
        <f t="shared" si="45"/>
        <v>2024</v>
      </c>
      <c r="H1022" s="10">
        <f t="shared" si="46"/>
        <v>1</v>
      </c>
      <c r="I1022" s="10">
        <f t="shared" si="47"/>
        <v>15</v>
      </c>
      <c r="J1022" s="9" t="s">
        <v>2325</v>
      </c>
      <c r="K1022" s="2" t="s">
        <v>48</v>
      </c>
      <c r="L1022" s="2">
        <v>115.88</v>
      </c>
      <c r="M1022" s="2" t="s">
        <v>65</v>
      </c>
      <c r="N1022" s="2" t="s">
        <v>20</v>
      </c>
      <c r="O1022" s="2">
        <v>76</v>
      </c>
      <c r="P1022" s="2">
        <v>5</v>
      </c>
    </row>
    <row r="1023" spans="2:16" ht="21" hidden="1" x14ac:dyDescent="0.55000000000000004">
      <c r="B1023" s="2" t="s">
        <v>2599</v>
      </c>
      <c r="C1023" s="2" t="s">
        <v>2600</v>
      </c>
      <c r="D1023" s="2" t="s">
        <v>60</v>
      </c>
      <c r="E1023" s="2" t="s">
        <v>15</v>
      </c>
      <c r="F1023" s="6" t="s">
        <v>343</v>
      </c>
      <c r="G1023" s="10">
        <f t="shared" si="45"/>
        <v>2024</v>
      </c>
      <c r="H1023" s="10">
        <f t="shared" si="46"/>
        <v>1</v>
      </c>
      <c r="I1023" s="10">
        <f t="shared" si="47"/>
        <v>13</v>
      </c>
      <c r="J1023" s="9" t="s">
        <v>2601</v>
      </c>
      <c r="K1023" s="2" t="s">
        <v>33</v>
      </c>
      <c r="L1023" s="2">
        <v>176.2</v>
      </c>
      <c r="M1023" s="2" t="s">
        <v>19</v>
      </c>
      <c r="N1023" s="2" t="s">
        <v>26</v>
      </c>
      <c r="O1023" s="2">
        <v>73</v>
      </c>
      <c r="P1023" s="2">
        <v>1</v>
      </c>
    </row>
    <row r="1024" spans="2:16" ht="21" hidden="1" x14ac:dyDescent="0.55000000000000004">
      <c r="B1024" s="2" t="s">
        <v>2602</v>
      </c>
      <c r="C1024" s="2" t="s">
        <v>649</v>
      </c>
      <c r="D1024" s="2" t="s">
        <v>53</v>
      </c>
      <c r="E1024" s="2" t="s">
        <v>61</v>
      </c>
      <c r="F1024" s="6" t="s">
        <v>349</v>
      </c>
      <c r="G1024" s="10">
        <f t="shared" si="45"/>
        <v>2024</v>
      </c>
      <c r="H1024" s="10">
        <f t="shared" si="46"/>
        <v>1</v>
      </c>
      <c r="I1024" s="10">
        <f t="shared" si="47"/>
        <v>12</v>
      </c>
      <c r="J1024" s="9" t="s">
        <v>1933</v>
      </c>
      <c r="K1024" s="2" t="s">
        <v>91</v>
      </c>
      <c r="L1024" s="2">
        <v>365.32</v>
      </c>
      <c r="M1024" s="2" t="s">
        <v>19</v>
      </c>
      <c r="N1024" s="2" t="s">
        <v>41</v>
      </c>
      <c r="O1024" s="2">
        <v>51</v>
      </c>
      <c r="P1024" s="2"/>
    </row>
    <row r="1025" spans="2:16" ht="21" hidden="1" x14ac:dyDescent="0.55000000000000004">
      <c r="B1025" s="2" t="s">
        <v>2603</v>
      </c>
      <c r="C1025" s="2" t="s">
        <v>2604</v>
      </c>
      <c r="D1025" s="2" t="s">
        <v>73</v>
      </c>
      <c r="E1025" s="2" t="s">
        <v>15</v>
      </c>
      <c r="F1025" s="6" t="s">
        <v>97</v>
      </c>
      <c r="G1025" s="10">
        <f t="shared" si="45"/>
        <v>2024</v>
      </c>
      <c r="H1025" s="10">
        <f t="shared" si="46"/>
        <v>1</v>
      </c>
      <c r="I1025" s="10">
        <f t="shared" si="47"/>
        <v>23</v>
      </c>
      <c r="J1025" s="9" t="s">
        <v>1139</v>
      </c>
      <c r="K1025" s="2" t="s">
        <v>91</v>
      </c>
      <c r="L1025" s="2">
        <v>391.3</v>
      </c>
      <c r="M1025" s="2" t="s">
        <v>65</v>
      </c>
      <c r="N1025" s="2" t="s">
        <v>41</v>
      </c>
      <c r="O1025" s="2">
        <v>49</v>
      </c>
      <c r="P1025" s="2"/>
    </row>
    <row r="1026" spans="2:16" ht="21" hidden="1" x14ac:dyDescent="0.55000000000000004">
      <c r="B1026" s="2" t="s">
        <v>2605</v>
      </c>
      <c r="C1026" s="2" t="s">
        <v>2606</v>
      </c>
      <c r="D1026" s="2" t="s">
        <v>68</v>
      </c>
      <c r="E1026" s="2" t="s">
        <v>15</v>
      </c>
      <c r="F1026" s="6" t="s">
        <v>343</v>
      </c>
      <c r="G1026" s="10">
        <f t="shared" si="45"/>
        <v>2024</v>
      </c>
      <c r="H1026" s="10">
        <f t="shared" si="46"/>
        <v>1</v>
      </c>
      <c r="I1026" s="10">
        <f t="shared" si="47"/>
        <v>13</v>
      </c>
      <c r="J1026" s="9" t="s">
        <v>63</v>
      </c>
      <c r="K1026" s="2" t="s">
        <v>77</v>
      </c>
      <c r="L1026" s="2">
        <v>113.07</v>
      </c>
      <c r="M1026" s="2" t="s">
        <v>122</v>
      </c>
      <c r="N1026" s="2" t="s">
        <v>26</v>
      </c>
      <c r="O1026" s="2">
        <v>67</v>
      </c>
      <c r="P1026" s="2">
        <v>2</v>
      </c>
    </row>
    <row r="1027" spans="2:16" ht="21" hidden="1" x14ac:dyDescent="0.55000000000000004">
      <c r="B1027" s="2" t="s">
        <v>2607</v>
      </c>
      <c r="C1027" s="2" t="s">
        <v>2608</v>
      </c>
      <c r="D1027" s="2" t="s">
        <v>44</v>
      </c>
      <c r="E1027" s="2" t="s">
        <v>45</v>
      </c>
      <c r="F1027" s="6" t="s">
        <v>180</v>
      </c>
      <c r="G1027" s="10">
        <f t="shared" si="45"/>
        <v>2024</v>
      </c>
      <c r="H1027" s="10">
        <f t="shared" si="46"/>
        <v>1</v>
      </c>
      <c r="I1027" s="10">
        <f t="shared" si="47"/>
        <v>28</v>
      </c>
      <c r="J1027" s="9" t="s">
        <v>1007</v>
      </c>
      <c r="K1027" s="2" t="s">
        <v>77</v>
      </c>
      <c r="L1027" s="2">
        <v>397.63</v>
      </c>
      <c r="M1027" s="2" t="s">
        <v>65</v>
      </c>
      <c r="N1027" s="2" t="s">
        <v>50</v>
      </c>
      <c r="O1027" s="2">
        <v>40</v>
      </c>
      <c r="P1027" s="2">
        <v>1</v>
      </c>
    </row>
    <row r="1028" spans="2:16" ht="21" hidden="1" x14ac:dyDescent="0.55000000000000004">
      <c r="B1028" s="2" t="s">
        <v>2609</v>
      </c>
      <c r="C1028" s="2" t="s">
        <v>2610</v>
      </c>
      <c r="D1028" s="2" t="s">
        <v>117</v>
      </c>
      <c r="E1028" s="2" t="s">
        <v>61</v>
      </c>
      <c r="F1028" s="6" t="s">
        <v>272</v>
      </c>
      <c r="G1028" s="10">
        <f t="shared" ref="G1028:G1091" si="48">YEAR(F1028)</f>
        <v>2024</v>
      </c>
      <c r="H1028" s="10">
        <f t="shared" ref="H1028:H1091" si="49">MONTH(F1028)</f>
        <v>1</v>
      </c>
      <c r="I1028" s="10">
        <f t="shared" ref="I1028:I1091" si="50">DAY(F1028)</f>
        <v>1</v>
      </c>
      <c r="J1028" s="9" t="s">
        <v>2611</v>
      </c>
      <c r="K1028" s="2" t="s">
        <v>48</v>
      </c>
      <c r="L1028" s="2">
        <v>135.02000000000001</v>
      </c>
      <c r="M1028" s="2" t="s">
        <v>122</v>
      </c>
      <c r="N1028" s="2" t="s">
        <v>26</v>
      </c>
      <c r="O1028" s="2">
        <v>22</v>
      </c>
      <c r="P1028" s="2">
        <v>5</v>
      </c>
    </row>
    <row r="1029" spans="2:16" ht="21" hidden="1" x14ac:dyDescent="0.55000000000000004">
      <c r="B1029" s="2" t="s">
        <v>2612</v>
      </c>
      <c r="C1029" s="2" t="s">
        <v>2613</v>
      </c>
      <c r="D1029" s="2" t="s">
        <v>68</v>
      </c>
      <c r="E1029" s="2" t="s">
        <v>139</v>
      </c>
      <c r="F1029" s="6" t="s">
        <v>272</v>
      </c>
      <c r="G1029" s="10">
        <f t="shared" si="48"/>
        <v>2024</v>
      </c>
      <c r="H1029" s="10">
        <f t="shared" si="49"/>
        <v>1</v>
      </c>
      <c r="I1029" s="10">
        <f t="shared" si="50"/>
        <v>1</v>
      </c>
      <c r="J1029" s="9" t="s">
        <v>843</v>
      </c>
      <c r="K1029" s="2" t="s">
        <v>18</v>
      </c>
      <c r="L1029" s="2">
        <v>289.92</v>
      </c>
      <c r="M1029" s="2" t="s">
        <v>122</v>
      </c>
      <c r="N1029" s="2" t="s">
        <v>50</v>
      </c>
      <c r="O1029" s="2">
        <v>39</v>
      </c>
      <c r="P1029" s="2">
        <v>2</v>
      </c>
    </row>
    <row r="1030" spans="2:16" ht="21" hidden="1" x14ac:dyDescent="0.55000000000000004">
      <c r="B1030" s="2" t="s">
        <v>2614</v>
      </c>
      <c r="C1030" s="2" t="s">
        <v>1089</v>
      </c>
      <c r="D1030" s="2" t="s">
        <v>68</v>
      </c>
      <c r="E1030" s="2" t="s">
        <v>61</v>
      </c>
      <c r="F1030" s="6" t="s">
        <v>69</v>
      </c>
      <c r="G1030" s="10">
        <f t="shared" si="48"/>
        <v>2024</v>
      </c>
      <c r="H1030" s="10">
        <f t="shared" si="49"/>
        <v>1</v>
      </c>
      <c r="I1030" s="10">
        <f t="shared" si="50"/>
        <v>27</v>
      </c>
      <c r="J1030" s="9" t="s">
        <v>378</v>
      </c>
      <c r="K1030" s="2" t="s">
        <v>33</v>
      </c>
      <c r="L1030" s="2">
        <v>245.09</v>
      </c>
      <c r="M1030" s="2" t="s">
        <v>49</v>
      </c>
      <c r="N1030" s="2" t="s">
        <v>50</v>
      </c>
      <c r="O1030" s="2">
        <v>50</v>
      </c>
      <c r="P1030" s="2">
        <v>1</v>
      </c>
    </row>
    <row r="1031" spans="2:16" ht="21" hidden="1" x14ac:dyDescent="0.55000000000000004">
      <c r="B1031" s="2" t="s">
        <v>2615</v>
      </c>
      <c r="C1031" s="2" t="s">
        <v>2616</v>
      </c>
      <c r="D1031" s="2" t="s">
        <v>60</v>
      </c>
      <c r="E1031" s="2" t="s">
        <v>80</v>
      </c>
      <c r="F1031" s="6" t="s">
        <v>55</v>
      </c>
      <c r="G1031" s="10">
        <f t="shared" si="48"/>
        <v>2024</v>
      </c>
      <c r="H1031" s="10">
        <f t="shared" si="49"/>
        <v>1</v>
      </c>
      <c r="I1031" s="10">
        <f t="shared" si="50"/>
        <v>8</v>
      </c>
      <c r="J1031" s="9" t="s">
        <v>235</v>
      </c>
      <c r="K1031" s="2" t="s">
        <v>57</v>
      </c>
      <c r="L1031" s="2">
        <v>339.3</v>
      </c>
      <c r="M1031" s="2" t="s">
        <v>19</v>
      </c>
      <c r="N1031" s="2" t="s">
        <v>20</v>
      </c>
      <c r="O1031" s="2">
        <v>58</v>
      </c>
      <c r="P1031" s="2">
        <v>4</v>
      </c>
    </row>
    <row r="1032" spans="2:16" ht="21" hidden="1" x14ac:dyDescent="0.55000000000000004">
      <c r="B1032" s="2" t="s">
        <v>2617</v>
      </c>
      <c r="C1032" s="2" t="s">
        <v>2618</v>
      </c>
      <c r="D1032" s="2" t="s">
        <v>117</v>
      </c>
      <c r="E1032" s="2" t="s">
        <v>74</v>
      </c>
      <c r="F1032" s="6" t="s">
        <v>349</v>
      </c>
      <c r="G1032" s="10">
        <f t="shared" si="48"/>
        <v>2024</v>
      </c>
      <c r="H1032" s="10">
        <f t="shared" si="49"/>
        <v>1</v>
      </c>
      <c r="I1032" s="10">
        <f t="shared" si="50"/>
        <v>12</v>
      </c>
      <c r="J1032" s="9" t="s">
        <v>1496</v>
      </c>
      <c r="K1032" s="2" t="s">
        <v>18</v>
      </c>
      <c r="L1032" s="2">
        <v>482.6</v>
      </c>
      <c r="M1032" s="2" t="s">
        <v>49</v>
      </c>
      <c r="N1032" s="2" t="s">
        <v>41</v>
      </c>
      <c r="O1032" s="2">
        <v>87</v>
      </c>
      <c r="P1032" s="2">
        <v>3</v>
      </c>
    </row>
    <row r="1033" spans="2:16" ht="21" hidden="1" x14ac:dyDescent="0.55000000000000004">
      <c r="B1033" s="2" t="s">
        <v>2619</v>
      </c>
      <c r="C1033" s="2" t="s">
        <v>2620</v>
      </c>
      <c r="D1033" s="2" t="s">
        <v>23</v>
      </c>
      <c r="E1033" s="2" t="s">
        <v>37</v>
      </c>
      <c r="F1033" s="6" t="s">
        <v>97</v>
      </c>
      <c r="G1033" s="10">
        <f t="shared" si="48"/>
        <v>2024</v>
      </c>
      <c r="H1033" s="10">
        <f t="shared" si="49"/>
        <v>1</v>
      </c>
      <c r="I1033" s="10">
        <f t="shared" si="50"/>
        <v>23</v>
      </c>
      <c r="J1033" s="9" t="s">
        <v>1287</v>
      </c>
      <c r="K1033" s="2" t="s">
        <v>77</v>
      </c>
      <c r="L1033" s="2">
        <v>351.39</v>
      </c>
      <c r="M1033" s="2" t="s">
        <v>65</v>
      </c>
      <c r="N1033" s="2" t="s">
        <v>26</v>
      </c>
      <c r="O1033" s="2">
        <v>90</v>
      </c>
      <c r="P1033" s="2">
        <v>5</v>
      </c>
    </row>
    <row r="1034" spans="2:16" ht="21" hidden="1" x14ac:dyDescent="0.55000000000000004">
      <c r="B1034" s="2" t="s">
        <v>2621</v>
      </c>
      <c r="C1034" s="2" t="s">
        <v>2589</v>
      </c>
      <c r="D1034" s="2" t="s">
        <v>106</v>
      </c>
      <c r="E1034" s="2" t="s">
        <v>139</v>
      </c>
      <c r="F1034" s="6" t="s">
        <v>102</v>
      </c>
      <c r="G1034" s="10">
        <f t="shared" si="48"/>
        <v>2024</v>
      </c>
      <c r="H1034" s="10">
        <f t="shared" si="49"/>
        <v>1</v>
      </c>
      <c r="I1034" s="10">
        <f t="shared" si="50"/>
        <v>26</v>
      </c>
      <c r="J1034" s="9" t="s">
        <v>323</v>
      </c>
      <c r="K1034" s="2" t="s">
        <v>40</v>
      </c>
      <c r="L1034" s="2">
        <v>162.22</v>
      </c>
      <c r="M1034" s="2" t="s">
        <v>49</v>
      </c>
      <c r="N1034" s="2" t="s">
        <v>50</v>
      </c>
      <c r="O1034" s="2">
        <v>39</v>
      </c>
      <c r="P1034" s="2"/>
    </row>
    <row r="1035" spans="2:16" ht="21" hidden="1" x14ac:dyDescent="0.55000000000000004">
      <c r="B1035" s="2" t="s">
        <v>2622</v>
      </c>
      <c r="C1035" s="2" t="s">
        <v>2623</v>
      </c>
      <c r="D1035" s="2" t="s">
        <v>14</v>
      </c>
      <c r="E1035" s="2" t="s">
        <v>37</v>
      </c>
      <c r="F1035" s="6" t="s">
        <v>129</v>
      </c>
      <c r="G1035" s="10">
        <f t="shared" si="48"/>
        <v>2024</v>
      </c>
      <c r="H1035" s="10">
        <f t="shared" si="49"/>
        <v>1</v>
      </c>
      <c r="I1035" s="10">
        <f t="shared" si="50"/>
        <v>19</v>
      </c>
      <c r="J1035" s="9" t="s">
        <v>1447</v>
      </c>
      <c r="K1035" s="2" t="s">
        <v>33</v>
      </c>
      <c r="L1035" s="2">
        <v>248.11</v>
      </c>
      <c r="M1035" s="2" t="s">
        <v>122</v>
      </c>
      <c r="N1035" s="2" t="s">
        <v>50</v>
      </c>
      <c r="O1035" s="2">
        <v>85</v>
      </c>
      <c r="P1035" s="2">
        <v>5</v>
      </c>
    </row>
    <row r="1036" spans="2:16" ht="21" hidden="1" x14ac:dyDescent="0.55000000000000004">
      <c r="B1036" s="2" t="s">
        <v>2624</v>
      </c>
      <c r="C1036" s="2" t="s">
        <v>2625</v>
      </c>
      <c r="D1036" s="2" t="s">
        <v>68</v>
      </c>
      <c r="E1036" s="2" t="s">
        <v>45</v>
      </c>
      <c r="F1036" s="6" t="s">
        <v>69</v>
      </c>
      <c r="G1036" s="10">
        <f t="shared" si="48"/>
        <v>2024</v>
      </c>
      <c r="H1036" s="10">
        <f t="shared" si="49"/>
        <v>1</v>
      </c>
      <c r="I1036" s="10">
        <f t="shared" si="50"/>
        <v>27</v>
      </c>
      <c r="J1036" s="9" t="s">
        <v>2626</v>
      </c>
      <c r="K1036" s="2" t="s">
        <v>64</v>
      </c>
      <c r="L1036" s="2">
        <v>216.73</v>
      </c>
      <c r="M1036" s="2" t="s">
        <v>122</v>
      </c>
      <c r="N1036" s="2" t="s">
        <v>41</v>
      </c>
      <c r="O1036" s="2">
        <v>39</v>
      </c>
      <c r="P1036" s="2">
        <v>4</v>
      </c>
    </row>
    <row r="1037" spans="2:16" ht="21" hidden="1" x14ac:dyDescent="0.55000000000000004">
      <c r="B1037" s="2" t="s">
        <v>2627</v>
      </c>
      <c r="C1037" s="2" t="s">
        <v>2628</v>
      </c>
      <c r="D1037" s="2" t="s">
        <v>44</v>
      </c>
      <c r="E1037" s="2" t="s">
        <v>37</v>
      </c>
      <c r="F1037" s="6" t="s">
        <v>140</v>
      </c>
      <c r="G1037" s="10">
        <f t="shared" si="48"/>
        <v>2024</v>
      </c>
      <c r="H1037" s="10">
        <f t="shared" si="49"/>
        <v>1</v>
      </c>
      <c r="I1037" s="10">
        <f t="shared" si="50"/>
        <v>29</v>
      </c>
      <c r="J1037" s="9" t="s">
        <v>190</v>
      </c>
      <c r="K1037" s="2" t="s">
        <v>33</v>
      </c>
      <c r="L1037" s="2">
        <v>358.69</v>
      </c>
      <c r="M1037" s="2" t="s">
        <v>65</v>
      </c>
      <c r="N1037" s="2" t="s">
        <v>20</v>
      </c>
      <c r="O1037" s="2">
        <v>90</v>
      </c>
      <c r="P1037" s="2">
        <v>2</v>
      </c>
    </row>
    <row r="1038" spans="2:16" ht="21" hidden="1" x14ac:dyDescent="0.55000000000000004">
      <c r="B1038" s="2" t="s">
        <v>2629</v>
      </c>
      <c r="C1038" s="2" t="s">
        <v>2630</v>
      </c>
      <c r="D1038" s="2" t="s">
        <v>14</v>
      </c>
      <c r="E1038" s="2" t="s">
        <v>80</v>
      </c>
      <c r="F1038" s="6" t="s">
        <v>317</v>
      </c>
      <c r="G1038" s="10">
        <f t="shared" si="48"/>
        <v>2024</v>
      </c>
      <c r="H1038" s="10">
        <f t="shared" si="49"/>
        <v>1</v>
      </c>
      <c r="I1038" s="10">
        <f t="shared" si="50"/>
        <v>3</v>
      </c>
      <c r="J1038" s="9" t="s">
        <v>126</v>
      </c>
      <c r="K1038" s="2" t="s">
        <v>91</v>
      </c>
      <c r="L1038" s="2">
        <v>356.03</v>
      </c>
      <c r="M1038" s="2" t="s">
        <v>65</v>
      </c>
      <c r="N1038" s="2" t="s">
        <v>50</v>
      </c>
      <c r="O1038" s="2">
        <v>48</v>
      </c>
      <c r="P1038" s="2">
        <v>1</v>
      </c>
    </row>
    <row r="1039" spans="2:16" ht="21" hidden="1" x14ac:dyDescent="0.55000000000000004">
      <c r="B1039" s="2" t="s">
        <v>2631</v>
      </c>
      <c r="C1039" s="2" t="s">
        <v>2632</v>
      </c>
      <c r="D1039" s="2" t="s">
        <v>14</v>
      </c>
      <c r="E1039" s="2" t="s">
        <v>125</v>
      </c>
      <c r="F1039" s="6" t="s">
        <v>69</v>
      </c>
      <c r="G1039" s="10">
        <f t="shared" si="48"/>
        <v>2024</v>
      </c>
      <c r="H1039" s="10">
        <f t="shared" si="49"/>
        <v>1</v>
      </c>
      <c r="I1039" s="10">
        <f t="shared" si="50"/>
        <v>27</v>
      </c>
      <c r="J1039" s="9" t="s">
        <v>2492</v>
      </c>
      <c r="K1039" s="2" t="s">
        <v>48</v>
      </c>
      <c r="L1039" s="2">
        <v>350.95</v>
      </c>
      <c r="M1039" s="2" t="s">
        <v>65</v>
      </c>
      <c r="N1039" s="2" t="s">
        <v>26</v>
      </c>
      <c r="O1039" s="2">
        <v>32</v>
      </c>
      <c r="P1039" s="2">
        <v>2</v>
      </c>
    </row>
    <row r="1040" spans="2:16" ht="21" hidden="1" x14ac:dyDescent="0.55000000000000004">
      <c r="B1040" s="2" t="s">
        <v>2633</v>
      </c>
      <c r="C1040" s="2" t="s">
        <v>2634</v>
      </c>
      <c r="D1040" s="2" t="s">
        <v>117</v>
      </c>
      <c r="E1040" s="2" t="s">
        <v>61</v>
      </c>
      <c r="F1040" s="6" t="s">
        <v>349</v>
      </c>
      <c r="G1040" s="10">
        <f t="shared" si="48"/>
        <v>2024</v>
      </c>
      <c r="H1040" s="10">
        <f t="shared" si="49"/>
        <v>1</v>
      </c>
      <c r="I1040" s="10">
        <f t="shared" si="50"/>
        <v>12</v>
      </c>
      <c r="J1040" s="9" t="s">
        <v>1290</v>
      </c>
      <c r="K1040" s="2" t="s">
        <v>57</v>
      </c>
      <c r="L1040" s="2">
        <v>499.04</v>
      </c>
      <c r="M1040" s="2" t="s">
        <v>65</v>
      </c>
      <c r="N1040" s="2" t="s">
        <v>50</v>
      </c>
      <c r="O1040" s="2">
        <v>63</v>
      </c>
      <c r="P1040" s="2">
        <v>2</v>
      </c>
    </row>
    <row r="1041" spans="2:16" ht="21" hidden="1" x14ac:dyDescent="0.55000000000000004">
      <c r="B1041" s="2" t="s">
        <v>2635</v>
      </c>
      <c r="C1041" s="2" t="s">
        <v>2636</v>
      </c>
      <c r="D1041" s="2" t="s">
        <v>60</v>
      </c>
      <c r="E1041" s="2" t="s">
        <v>45</v>
      </c>
      <c r="F1041" s="6" t="s">
        <v>161</v>
      </c>
      <c r="G1041" s="10">
        <f t="shared" si="48"/>
        <v>2024</v>
      </c>
      <c r="H1041" s="10">
        <f t="shared" si="49"/>
        <v>1</v>
      </c>
      <c r="I1041" s="10">
        <f t="shared" si="50"/>
        <v>5</v>
      </c>
      <c r="J1041" s="9" t="s">
        <v>1036</v>
      </c>
      <c r="K1041" s="2" t="s">
        <v>77</v>
      </c>
      <c r="L1041" s="2">
        <v>433.01</v>
      </c>
      <c r="M1041" s="2" t="s">
        <v>65</v>
      </c>
      <c r="N1041" s="2" t="s">
        <v>26</v>
      </c>
      <c r="O1041" s="2">
        <v>24</v>
      </c>
      <c r="P1041" s="2">
        <v>5</v>
      </c>
    </row>
    <row r="1042" spans="2:16" ht="21" hidden="1" x14ac:dyDescent="0.55000000000000004">
      <c r="B1042" s="2" t="s">
        <v>2637</v>
      </c>
      <c r="C1042" s="2" t="s">
        <v>2638</v>
      </c>
      <c r="D1042" s="2" t="s">
        <v>53</v>
      </c>
      <c r="E1042" s="2" t="s">
        <v>139</v>
      </c>
      <c r="F1042" s="6" t="s">
        <v>129</v>
      </c>
      <c r="G1042" s="10">
        <f t="shared" si="48"/>
        <v>2024</v>
      </c>
      <c r="H1042" s="10">
        <f t="shared" si="49"/>
        <v>1</v>
      </c>
      <c r="I1042" s="10">
        <f t="shared" si="50"/>
        <v>19</v>
      </c>
      <c r="J1042" s="9" t="s">
        <v>2639</v>
      </c>
      <c r="K1042" s="2" t="s">
        <v>77</v>
      </c>
      <c r="L1042" s="2">
        <v>89.74</v>
      </c>
      <c r="M1042" s="2" t="s">
        <v>19</v>
      </c>
      <c r="N1042" s="2" t="s">
        <v>20</v>
      </c>
      <c r="O1042" s="2">
        <v>37</v>
      </c>
      <c r="P1042" s="2">
        <v>2</v>
      </c>
    </row>
    <row r="1043" spans="2:16" ht="21" hidden="1" x14ac:dyDescent="0.55000000000000004">
      <c r="B1043" s="2" t="s">
        <v>2640</v>
      </c>
      <c r="C1043" s="2" t="s">
        <v>2641</v>
      </c>
      <c r="D1043" s="2" t="s">
        <v>44</v>
      </c>
      <c r="E1043" s="2" t="s">
        <v>80</v>
      </c>
      <c r="F1043" s="6" t="s">
        <v>62</v>
      </c>
      <c r="G1043" s="10">
        <f t="shared" si="48"/>
        <v>2024</v>
      </c>
      <c r="H1043" s="10">
        <f t="shared" si="49"/>
        <v>1</v>
      </c>
      <c r="I1043" s="10">
        <f t="shared" si="50"/>
        <v>31</v>
      </c>
      <c r="J1043" s="9" t="s">
        <v>1641</v>
      </c>
      <c r="K1043" s="2" t="s">
        <v>18</v>
      </c>
      <c r="L1043" s="2">
        <v>494.19</v>
      </c>
      <c r="M1043" s="2" t="s">
        <v>122</v>
      </c>
      <c r="N1043" s="2" t="s">
        <v>26</v>
      </c>
      <c r="O1043" s="2">
        <v>82</v>
      </c>
      <c r="P1043" s="2">
        <v>2</v>
      </c>
    </row>
    <row r="1044" spans="2:16" ht="21" hidden="1" x14ac:dyDescent="0.55000000000000004">
      <c r="B1044" s="2" t="s">
        <v>2642</v>
      </c>
      <c r="C1044" s="2" t="s">
        <v>2643</v>
      </c>
      <c r="D1044" s="2" t="s">
        <v>117</v>
      </c>
      <c r="E1044" s="2" t="s">
        <v>15</v>
      </c>
      <c r="F1044" s="6" t="s">
        <v>113</v>
      </c>
      <c r="G1044" s="10">
        <f t="shared" si="48"/>
        <v>2024</v>
      </c>
      <c r="H1044" s="10">
        <f t="shared" si="49"/>
        <v>1</v>
      </c>
      <c r="I1044" s="10">
        <f t="shared" si="50"/>
        <v>15</v>
      </c>
      <c r="J1044" s="9" t="s">
        <v>1815</v>
      </c>
      <c r="K1044" s="2" t="s">
        <v>33</v>
      </c>
      <c r="L1044" s="2">
        <v>142.55000000000001</v>
      </c>
      <c r="M1044" s="2" t="s">
        <v>122</v>
      </c>
      <c r="N1044" s="2" t="s">
        <v>20</v>
      </c>
      <c r="O1044" s="2">
        <v>29</v>
      </c>
      <c r="P1044" s="2">
        <v>1</v>
      </c>
    </row>
    <row r="1045" spans="2:16" ht="21" hidden="1" x14ac:dyDescent="0.55000000000000004">
      <c r="B1045" s="2" t="s">
        <v>2644</v>
      </c>
      <c r="C1045" s="2" t="s">
        <v>2645</v>
      </c>
      <c r="D1045" s="2" t="s">
        <v>117</v>
      </c>
      <c r="E1045" s="2" t="s">
        <v>139</v>
      </c>
      <c r="F1045" s="6" t="s">
        <v>31</v>
      </c>
      <c r="G1045" s="10">
        <f t="shared" si="48"/>
        <v>2024</v>
      </c>
      <c r="H1045" s="10">
        <f t="shared" si="49"/>
        <v>1</v>
      </c>
      <c r="I1045" s="10">
        <f t="shared" si="50"/>
        <v>14</v>
      </c>
      <c r="J1045" s="9" t="s">
        <v>846</v>
      </c>
      <c r="K1045" s="2" t="s">
        <v>64</v>
      </c>
      <c r="L1045" s="2">
        <v>256.64999999999998</v>
      </c>
      <c r="M1045" s="2" t="s">
        <v>65</v>
      </c>
      <c r="N1045" s="2" t="s">
        <v>26</v>
      </c>
      <c r="O1045" s="2">
        <v>19</v>
      </c>
      <c r="P1045" s="2">
        <v>5</v>
      </c>
    </row>
    <row r="1046" spans="2:16" ht="21" hidden="1" x14ac:dyDescent="0.55000000000000004">
      <c r="B1046" s="2" t="s">
        <v>2646</v>
      </c>
      <c r="C1046" s="2" t="s">
        <v>2647</v>
      </c>
      <c r="D1046" s="2" t="s">
        <v>14</v>
      </c>
      <c r="E1046" s="2" t="s">
        <v>74</v>
      </c>
      <c r="F1046" s="6" t="s">
        <v>140</v>
      </c>
      <c r="G1046" s="10">
        <f t="shared" si="48"/>
        <v>2024</v>
      </c>
      <c r="H1046" s="10">
        <f t="shared" si="49"/>
        <v>1</v>
      </c>
      <c r="I1046" s="10">
        <f t="shared" si="50"/>
        <v>29</v>
      </c>
      <c r="J1046" s="9" t="s">
        <v>1496</v>
      </c>
      <c r="K1046" s="2" t="s">
        <v>18</v>
      </c>
      <c r="L1046" s="2">
        <v>358.12</v>
      </c>
      <c r="M1046" s="2" t="s">
        <v>122</v>
      </c>
      <c r="N1046" s="2" t="s">
        <v>20</v>
      </c>
      <c r="O1046" s="2">
        <v>88</v>
      </c>
      <c r="P1046" s="2"/>
    </row>
    <row r="1047" spans="2:16" ht="21" x14ac:dyDescent="0.55000000000000004">
      <c r="B1047" s="2" t="s">
        <v>2648</v>
      </c>
      <c r="C1047" s="2" t="s">
        <v>2649</v>
      </c>
      <c r="D1047" s="2" t="s">
        <v>73</v>
      </c>
      <c r="E1047" s="2" t="s">
        <v>54</v>
      </c>
      <c r="F1047" s="6" t="s">
        <v>31</v>
      </c>
      <c r="G1047" s="10">
        <f t="shared" si="48"/>
        <v>2024</v>
      </c>
      <c r="H1047" s="10">
        <f t="shared" si="49"/>
        <v>1</v>
      </c>
      <c r="I1047" s="10">
        <f t="shared" si="50"/>
        <v>14</v>
      </c>
      <c r="J1047" s="9" t="s">
        <v>1096</v>
      </c>
      <c r="K1047" s="2" t="s">
        <v>57</v>
      </c>
      <c r="L1047" s="2">
        <v>499.77</v>
      </c>
      <c r="M1047" s="2" t="s">
        <v>65</v>
      </c>
      <c r="N1047" s="2" t="s">
        <v>20</v>
      </c>
      <c r="O1047" s="2">
        <v>60</v>
      </c>
      <c r="P1047" s="2">
        <v>2</v>
      </c>
    </row>
    <row r="1048" spans="2:16" ht="21" hidden="1" x14ac:dyDescent="0.55000000000000004">
      <c r="B1048" s="2" t="s">
        <v>2650</v>
      </c>
      <c r="C1048" s="2" t="s">
        <v>2651</v>
      </c>
      <c r="D1048" s="2" t="s">
        <v>23</v>
      </c>
      <c r="E1048" s="2" t="s">
        <v>37</v>
      </c>
      <c r="F1048" s="6" t="s">
        <v>46</v>
      </c>
      <c r="G1048" s="10">
        <f t="shared" si="48"/>
        <v>2024</v>
      </c>
      <c r="H1048" s="10">
        <f t="shared" si="49"/>
        <v>1</v>
      </c>
      <c r="I1048" s="10">
        <f t="shared" si="50"/>
        <v>17</v>
      </c>
      <c r="J1048" s="9" t="s">
        <v>866</v>
      </c>
      <c r="K1048" s="2" t="s">
        <v>40</v>
      </c>
      <c r="L1048" s="2">
        <v>490.61</v>
      </c>
      <c r="M1048" s="2" t="s">
        <v>19</v>
      </c>
      <c r="N1048" s="2" t="s">
        <v>26</v>
      </c>
      <c r="O1048" s="2">
        <v>21</v>
      </c>
      <c r="P1048" s="2">
        <v>4</v>
      </c>
    </row>
    <row r="1049" spans="2:16" ht="21" hidden="1" x14ac:dyDescent="0.55000000000000004">
      <c r="B1049" s="2" t="s">
        <v>2652</v>
      </c>
      <c r="C1049" s="2" t="s">
        <v>2653</v>
      </c>
      <c r="D1049" s="2" t="s">
        <v>44</v>
      </c>
      <c r="E1049" s="2" t="s">
        <v>89</v>
      </c>
      <c r="F1049" s="6" t="s">
        <v>154</v>
      </c>
      <c r="G1049" s="10">
        <f t="shared" si="48"/>
        <v>2024</v>
      </c>
      <c r="H1049" s="10">
        <f t="shared" si="49"/>
        <v>1</v>
      </c>
      <c r="I1049" s="10">
        <f t="shared" si="50"/>
        <v>22</v>
      </c>
      <c r="J1049" s="9" t="s">
        <v>2548</v>
      </c>
      <c r="K1049" s="2" t="s">
        <v>33</v>
      </c>
      <c r="L1049" s="2">
        <v>84.83</v>
      </c>
      <c r="M1049" s="2" t="s">
        <v>19</v>
      </c>
      <c r="N1049" s="2" t="s">
        <v>41</v>
      </c>
      <c r="O1049" s="2">
        <v>31</v>
      </c>
      <c r="P1049" s="2">
        <v>4</v>
      </c>
    </row>
    <row r="1050" spans="2:16" ht="21" hidden="1" x14ac:dyDescent="0.55000000000000004">
      <c r="B1050" s="2" t="s">
        <v>2654</v>
      </c>
      <c r="C1050" s="2" t="s">
        <v>2655</v>
      </c>
      <c r="D1050" s="2" t="s">
        <v>44</v>
      </c>
      <c r="E1050" s="2" t="s">
        <v>80</v>
      </c>
      <c r="F1050" s="6" t="s">
        <v>154</v>
      </c>
      <c r="G1050" s="10">
        <f t="shared" si="48"/>
        <v>2024</v>
      </c>
      <c r="H1050" s="10">
        <f t="shared" si="49"/>
        <v>1</v>
      </c>
      <c r="I1050" s="10">
        <f t="shared" si="50"/>
        <v>22</v>
      </c>
      <c r="J1050" s="9" t="s">
        <v>1136</v>
      </c>
      <c r="K1050" s="2" t="s">
        <v>91</v>
      </c>
      <c r="L1050" s="2">
        <v>331.03</v>
      </c>
      <c r="M1050" s="2" t="s">
        <v>19</v>
      </c>
      <c r="N1050" s="2" t="s">
        <v>41</v>
      </c>
      <c r="O1050" s="2">
        <v>16</v>
      </c>
      <c r="P1050" s="2">
        <v>1</v>
      </c>
    </row>
    <row r="1051" spans="2:16" ht="21" hidden="1" x14ac:dyDescent="0.55000000000000004">
      <c r="B1051" s="2" t="s">
        <v>2656</v>
      </c>
      <c r="C1051" s="2" t="s">
        <v>2657</v>
      </c>
      <c r="D1051" s="2" t="s">
        <v>23</v>
      </c>
      <c r="E1051" s="2" t="s">
        <v>45</v>
      </c>
      <c r="F1051" s="6" t="s">
        <v>161</v>
      </c>
      <c r="G1051" s="10">
        <f t="shared" si="48"/>
        <v>2024</v>
      </c>
      <c r="H1051" s="10">
        <f t="shared" si="49"/>
        <v>1</v>
      </c>
      <c r="I1051" s="10">
        <f t="shared" si="50"/>
        <v>5</v>
      </c>
      <c r="J1051" s="9" t="s">
        <v>1499</v>
      </c>
      <c r="K1051" s="2" t="s">
        <v>77</v>
      </c>
      <c r="L1051" s="2">
        <v>408.95</v>
      </c>
      <c r="M1051" s="2" t="s">
        <v>49</v>
      </c>
      <c r="N1051" s="2" t="s">
        <v>50</v>
      </c>
      <c r="O1051" s="2">
        <v>17</v>
      </c>
      <c r="P1051" s="2">
        <v>1</v>
      </c>
    </row>
    <row r="1052" spans="2:16" ht="21" x14ac:dyDescent="0.55000000000000004">
      <c r="B1052" s="2" t="s">
        <v>2658</v>
      </c>
      <c r="C1052" s="2" t="s">
        <v>2659</v>
      </c>
      <c r="D1052" s="2" t="s">
        <v>23</v>
      </c>
      <c r="E1052" s="2" t="s">
        <v>54</v>
      </c>
      <c r="F1052" s="6" t="s">
        <v>97</v>
      </c>
      <c r="G1052" s="10">
        <f t="shared" si="48"/>
        <v>2024</v>
      </c>
      <c r="H1052" s="10">
        <f t="shared" si="49"/>
        <v>1</v>
      </c>
      <c r="I1052" s="10">
        <f t="shared" si="50"/>
        <v>23</v>
      </c>
      <c r="J1052" s="9" t="s">
        <v>2083</v>
      </c>
      <c r="K1052" s="2" t="s">
        <v>33</v>
      </c>
      <c r="L1052" s="2">
        <v>74.05</v>
      </c>
      <c r="M1052" s="2" t="s">
        <v>65</v>
      </c>
      <c r="N1052" s="2" t="s">
        <v>41</v>
      </c>
      <c r="O1052" s="2">
        <v>34</v>
      </c>
      <c r="P1052" s="2">
        <v>4</v>
      </c>
    </row>
    <row r="1053" spans="2:16" ht="21" hidden="1" x14ac:dyDescent="0.55000000000000004">
      <c r="B1053" s="2" t="s">
        <v>2660</v>
      </c>
      <c r="C1053" s="2" t="s">
        <v>2661</v>
      </c>
      <c r="D1053" s="2" t="s">
        <v>106</v>
      </c>
      <c r="E1053" s="2" t="s">
        <v>125</v>
      </c>
      <c r="F1053" s="6" t="s">
        <v>343</v>
      </c>
      <c r="G1053" s="10">
        <f t="shared" si="48"/>
        <v>2024</v>
      </c>
      <c r="H1053" s="10">
        <f t="shared" si="49"/>
        <v>1</v>
      </c>
      <c r="I1053" s="10">
        <f t="shared" si="50"/>
        <v>13</v>
      </c>
      <c r="J1053" s="9" t="s">
        <v>1933</v>
      </c>
      <c r="K1053" s="2" t="s">
        <v>57</v>
      </c>
      <c r="L1053" s="2">
        <v>283.5</v>
      </c>
      <c r="M1053" s="2" t="s">
        <v>122</v>
      </c>
      <c r="N1053" s="2" t="s">
        <v>20</v>
      </c>
      <c r="O1053" s="2">
        <v>90</v>
      </c>
      <c r="P1053" s="2">
        <v>2</v>
      </c>
    </row>
    <row r="1054" spans="2:16" ht="21" hidden="1" x14ac:dyDescent="0.55000000000000004">
      <c r="B1054" s="2" t="s">
        <v>2662</v>
      </c>
      <c r="C1054" s="2" t="s">
        <v>2115</v>
      </c>
      <c r="D1054" s="2" t="s">
        <v>23</v>
      </c>
      <c r="E1054" s="2" t="s">
        <v>80</v>
      </c>
      <c r="F1054" s="6" t="s">
        <v>102</v>
      </c>
      <c r="G1054" s="10">
        <f t="shared" si="48"/>
        <v>2024</v>
      </c>
      <c r="H1054" s="10">
        <f t="shared" si="49"/>
        <v>1</v>
      </c>
      <c r="I1054" s="10">
        <f t="shared" si="50"/>
        <v>26</v>
      </c>
      <c r="J1054" s="9" t="s">
        <v>1363</v>
      </c>
      <c r="K1054" s="2" t="s">
        <v>57</v>
      </c>
      <c r="L1054" s="2">
        <v>321.62</v>
      </c>
      <c r="M1054" s="2" t="s">
        <v>49</v>
      </c>
      <c r="N1054" s="2" t="s">
        <v>26</v>
      </c>
      <c r="O1054" s="2">
        <v>41</v>
      </c>
      <c r="P1054" s="2">
        <v>3</v>
      </c>
    </row>
    <row r="1055" spans="2:16" ht="21" hidden="1" x14ac:dyDescent="0.55000000000000004">
      <c r="B1055" s="2" t="s">
        <v>2663</v>
      </c>
      <c r="C1055" s="2" t="s">
        <v>2664</v>
      </c>
      <c r="D1055" s="2" t="s">
        <v>23</v>
      </c>
      <c r="E1055" s="2" t="s">
        <v>74</v>
      </c>
      <c r="F1055" s="6" t="s">
        <v>16</v>
      </c>
      <c r="G1055" s="10">
        <f t="shared" si="48"/>
        <v>2024</v>
      </c>
      <c r="H1055" s="10">
        <f t="shared" si="49"/>
        <v>1</v>
      </c>
      <c r="I1055" s="10">
        <f t="shared" si="50"/>
        <v>9</v>
      </c>
      <c r="J1055" s="9" t="s">
        <v>2033</v>
      </c>
      <c r="K1055" s="2" t="s">
        <v>91</v>
      </c>
      <c r="L1055" s="2">
        <v>176.34</v>
      </c>
      <c r="M1055" s="2" t="s">
        <v>65</v>
      </c>
      <c r="N1055" s="2" t="s">
        <v>50</v>
      </c>
      <c r="O1055" s="2">
        <v>29</v>
      </c>
      <c r="P1055" s="2">
        <v>5</v>
      </c>
    </row>
    <row r="1056" spans="2:16" ht="21" x14ac:dyDescent="0.55000000000000004">
      <c r="B1056" s="2" t="s">
        <v>2665</v>
      </c>
      <c r="C1056" s="2" t="s">
        <v>2666</v>
      </c>
      <c r="D1056" s="2" t="s">
        <v>60</v>
      </c>
      <c r="E1056" s="2" t="s">
        <v>54</v>
      </c>
      <c r="F1056" s="6" t="s">
        <v>317</v>
      </c>
      <c r="G1056" s="10">
        <f t="shared" si="48"/>
        <v>2024</v>
      </c>
      <c r="H1056" s="10">
        <f t="shared" si="49"/>
        <v>1</v>
      </c>
      <c r="I1056" s="10">
        <f t="shared" si="50"/>
        <v>3</v>
      </c>
      <c r="J1056" s="9" t="s">
        <v>1136</v>
      </c>
      <c r="K1056" s="2" t="s">
        <v>40</v>
      </c>
      <c r="L1056" s="2">
        <v>257.2</v>
      </c>
      <c r="M1056" s="2" t="s">
        <v>49</v>
      </c>
      <c r="N1056" s="2" t="s">
        <v>26</v>
      </c>
      <c r="O1056" s="2">
        <v>86</v>
      </c>
      <c r="P1056" s="2">
        <v>5</v>
      </c>
    </row>
    <row r="1057" spans="2:16" ht="21" hidden="1" x14ac:dyDescent="0.55000000000000004">
      <c r="B1057" s="2" t="s">
        <v>2667</v>
      </c>
      <c r="C1057" s="2" t="s">
        <v>2668</v>
      </c>
      <c r="D1057" s="2" t="s">
        <v>60</v>
      </c>
      <c r="E1057" s="2" t="s">
        <v>61</v>
      </c>
      <c r="F1057" s="6" t="s">
        <v>97</v>
      </c>
      <c r="G1057" s="10">
        <f t="shared" si="48"/>
        <v>2024</v>
      </c>
      <c r="H1057" s="10">
        <f t="shared" si="49"/>
        <v>1</v>
      </c>
      <c r="I1057" s="10">
        <f t="shared" si="50"/>
        <v>23</v>
      </c>
      <c r="J1057" s="9" t="s">
        <v>2669</v>
      </c>
      <c r="K1057" s="2" t="s">
        <v>57</v>
      </c>
      <c r="L1057" s="2">
        <v>481.73</v>
      </c>
      <c r="M1057" s="2" t="s">
        <v>65</v>
      </c>
      <c r="N1057" s="2" t="s">
        <v>20</v>
      </c>
      <c r="O1057" s="2">
        <v>33</v>
      </c>
      <c r="P1057" s="2">
        <v>4</v>
      </c>
    </row>
    <row r="1058" spans="2:16" ht="21" hidden="1" x14ac:dyDescent="0.55000000000000004">
      <c r="B1058" s="2" t="s">
        <v>2670</v>
      </c>
      <c r="C1058" s="2" t="s">
        <v>2671</v>
      </c>
      <c r="D1058" s="2" t="s">
        <v>23</v>
      </c>
      <c r="E1058" s="2" t="s">
        <v>37</v>
      </c>
      <c r="F1058" s="6" t="s">
        <v>161</v>
      </c>
      <c r="G1058" s="10">
        <f t="shared" si="48"/>
        <v>2024</v>
      </c>
      <c r="H1058" s="10">
        <f t="shared" si="49"/>
        <v>1</v>
      </c>
      <c r="I1058" s="10">
        <f t="shared" si="50"/>
        <v>5</v>
      </c>
      <c r="J1058" s="9" t="s">
        <v>2672</v>
      </c>
      <c r="K1058" s="2" t="s">
        <v>64</v>
      </c>
      <c r="L1058" s="2">
        <v>479.13</v>
      </c>
      <c r="M1058" s="2" t="s">
        <v>19</v>
      </c>
      <c r="N1058" s="2" t="s">
        <v>20</v>
      </c>
      <c r="O1058" s="2">
        <v>56</v>
      </c>
      <c r="P1058" s="2"/>
    </row>
    <row r="1059" spans="2:16" ht="21" hidden="1" x14ac:dyDescent="0.55000000000000004">
      <c r="B1059" s="2" t="s">
        <v>2673</v>
      </c>
      <c r="C1059" s="2" t="s">
        <v>2674</v>
      </c>
      <c r="D1059" s="2" t="s">
        <v>14</v>
      </c>
      <c r="E1059" s="2" t="s">
        <v>89</v>
      </c>
      <c r="F1059" s="6" t="s">
        <v>85</v>
      </c>
      <c r="G1059" s="10">
        <f t="shared" si="48"/>
        <v>2024</v>
      </c>
      <c r="H1059" s="10">
        <f t="shared" si="49"/>
        <v>1</v>
      </c>
      <c r="I1059" s="10">
        <f t="shared" si="50"/>
        <v>16</v>
      </c>
      <c r="J1059" s="9" t="s">
        <v>525</v>
      </c>
      <c r="K1059" s="2" t="s">
        <v>33</v>
      </c>
      <c r="L1059" s="2">
        <v>364.41</v>
      </c>
      <c r="M1059" s="2" t="s">
        <v>49</v>
      </c>
      <c r="N1059" s="2" t="s">
        <v>20</v>
      </c>
      <c r="O1059" s="2">
        <v>62</v>
      </c>
      <c r="P1059" s="2">
        <v>3</v>
      </c>
    </row>
    <row r="1060" spans="2:16" ht="21" hidden="1" x14ac:dyDescent="0.55000000000000004">
      <c r="B1060" s="2" t="s">
        <v>2675</v>
      </c>
      <c r="C1060" s="2" t="s">
        <v>2676</v>
      </c>
      <c r="D1060" s="2" t="s">
        <v>106</v>
      </c>
      <c r="E1060" s="2" t="s">
        <v>89</v>
      </c>
      <c r="F1060" s="6" t="s">
        <v>132</v>
      </c>
      <c r="G1060" s="10">
        <f t="shared" si="48"/>
        <v>2024</v>
      </c>
      <c r="H1060" s="10">
        <f t="shared" si="49"/>
        <v>1</v>
      </c>
      <c r="I1060" s="10">
        <f t="shared" si="50"/>
        <v>6</v>
      </c>
      <c r="J1060" s="9" t="s">
        <v>168</v>
      </c>
      <c r="K1060" s="2" t="s">
        <v>33</v>
      </c>
      <c r="L1060" s="2">
        <v>286.04000000000002</v>
      </c>
      <c r="M1060" s="2" t="s">
        <v>65</v>
      </c>
      <c r="N1060" s="2" t="s">
        <v>41</v>
      </c>
      <c r="O1060" s="2">
        <v>86</v>
      </c>
      <c r="P1060" s="2">
        <v>2</v>
      </c>
    </row>
    <row r="1061" spans="2:16" ht="21" hidden="1" x14ac:dyDescent="0.55000000000000004">
      <c r="B1061" s="2" t="s">
        <v>2677</v>
      </c>
      <c r="C1061" s="2" t="s">
        <v>2678</v>
      </c>
      <c r="D1061" s="2" t="s">
        <v>117</v>
      </c>
      <c r="E1061" s="2" t="s">
        <v>61</v>
      </c>
      <c r="F1061" s="6" t="s">
        <v>81</v>
      </c>
      <c r="G1061" s="10">
        <f t="shared" si="48"/>
        <v>2024</v>
      </c>
      <c r="H1061" s="10">
        <f t="shared" si="49"/>
        <v>1</v>
      </c>
      <c r="I1061" s="10">
        <f t="shared" si="50"/>
        <v>18</v>
      </c>
      <c r="J1061" s="9" t="s">
        <v>2679</v>
      </c>
      <c r="K1061" s="2" t="s">
        <v>18</v>
      </c>
      <c r="L1061" s="2">
        <v>300.95</v>
      </c>
      <c r="M1061" s="2" t="s">
        <v>65</v>
      </c>
      <c r="N1061" s="2" t="s">
        <v>26</v>
      </c>
      <c r="O1061" s="2">
        <v>72</v>
      </c>
      <c r="P1061" s="2">
        <v>2</v>
      </c>
    </row>
    <row r="1062" spans="2:16" ht="21" hidden="1" x14ac:dyDescent="0.55000000000000004">
      <c r="B1062" s="2" t="s">
        <v>2680</v>
      </c>
      <c r="C1062" s="2" t="s">
        <v>2681</v>
      </c>
      <c r="D1062" s="2" t="s">
        <v>68</v>
      </c>
      <c r="E1062" s="2" t="s">
        <v>89</v>
      </c>
      <c r="F1062" s="6" t="s">
        <v>69</v>
      </c>
      <c r="G1062" s="10">
        <f t="shared" si="48"/>
        <v>2024</v>
      </c>
      <c r="H1062" s="10">
        <f t="shared" si="49"/>
        <v>1</v>
      </c>
      <c r="I1062" s="10">
        <f t="shared" si="50"/>
        <v>27</v>
      </c>
      <c r="J1062" s="9" t="s">
        <v>273</v>
      </c>
      <c r="K1062" s="2" t="s">
        <v>57</v>
      </c>
      <c r="L1062" s="2">
        <v>268.8</v>
      </c>
      <c r="M1062" s="2" t="s">
        <v>49</v>
      </c>
      <c r="N1062" s="2" t="s">
        <v>26</v>
      </c>
      <c r="O1062" s="2">
        <v>43</v>
      </c>
      <c r="P1062" s="2">
        <v>3</v>
      </c>
    </row>
    <row r="1063" spans="2:16" ht="21" x14ac:dyDescent="0.55000000000000004">
      <c r="B1063" s="2" t="s">
        <v>2682</v>
      </c>
      <c r="C1063" s="2" t="s">
        <v>2683</v>
      </c>
      <c r="D1063" s="2" t="s">
        <v>29</v>
      </c>
      <c r="E1063" s="2" t="s">
        <v>54</v>
      </c>
      <c r="F1063" s="6" t="s">
        <v>161</v>
      </c>
      <c r="G1063" s="10">
        <f t="shared" si="48"/>
        <v>2024</v>
      </c>
      <c r="H1063" s="10">
        <f t="shared" si="49"/>
        <v>1</v>
      </c>
      <c r="I1063" s="10">
        <f t="shared" si="50"/>
        <v>5</v>
      </c>
      <c r="J1063" s="9" t="s">
        <v>1596</v>
      </c>
      <c r="K1063" s="2" t="s">
        <v>91</v>
      </c>
      <c r="L1063" s="2">
        <v>235.77</v>
      </c>
      <c r="M1063" s="2" t="s">
        <v>122</v>
      </c>
      <c r="N1063" s="2" t="s">
        <v>50</v>
      </c>
      <c r="O1063" s="2">
        <v>25</v>
      </c>
      <c r="P1063" s="2">
        <v>2</v>
      </c>
    </row>
    <row r="1064" spans="2:16" ht="21" hidden="1" x14ac:dyDescent="0.55000000000000004">
      <c r="B1064" s="2" t="s">
        <v>2684</v>
      </c>
      <c r="C1064" s="2" t="s">
        <v>2685</v>
      </c>
      <c r="D1064" s="2" t="s">
        <v>68</v>
      </c>
      <c r="E1064" s="2" t="s">
        <v>45</v>
      </c>
      <c r="F1064" s="6" t="s">
        <v>69</v>
      </c>
      <c r="G1064" s="10">
        <f t="shared" si="48"/>
        <v>2024</v>
      </c>
      <c r="H1064" s="10">
        <f t="shared" si="49"/>
        <v>1</v>
      </c>
      <c r="I1064" s="10">
        <f t="shared" si="50"/>
        <v>27</v>
      </c>
      <c r="J1064" s="9" t="s">
        <v>2686</v>
      </c>
      <c r="K1064" s="2" t="s">
        <v>64</v>
      </c>
      <c r="L1064" s="2">
        <v>114.73</v>
      </c>
      <c r="M1064" s="2" t="s">
        <v>49</v>
      </c>
      <c r="N1064" s="2" t="s">
        <v>26</v>
      </c>
      <c r="O1064" s="2">
        <v>57</v>
      </c>
      <c r="P1064" s="2">
        <v>1</v>
      </c>
    </row>
    <row r="1065" spans="2:16" ht="21" hidden="1" x14ac:dyDescent="0.55000000000000004">
      <c r="B1065" s="2" t="s">
        <v>2687</v>
      </c>
      <c r="C1065" s="2" t="s">
        <v>2688</v>
      </c>
      <c r="D1065" s="2" t="s">
        <v>23</v>
      </c>
      <c r="E1065" s="2" t="s">
        <v>37</v>
      </c>
      <c r="F1065" s="6" t="s">
        <v>55</v>
      </c>
      <c r="G1065" s="10">
        <f t="shared" si="48"/>
        <v>2024</v>
      </c>
      <c r="H1065" s="10">
        <f t="shared" si="49"/>
        <v>1</v>
      </c>
      <c r="I1065" s="10">
        <f t="shared" si="50"/>
        <v>8</v>
      </c>
      <c r="J1065" s="9" t="s">
        <v>1139</v>
      </c>
      <c r="K1065" s="2" t="s">
        <v>91</v>
      </c>
      <c r="L1065" s="2">
        <v>211.21</v>
      </c>
      <c r="M1065" s="2" t="s">
        <v>122</v>
      </c>
      <c r="N1065" s="2" t="s">
        <v>50</v>
      </c>
      <c r="O1065" s="2">
        <v>75</v>
      </c>
      <c r="P1065" s="2">
        <v>3</v>
      </c>
    </row>
    <row r="1066" spans="2:16" ht="21" hidden="1" x14ac:dyDescent="0.55000000000000004">
      <c r="B1066" s="2" t="s">
        <v>2689</v>
      </c>
      <c r="C1066" s="2" t="s">
        <v>2690</v>
      </c>
      <c r="D1066" s="2" t="s">
        <v>53</v>
      </c>
      <c r="E1066" s="2" t="s">
        <v>45</v>
      </c>
      <c r="F1066" s="6" t="s">
        <v>69</v>
      </c>
      <c r="G1066" s="10">
        <f t="shared" si="48"/>
        <v>2024</v>
      </c>
      <c r="H1066" s="10">
        <f t="shared" si="49"/>
        <v>1</v>
      </c>
      <c r="I1066" s="10">
        <f t="shared" si="50"/>
        <v>27</v>
      </c>
      <c r="J1066" s="9" t="s">
        <v>211</v>
      </c>
      <c r="K1066" s="2" t="s">
        <v>48</v>
      </c>
      <c r="L1066" s="2">
        <v>381.91</v>
      </c>
      <c r="M1066" s="2" t="s">
        <v>49</v>
      </c>
      <c r="N1066" s="2" t="s">
        <v>20</v>
      </c>
      <c r="O1066" s="2">
        <v>73</v>
      </c>
      <c r="P1066" s="2">
        <v>4</v>
      </c>
    </row>
    <row r="1067" spans="2:16" ht="21" hidden="1" x14ac:dyDescent="0.55000000000000004">
      <c r="B1067" s="2" t="s">
        <v>2691</v>
      </c>
      <c r="C1067" s="2" t="s">
        <v>2692</v>
      </c>
      <c r="D1067" s="2" t="s">
        <v>14</v>
      </c>
      <c r="E1067" s="2" t="s">
        <v>15</v>
      </c>
      <c r="F1067" s="6" t="s">
        <v>129</v>
      </c>
      <c r="G1067" s="10">
        <f t="shared" si="48"/>
        <v>2024</v>
      </c>
      <c r="H1067" s="10">
        <f t="shared" si="49"/>
        <v>1</v>
      </c>
      <c r="I1067" s="10">
        <f t="shared" si="50"/>
        <v>19</v>
      </c>
      <c r="J1067" s="9" t="s">
        <v>242</v>
      </c>
      <c r="K1067" s="2" t="s">
        <v>18</v>
      </c>
      <c r="L1067" s="2">
        <v>314.64999999999998</v>
      </c>
      <c r="M1067" s="2" t="s">
        <v>65</v>
      </c>
      <c r="N1067" s="2" t="s">
        <v>20</v>
      </c>
      <c r="O1067" s="2">
        <v>29</v>
      </c>
      <c r="P1067" s="2"/>
    </row>
    <row r="1068" spans="2:16" ht="21" hidden="1" x14ac:dyDescent="0.55000000000000004">
      <c r="B1068" s="2" t="s">
        <v>2693</v>
      </c>
      <c r="C1068" s="2" t="s">
        <v>2694</v>
      </c>
      <c r="D1068" s="2" t="s">
        <v>53</v>
      </c>
      <c r="E1068" s="2" t="s">
        <v>125</v>
      </c>
      <c r="F1068" s="6" t="s">
        <v>129</v>
      </c>
      <c r="G1068" s="10">
        <f t="shared" si="48"/>
        <v>2024</v>
      </c>
      <c r="H1068" s="10">
        <f t="shared" si="49"/>
        <v>1</v>
      </c>
      <c r="I1068" s="10">
        <f t="shared" si="50"/>
        <v>19</v>
      </c>
      <c r="J1068" s="9" t="s">
        <v>2695</v>
      </c>
      <c r="K1068" s="2" t="s">
        <v>40</v>
      </c>
      <c r="L1068" s="2">
        <v>314.7</v>
      </c>
      <c r="M1068" s="2" t="s">
        <v>19</v>
      </c>
      <c r="N1068" s="2" t="s">
        <v>50</v>
      </c>
      <c r="O1068" s="2">
        <v>51</v>
      </c>
      <c r="P1068" s="2">
        <v>2</v>
      </c>
    </row>
    <row r="1069" spans="2:16" ht="21" hidden="1" x14ac:dyDescent="0.55000000000000004">
      <c r="B1069" s="2" t="s">
        <v>2696</v>
      </c>
      <c r="C1069" s="2" t="s">
        <v>2697</v>
      </c>
      <c r="D1069" s="2" t="s">
        <v>29</v>
      </c>
      <c r="E1069" s="2" t="s">
        <v>15</v>
      </c>
      <c r="F1069" s="6" t="s">
        <v>272</v>
      </c>
      <c r="G1069" s="10">
        <f t="shared" si="48"/>
        <v>2024</v>
      </c>
      <c r="H1069" s="10">
        <f t="shared" si="49"/>
        <v>1</v>
      </c>
      <c r="I1069" s="10">
        <f t="shared" si="50"/>
        <v>1</v>
      </c>
      <c r="J1069" s="9" t="s">
        <v>2698</v>
      </c>
      <c r="K1069" s="2" t="s">
        <v>48</v>
      </c>
      <c r="L1069" s="2">
        <v>450.42</v>
      </c>
      <c r="M1069" s="2" t="s">
        <v>65</v>
      </c>
      <c r="N1069" s="2" t="s">
        <v>50</v>
      </c>
      <c r="O1069" s="2">
        <v>34</v>
      </c>
      <c r="P1069" s="2">
        <v>1</v>
      </c>
    </row>
    <row r="1070" spans="2:16" ht="21" hidden="1" x14ac:dyDescent="0.55000000000000004">
      <c r="B1070" s="2" t="s">
        <v>2699</v>
      </c>
      <c r="C1070" s="2" t="s">
        <v>2700</v>
      </c>
      <c r="D1070" s="2" t="s">
        <v>53</v>
      </c>
      <c r="E1070" s="2" t="s">
        <v>74</v>
      </c>
      <c r="F1070" s="6" t="s">
        <v>24</v>
      </c>
      <c r="G1070" s="10">
        <f t="shared" si="48"/>
        <v>2024</v>
      </c>
      <c r="H1070" s="10">
        <f t="shared" si="49"/>
        <v>1</v>
      </c>
      <c r="I1070" s="10">
        <f t="shared" si="50"/>
        <v>21</v>
      </c>
      <c r="J1070" s="9" t="s">
        <v>621</v>
      </c>
      <c r="K1070" s="2" t="s">
        <v>48</v>
      </c>
      <c r="L1070" s="2">
        <v>454.63</v>
      </c>
      <c r="M1070" s="2" t="s">
        <v>65</v>
      </c>
      <c r="N1070" s="2" t="s">
        <v>26</v>
      </c>
      <c r="O1070" s="2">
        <v>67</v>
      </c>
      <c r="P1070" s="2">
        <v>3</v>
      </c>
    </row>
    <row r="1071" spans="2:16" ht="21" hidden="1" x14ac:dyDescent="0.55000000000000004">
      <c r="B1071" s="2" t="s">
        <v>2701</v>
      </c>
      <c r="C1071" s="2" t="s">
        <v>2702</v>
      </c>
      <c r="D1071" s="2" t="s">
        <v>29</v>
      </c>
      <c r="E1071" s="2" t="s">
        <v>45</v>
      </c>
      <c r="F1071" s="6" t="s">
        <v>180</v>
      </c>
      <c r="G1071" s="10">
        <f t="shared" si="48"/>
        <v>2024</v>
      </c>
      <c r="H1071" s="10">
        <f t="shared" si="49"/>
        <v>1</v>
      </c>
      <c r="I1071" s="10">
        <f t="shared" si="50"/>
        <v>28</v>
      </c>
      <c r="J1071" s="9" t="s">
        <v>1145</v>
      </c>
      <c r="K1071" s="2" t="s">
        <v>64</v>
      </c>
      <c r="L1071" s="2">
        <v>127.98</v>
      </c>
      <c r="M1071" s="2" t="s">
        <v>122</v>
      </c>
      <c r="N1071" s="2" t="s">
        <v>50</v>
      </c>
      <c r="O1071" s="2">
        <v>77</v>
      </c>
      <c r="P1071" s="2">
        <v>3</v>
      </c>
    </row>
    <row r="1072" spans="2:16" ht="21" hidden="1" x14ac:dyDescent="0.55000000000000004">
      <c r="B1072" s="2" t="s">
        <v>2703</v>
      </c>
      <c r="C1072" s="2" t="s">
        <v>2704</v>
      </c>
      <c r="D1072" s="2" t="s">
        <v>44</v>
      </c>
      <c r="E1072" s="2" t="s">
        <v>80</v>
      </c>
      <c r="F1072" s="6" t="s">
        <v>113</v>
      </c>
      <c r="G1072" s="10">
        <f t="shared" si="48"/>
        <v>2024</v>
      </c>
      <c r="H1072" s="10">
        <f t="shared" si="49"/>
        <v>1</v>
      </c>
      <c r="I1072" s="10">
        <f t="shared" si="50"/>
        <v>15</v>
      </c>
      <c r="J1072" s="9" t="s">
        <v>299</v>
      </c>
      <c r="K1072" s="2" t="s">
        <v>64</v>
      </c>
      <c r="L1072" s="2">
        <v>320.81</v>
      </c>
      <c r="M1072" s="2" t="s">
        <v>122</v>
      </c>
      <c r="N1072" s="2" t="s">
        <v>41</v>
      </c>
      <c r="O1072" s="2">
        <v>79</v>
      </c>
      <c r="P1072" s="2"/>
    </row>
    <row r="1073" spans="2:16" ht="21" hidden="1" x14ac:dyDescent="0.55000000000000004">
      <c r="B1073" s="2" t="s">
        <v>2705</v>
      </c>
      <c r="C1073" s="2" t="s">
        <v>157</v>
      </c>
      <c r="D1073" s="2" t="s">
        <v>60</v>
      </c>
      <c r="E1073" s="2" t="s">
        <v>61</v>
      </c>
      <c r="F1073" s="6" t="s">
        <v>132</v>
      </c>
      <c r="G1073" s="10">
        <f t="shared" si="48"/>
        <v>2024</v>
      </c>
      <c r="H1073" s="10">
        <f t="shared" si="49"/>
        <v>1</v>
      </c>
      <c r="I1073" s="10">
        <f t="shared" si="50"/>
        <v>6</v>
      </c>
      <c r="J1073" s="9" t="s">
        <v>1496</v>
      </c>
      <c r="K1073" s="2" t="s">
        <v>33</v>
      </c>
      <c r="L1073" s="2">
        <v>199.29</v>
      </c>
      <c r="M1073" s="2" t="s">
        <v>122</v>
      </c>
      <c r="N1073" s="2" t="s">
        <v>26</v>
      </c>
      <c r="O1073" s="2">
        <v>73</v>
      </c>
      <c r="P1073" s="2">
        <v>2</v>
      </c>
    </row>
    <row r="1074" spans="2:16" ht="21" hidden="1" x14ac:dyDescent="0.55000000000000004">
      <c r="B1074" s="2" t="s">
        <v>2706</v>
      </c>
      <c r="C1074" s="2" t="s">
        <v>1781</v>
      </c>
      <c r="D1074" s="2" t="s">
        <v>23</v>
      </c>
      <c r="E1074" s="2" t="s">
        <v>45</v>
      </c>
      <c r="F1074" s="6" t="s">
        <v>238</v>
      </c>
      <c r="G1074" s="10">
        <f t="shared" si="48"/>
        <v>2024</v>
      </c>
      <c r="H1074" s="10">
        <f t="shared" si="49"/>
        <v>1</v>
      </c>
      <c r="I1074" s="10">
        <f t="shared" si="50"/>
        <v>20</v>
      </c>
      <c r="J1074" s="9" t="s">
        <v>1990</v>
      </c>
      <c r="K1074" s="2" t="s">
        <v>48</v>
      </c>
      <c r="L1074" s="2">
        <v>253.05</v>
      </c>
      <c r="M1074" s="2" t="s">
        <v>19</v>
      </c>
      <c r="N1074" s="2" t="s">
        <v>41</v>
      </c>
      <c r="O1074" s="2">
        <v>74</v>
      </c>
      <c r="P1074" s="2">
        <v>1</v>
      </c>
    </row>
    <row r="1075" spans="2:16" ht="21" hidden="1" x14ac:dyDescent="0.55000000000000004">
      <c r="B1075" s="2" t="s">
        <v>2707</v>
      </c>
      <c r="C1075" s="2" t="s">
        <v>2708</v>
      </c>
      <c r="D1075" s="2" t="s">
        <v>14</v>
      </c>
      <c r="E1075" s="2" t="s">
        <v>74</v>
      </c>
      <c r="F1075" s="6" t="s">
        <v>154</v>
      </c>
      <c r="G1075" s="10">
        <f t="shared" si="48"/>
        <v>2024</v>
      </c>
      <c r="H1075" s="10">
        <f t="shared" si="49"/>
        <v>1</v>
      </c>
      <c r="I1075" s="10">
        <f t="shared" si="50"/>
        <v>22</v>
      </c>
      <c r="J1075" s="9" t="s">
        <v>925</v>
      </c>
      <c r="K1075" s="2" t="s">
        <v>64</v>
      </c>
      <c r="L1075" s="2">
        <v>291</v>
      </c>
      <c r="M1075" s="2" t="s">
        <v>122</v>
      </c>
      <c r="N1075" s="2" t="s">
        <v>20</v>
      </c>
      <c r="O1075" s="2">
        <v>34</v>
      </c>
      <c r="P1075" s="2">
        <v>3</v>
      </c>
    </row>
    <row r="1076" spans="2:16" ht="21" hidden="1" x14ac:dyDescent="0.55000000000000004">
      <c r="B1076" s="2" t="s">
        <v>2709</v>
      </c>
      <c r="C1076" s="2" t="s">
        <v>2710</v>
      </c>
      <c r="D1076" s="2" t="s">
        <v>73</v>
      </c>
      <c r="E1076" s="2" t="s">
        <v>74</v>
      </c>
      <c r="F1076" s="6" t="s">
        <v>102</v>
      </c>
      <c r="G1076" s="10">
        <f t="shared" si="48"/>
        <v>2024</v>
      </c>
      <c r="H1076" s="10">
        <f t="shared" si="49"/>
        <v>1</v>
      </c>
      <c r="I1076" s="10">
        <f t="shared" si="50"/>
        <v>26</v>
      </c>
      <c r="J1076" s="9" t="s">
        <v>2626</v>
      </c>
      <c r="K1076" s="2" t="s">
        <v>18</v>
      </c>
      <c r="L1076" s="2">
        <v>282.41000000000003</v>
      </c>
      <c r="M1076" s="2" t="s">
        <v>65</v>
      </c>
      <c r="N1076" s="2" t="s">
        <v>50</v>
      </c>
      <c r="O1076" s="2">
        <v>79</v>
      </c>
      <c r="P1076" s="2">
        <v>4</v>
      </c>
    </row>
    <row r="1077" spans="2:16" ht="21" hidden="1" x14ac:dyDescent="0.55000000000000004">
      <c r="B1077" s="2" t="s">
        <v>2711</v>
      </c>
      <c r="C1077" s="2" t="s">
        <v>2712</v>
      </c>
      <c r="D1077" s="2" t="s">
        <v>23</v>
      </c>
      <c r="E1077" s="2" t="s">
        <v>89</v>
      </c>
      <c r="F1077" s="6" t="s">
        <v>343</v>
      </c>
      <c r="G1077" s="10">
        <f t="shared" si="48"/>
        <v>2024</v>
      </c>
      <c r="H1077" s="10">
        <f t="shared" si="49"/>
        <v>1</v>
      </c>
      <c r="I1077" s="10">
        <f t="shared" si="50"/>
        <v>13</v>
      </c>
      <c r="J1077" s="9" t="s">
        <v>2611</v>
      </c>
      <c r="K1077" s="2" t="s">
        <v>33</v>
      </c>
      <c r="L1077" s="2">
        <v>427.98</v>
      </c>
      <c r="M1077" s="2" t="s">
        <v>49</v>
      </c>
      <c r="N1077" s="2" t="s">
        <v>41</v>
      </c>
      <c r="O1077" s="2">
        <v>62</v>
      </c>
      <c r="P1077" s="2">
        <v>3</v>
      </c>
    </row>
    <row r="1078" spans="2:16" ht="21" hidden="1" x14ac:dyDescent="0.55000000000000004">
      <c r="B1078" s="2" t="s">
        <v>2713</v>
      </c>
      <c r="C1078" s="2" t="s">
        <v>2714</v>
      </c>
      <c r="D1078" s="2" t="s">
        <v>53</v>
      </c>
      <c r="E1078" s="2" t="s">
        <v>61</v>
      </c>
      <c r="F1078" s="6" t="s">
        <v>62</v>
      </c>
      <c r="G1078" s="10">
        <f t="shared" si="48"/>
        <v>2024</v>
      </c>
      <c r="H1078" s="10">
        <f t="shared" si="49"/>
        <v>1</v>
      </c>
      <c r="I1078" s="10">
        <f t="shared" si="50"/>
        <v>31</v>
      </c>
      <c r="J1078" s="9" t="s">
        <v>970</v>
      </c>
      <c r="K1078" s="2" t="s">
        <v>64</v>
      </c>
      <c r="L1078" s="2">
        <v>479.52</v>
      </c>
      <c r="M1078" s="2" t="s">
        <v>65</v>
      </c>
      <c r="N1078" s="2" t="s">
        <v>20</v>
      </c>
      <c r="O1078" s="2">
        <v>57</v>
      </c>
      <c r="P1078" s="2">
        <v>3</v>
      </c>
    </row>
    <row r="1079" spans="2:16" ht="21" hidden="1" x14ac:dyDescent="0.55000000000000004">
      <c r="B1079" s="2" t="s">
        <v>2715</v>
      </c>
      <c r="C1079" s="2" t="s">
        <v>2716</v>
      </c>
      <c r="D1079" s="2" t="s">
        <v>44</v>
      </c>
      <c r="E1079" s="2" t="s">
        <v>89</v>
      </c>
      <c r="F1079" s="6" t="s">
        <v>102</v>
      </c>
      <c r="G1079" s="10">
        <f t="shared" si="48"/>
        <v>2024</v>
      </c>
      <c r="H1079" s="10">
        <f t="shared" si="49"/>
        <v>1</v>
      </c>
      <c r="I1079" s="10">
        <f t="shared" si="50"/>
        <v>26</v>
      </c>
      <c r="J1079" s="9" t="s">
        <v>2717</v>
      </c>
      <c r="K1079" s="2" t="s">
        <v>48</v>
      </c>
      <c r="L1079" s="2">
        <v>122.95</v>
      </c>
      <c r="M1079" s="2" t="s">
        <v>19</v>
      </c>
      <c r="N1079" s="2" t="s">
        <v>41</v>
      </c>
      <c r="O1079" s="2">
        <v>58</v>
      </c>
      <c r="P1079" s="2">
        <v>2</v>
      </c>
    </row>
    <row r="1080" spans="2:16" ht="21" hidden="1" x14ac:dyDescent="0.55000000000000004">
      <c r="B1080" s="2" t="s">
        <v>2718</v>
      </c>
      <c r="C1080" s="2" t="s">
        <v>1564</v>
      </c>
      <c r="D1080" s="2" t="s">
        <v>73</v>
      </c>
      <c r="E1080" s="2" t="s">
        <v>45</v>
      </c>
      <c r="F1080" s="6" t="s">
        <v>102</v>
      </c>
      <c r="G1080" s="10">
        <f t="shared" si="48"/>
        <v>2024</v>
      </c>
      <c r="H1080" s="10">
        <f t="shared" si="49"/>
        <v>1</v>
      </c>
      <c r="I1080" s="10">
        <f t="shared" si="50"/>
        <v>26</v>
      </c>
      <c r="J1080" s="9" t="s">
        <v>76</v>
      </c>
      <c r="K1080" s="2" t="s">
        <v>40</v>
      </c>
      <c r="L1080" s="2">
        <v>341.01</v>
      </c>
      <c r="M1080" s="2" t="s">
        <v>19</v>
      </c>
      <c r="N1080" s="2" t="s">
        <v>41</v>
      </c>
      <c r="O1080" s="2">
        <v>64</v>
      </c>
      <c r="P1080" s="2">
        <v>3</v>
      </c>
    </row>
    <row r="1081" spans="2:16" ht="21" hidden="1" x14ac:dyDescent="0.55000000000000004">
      <c r="B1081" s="2" t="s">
        <v>2719</v>
      </c>
      <c r="C1081" s="2" t="s">
        <v>2720</v>
      </c>
      <c r="D1081" s="2" t="s">
        <v>29</v>
      </c>
      <c r="E1081" s="2" t="s">
        <v>74</v>
      </c>
      <c r="F1081" s="6" t="s">
        <v>343</v>
      </c>
      <c r="G1081" s="10">
        <f t="shared" si="48"/>
        <v>2024</v>
      </c>
      <c r="H1081" s="10">
        <f t="shared" si="49"/>
        <v>1</v>
      </c>
      <c r="I1081" s="10">
        <f t="shared" si="50"/>
        <v>13</v>
      </c>
      <c r="J1081" s="9" t="s">
        <v>2721</v>
      </c>
      <c r="K1081" s="2" t="s">
        <v>77</v>
      </c>
      <c r="L1081" s="2">
        <v>310.79000000000002</v>
      </c>
      <c r="M1081" s="2" t="s">
        <v>65</v>
      </c>
      <c r="N1081" s="2" t="s">
        <v>41</v>
      </c>
      <c r="O1081" s="2">
        <v>29</v>
      </c>
      <c r="P1081" s="2"/>
    </row>
    <row r="1082" spans="2:16" ht="21" hidden="1" x14ac:dyDescent="0.55000000000000004">
      <c r="B1082" s="2" t="s">
        <v>2722</v>
      </c>
      <c r="C1082" s="2" t="s">
        <v>2723</v>
      </c>
      <c r="D1082" s="2" t="s">
        <v>106</v>
      </c>
      <c r="E1082" s="2" t="s">
        <v>89</v>
      </c>
      <c r="F1082" s="6" t="s">
        <v>16</v>
      </c>
      <c r="G1082" s="10">
        <f t="shared" si="48"/>
        <v>2024</v>
      </c>
      <c r="H1082" s="10">
        <f t="shared" si="49"/>
        <v>1</v>
      </c>
      <c r="I1082" s="10">
        <f t="shared" si="50"/>
        <v>9</v>
      </c>
      <c r="J1082" s="9" t="s">
        <v>795</v>
      </c>
      <c r="K1082" s="2" t="s">
        <v>48</v>
      </c>
      <c r="L1082" s="2">
        <v>112.01</v>
      </c>
      <c r="M1082" s="2" t="s">
        <v>49</v>
      </c>
      <c r="N1082" s="2" t="s">
        <v>50</v>
      </c>
      <c r="O1082" s="2">
        <v>40</v>
      </c>
      <c r="P1082" s="2">
        <v>4</v>
      </c>
    </row>
    <row r="1083" spans="2:16" ht="21" hidden="1" x14ac:dyDescent="0.55000000000000004">
      <c r="B1083" s="2" t="s">
        <v>2724</v>
      </c>
      <c r="C1083" s="2" t="s">
        <v>2725</v>
      </c>
      <c r="D1083" s="2" t="s">
        <v>23</v>
      </c>
      <c r="E1083" s="2" t="s">
        <v>37</v>
      </c>
      <c r="F1083" s="6" t="s">
        <v>161</v>
      </c>
      <c r="G1083" s="10">
        <f t="shared" si="48"/>
        <v>2024</v>
      </c>
      <c r="H1083" s="10">
        <f t="shared" si="49"/>
        <v>1</v>
      </c>
      <c r="I1083" s="10">
        <f t="shared" si="50"/>
        <v>5</v>
      </c>
      <c r="J1083" s="9" t="s">
        <v>2272</v>
      </c>
      <c r="K1083" s="2" t="s">
        <v>40</v>
      </c>
      <c r="L1083" s="2">
        <v>439.4</v>
      </c>
      <c r="M1083" s="2" t="s">
        <v>19</v>
      </c>
      <c r="N1083" s="2" t="s">
        <v>41</v>
      </c>
      <c r="O1083" s="2">
        <v>55</v>
      </c>
      <c r="P1083" s="2">
        <v>5</v>
      </c>
    </row>
    <row r="1084" spans="2:16" ht="21" hidden="1" x14ac:dyDescent="0.55000000000000004">
      <c r="B1084" s="2" t="s">
        <v>2726</v>
      </c>
      <c r="C1084" s="2" t="s">
        <v>2727</v>
      </c>
      <c r="D1084" s="2" t="s">
        <v>14</v>
      </c>
      <c r="E1084" s="2" t="s">
        <v>80</v>
      </c>
      <c r="F1084" s="6" t="s">
        <v>317</v>
      </c>
      <c r="G1084" s="10">
        <f t="shared" si="48"/>
        <v>2024</v>
      </c>
      <c r="H1084" s="10">
        <f t="shared" si="49"/>
        <v>1</v>
      </c>
      <c r="I1084" s="10">
        <f t="shared" si="50"/>
        <v>3</v>
      </c>
      <c r="J1084" s="9" t="s">
        <v>1412</v>
      </c>
      <c r="K1084" s="2" t="s">
        <v>91</v>
      </c>
      <c r="L1084" s="2">
        <v>151.68</v>
      </c>
      <c r="M1084" s="2" t="s">
        <v>122</v>
      </c>
      <c r="N1084" s="2" t="s">
        <v>26</v>
      </c>
      <c r="O1084" s="2">
        <v>81</v>
      </c>
      <c r="P1084" s="2">
        <v>1</v>
      </c>
    </row>
    <row r="1085" spans="2:16" ht="21" hidden="1" x14ac:dyDescent="0.55000000000000004">
      <c r="B1085" s="2" t="s">
        <v>2728</v>
      </c>
      <c r="C1085" s="2" t="s">
        <v>2729</v>
      </c>
      <c r="D1085" s="2" t="s">
        <v>68</v>
      </c>
      <c r="E1085" s="2" t="s">
        <v>139</v>
      </c>
      <c r="F1085" s="6" t="s">
        <v>161</v>
      </c>
      <c r="G1085" s="10">
        <f t="shared" si="48"/>
        <v>2024</v>
      </c>
      <c r="H1085" s="10">
        <f t="shared" si="49"/>
        <v>1</v>
      </c>
      <c r="I1085" s="10">
        <f t="shared" si="50"/>
        <v>5</v>
      </c>
      <c r="J1085" s="9" t="s">
        <v>242</v>
      </c>
      <c r="K1085" s="2" t="s">
        <v>33</v>
      </c>
      <c r="L1085" s="2">
        <v>301.94</v>
      </c>
      <c r="M1085" s="2" t="s">
        <v>49</v>
      </c>
      <c r="N1085" s="2" t="s">
        <v>50</v>
      </c>
      <c r="O1085" s="2">
        <v>61</v>
      </c>
      <c r="P1085" s="2">
        <v>2</v>
      </c>
    </row>
    <row r="1086" spans="2:16" ht="21" hidden="1" x14ac:dyDescent="0.55000000000000004">
      <c r="B1086" s="2" t="s">
        <v>2730</v>
      </c>
      <c r="C1086" s="2" t="s">
        <v>2731</v>
      </c>
      <c r="D1086" s="2" t="s">
        <v>73</v>
      </c>
      <c r="E1086" s="2" t="s">
        <v>125</v>
      </c>
      <c r="F1086" s="6" t="s">
        <v>31</v>
      </c>
      <c r="G1086" s="10">
        <f t="shared" si="48"/>
        <v>2024</v>
      </c>
      <c r="H1086" s="10">
        <f t="shared" si="49"/>
        <v>1</v>
      </c>
      <c r="I1086" s="10">
        <f t="shared" si="50"/>
        <v>14</v>
      </c>
      <c r="J1086" s="9" t="s">
        <v>1099</v>
      </c>
      <c r="K1086" s="2" t="s">
        <v>77</v>
      </c>
      <c r="L1086" s="2">
        <v>170.65</v>
      </c>
      <c r="M1086" s="2" t="s">
        <v>65</v>
      </c>
      <c r="N1086" s="2" t="s">
        <v>41</v>
      </c>
      <c r="O1086" s="2">
        <v>47</v>
      </c>
      <c r="P1086" s="2"/>
    </row>
    <row r="1087" spans="2:16" ht="21" hidden="1" x14ac:dyDescent="0.55000000000000004">
      <c r="B1087" s="2" t="s">
        <v>2732</v>
      </c>
      <c r="C1087" s="2" t="s">
        <v>2733</v>
      </c>
      <c r="D1087" s="2" t="s">
        <v>73</v>
      </c>
      <c r="E1087" s="2" t="s">
        <v>139</v>
      </c>
      <c r="F1087" s="6" t="s">
        <v>118</v>
      </c>
      <c r="G1087" s="10">
        <f t="shared" si="48"/>
        <v>2024</v>
      </c>
      <c r="H1087" s="10">
        <f t="shared" si="49"/>
        <v>1</v>
      </c>
      <c r="I1087" s="10">
        <f t="shared" si="50"/>
        <v>24</v>
      </c>
      <c r="J1087" s="9" t="s">
        <v>1128</v>
      </c>
      <c r="K1087" s="2" t="s">
        <v>64</v>
      </c>
      <c r="L1087" s="2">
        <v>470.17</v>
      </c>
      <c r="M1087" s="2" t="s">
        <v>65</v>
      </c>
      <c r="N1087" s="2" t="s">
        <v>26</v>
      </c>
      <c r="O1087" s="2">
        <v>90</v>
      </c>
      <c r="P1087" s="2">
        <v>3</v>
      </c>
    </row>
    <row r="1088" spans="2:16" ht="21" hidden="1" x14ac:dyDescent="0.55000000000000004">
      <c r="B1088" s="2" t="s">
        <v>2734</v>
      </c>
      <c r="C1088" s="2" t="s">
        <v>2735</v>
      </c>
      <c r="D1088" s="2" t="s">
        <v>117</v>
      </c>
      <c r="E1088" s="2" t="s">
        <v>80</v>
      </c>
      <c r="F1088" s="6" t="s">
        <v>75</v>
      </c>
      <c r="G1088" s="10">
        <f t="shared" si="48"/>
        <v>2024</v>
      </c>
      <c r="H1088" s="10">
        <f t="shared" si="49"/>
        <v>1</v>
      </c>
      <c r="I1088" s="10">
        <f t="shared" si="50"/>
        <v>25</v>
      </c>
      <c r="J1088" s="9" t="s">
        <v>706</v>
      </c>
      <c r="K1088" s="2" t="s">
        <v>33</v>
      </c>
      <c r="L1088" s="2">
        <v>216.41</v>
      </c>
      <c r="M1088" s="2" t="s">
        <v>19</v>
      </c>
      <c r="N1088" s="2" t="s">
        <v>50</v>
      </c>
      <c r="O1088" s="2">
        <v>46</v>
      </c>
      <c r="P1088" s="2">
        <v>2</v>
      </c>
    </row>
    <row r="1089" spans="2:16" ht="21" hidden="1" x14ac:dyDescent="0.55000000000000004">
      <c r="B1089" s="2" t="s">
        <v>2736</v>
      </c>
      <c r="C1089" s="2" t="s">
        <v>2737</v>
      </c>
      <c r="D1089" s="2" t="s">
        <v>29</v>
      </c>
      <c r="E1089" s="2" t="s">
        <v>15</v>
      </c>
      <c r="F1089" s="6" t="s">
        <v>343</v>
      </c>
      <c r="G1089" s="10">
        <f t="shared" si="48"/>
        <v>2024</v>
      </c>
      <c r="H1089" s="10">
        <f t="shared" si="49"/>
        <v>1</v>
      </c>
      <c r="I1089" s="10">
        <f t="shared" si="50"/>
        <v>13</v>
      </c>
      <c r="J1089" s="9" t="s">
        <v>2738</v>
      </c>
      <c r="K1089" s="2" t="s">
        <v>40</v>
      </c>
      <c r="L1089" s="2">
        <v>267.35000000000002</v>
      </c>
      <c r="M1089" s="2" t="s">
        <v>49</v>
      </c>
      <c r="N1089" s="2" t="s">
        <v>50</v>
      </c>
      <c r="O1089" s="2">
        <v>80</v>
      </c>
      <c r="P1089" s="2">
        <v>5</v>
      </c>
    </row>
    <row r="1090" spans="2:16" ht="21" hidden="1" x14ac:dyDescent="0.55000000000000004">
      <c r="B1090" s="2" t="s">
        <v>2739</v>
      </c>
      <c r="C1090" s="2" t="s">
        <v>2740</v>
      </c>
      <c r="D1090" s="2" t="s">
        <v>68</v>
      </c>
      <c r="E1090" s="2" t="s">
        <v>139</v>
      </c>
      <c r="F1090" s="6" t="s">
        <v>144</v>
      </c>
      <c r="G1090" s="10">
        <f t="shared" si="48"/>
        <v>2024</v>
      </c>
      <c r="H1090" s="10">
        <f t="shared" si="49"/>
        <v>1</v>
      </c>
      <c r="I1090" s="10">
        <f t="shared" si="50"/>
        <v>7</v>
      </c>
      <c r="J1090" s="9" t="s">
        <v>1352</v>
      </c>
      <c r="K1090" s="2" t="s">
        <v>18</v>
      </c>
      <c r="L1090" s="2">
        <v>356.07</v>
      </c>
      <c r="M1090" s="2" t="s">
        <v>19</v>
      </c>
      <c r="N1090" s="2" t="s">
        <v>41</v>
      </c>
      <c r="O1090" s="2">
        <v>57</v>
      </c>
      <c r="P1090" s="2"/>
    </row>
    <row r="1091" spans="2:16" ht="21" hidden="1" x14ac:dyDescent="0.55000000000000004">
      <c r="B1091" s="2" t="s">
        <v>2741</v>
      </c>
      <c r="C1091" s="2" t="s">
        <v>2742</v>
      </c>
      <c r="D1091" s="2" t="s">
        <v>29</v>
      </c>
      <c r="E1091" s="2" t="s">
        <v>125</v>
      </c>
      <c r="F1091" s="6" t="s">
        <v>46</v>
      </c>
      <c r="G1091" s="10">
        <f t="shared" si="48"/>
        <v>2024</v>
      </c>
      <c r="H1091" s="10">
        <f t="shared" si="49"/>
        <v>1</v>
      </c>
      <c r="I1091" s="10">
        <f t="shared" si="50"/>
        <v>17</v>
      </c>
      <c r="J1091" s="9" t="s">
        <v>94</v>
      </c>
      <c r="K1091" s="2" t="s">
        <v>57</v>
      </c>
      <c r="L1091" s="2">
        <v>215.45</v>
      </c>
      <c r="M1091" s="2" t="s">
        <v>122</v>
      </c>
      <c r="N1091" s="2" t="s">
        <v>50</v>
      </c>
      <c r="O1091" s="2">
        <v>73</v>
      </c>
      <c r="P1091" s="2"/>
    </row>
    <row r="1092" spans="2:16" ht="21" hidden="1" x14ac:dyDescent="0.55000000000000004">
      <c r="B1092" s="2" t="s">
        <v>2743</v>
      </c>
      <c r="C1092" s="2" t="s">
        <v>2223</v>
      </c>
      <c r="D1092" s="2" t="s">
        <v>68</v>
      </c>
      <c r="E1092" s="2" t="s">
        <v>139</v>
      </c>
      <c r="F1092" s="6" t="s">
        <v>62</v>
      </c>
      <c r="G1092" s="10">
        <f t="shared" ref="G1092:G1155" si="51">YEAR(F1092)</f>
        <v>2024</v>
      </c>
      <c r="H1092" s="10">
        <f t="shared" ref="H1092:H1155" si="52">MONTH(F1092)</f>
        <v>1</v>
      </c>
      <c r="I1092" s="10">
        <f t="shared" ref="I1092:I1155" si="53">DAY(F1092)</f>
        <v>31</v>
      </c>
      <c r="J1092" s="9" t="s">
        <v>882</v>
      </c>
      <c r="K1092" s="2" t="s">
        <v>33</v>
      </c>
      <c r="L1092" s="2">
        <v>384.97</v>
      </c>
      <c r="M1092" s="2" t="s">
        <v>19</v>
      </c>
      <c r="N1092" s="2" t="s">
        <v>20</v>
      </c>
      <c r="O1092" s="2">
        <v>78</v>
      </c>
      <c r="P1092" s="2">
        <v>5</v>
      </c>
    </row>
    <row r="1093" spans="2:16" ht="21" hidden="1" x14ac:dyDescent="0.55000000000000004">
      <c r="B1093" s="2" t="s">
        <v>2744</v>
      </c>
      <c r="C1093" s="2" t="s">
        <v>2745</v>
      </c>
      <c r="D1093" s="2" t="s">
        <v>44</v>
      </c>
      <c r="E1093" s="2" t="s">
        <v>74</v>
      </c>
      <c r="F1093" s="6" t="s">
        <v>62</v>
      </c>
      <c r="G1093" s="10">
        <f t="shared" si="51"/>
        <v>2024</v>
      </c>
      <c r="H1093" s="10">
        <f t="shared" si="52"/>
        <v>1</v>
      </c>
      <c r="I1093" s="10">
        <f t="shared" si="53"/>
        <v>31</v>
      </c>
      <c r="J1093" s="9" t="s">
        <v>1319</v>
      </c>
      <c r="K1093" s="2" t="s">
        <v>57</v>
      </c>
      <c r="L1093" s="2">
        <v>301.27999999999997</v>
      </c>
      <c r="M1093" s="2" t="s">
        <v>19</v>
      </c>
      <c r="N1093" s="2" t="s">
        <v>26</v>
      </c>
      <c r="O1093" s="2">
        <v>38</v>
      </c>
      <c r="P1093" s="2">
        <v>3</v>
      </c>
    </row>
    <row r="1094" spans="2:16" ht="21" hidden="1" x14ac:dyDescent="0.55000000000000004">
      <c r="B1094" s="2" t="s">
        <v>2746</v>
      </c>
      <c r="C1094" s="2" t="s">
        <v>2747</v>
      </c>
      <c r="D1094" s="2" t="s">
        <v>44</v>
      </c>
      <c r="E1094" s="2" t="s">
        <v>125</v>
      </c>
      <c r="F1094" s="6" t="s">
        <v>343</v>
      </c>
      <c r="G1094" s="10">
        <f t="shared" si="51"/>
        <v>2024</v>
      </c>
      <c r="H1094" s="10">
        <f t="shared" si="52"/>
        <v>1</v>
      </c>
      <c r="I1094" s="10">
        <f t="shared" si="53"/>
        <v>13</v>
      </c>
      <c r="J1094" s="9" t="s">
        <v>1624</v>
      </c>
      <c r="K1094" s="2" t="s">
        <v>57</v>
      </c>
      <c r="L1094" s="2">
        <v>465.8</v>
      </c>
      <c r="M1094" s="2" t="s">
        <v>122</v>
      </c>
      <c r="N1094" s="2" t="s">
        <v>20</v>
      </c>
      <c r="O1094" s="2">
        <v>61</v>
      </c>
      <c r="P1094" s="2">
        <v>3</v>
      </c>
    </row>
    <row r="1095" spans="2:16" ht="21" hidden="1" x14ac:dyDescent="0.55000000000000004">
      <c r="B1095" s="2" t="s">
        <v>2748</v>
      </c>
      <c r="C1095" s="2" t="s">
        <v>2749</v>
      </c>
      <c r="D1095" s="2" t="s">
        <v>29</v>
      </c>
      <c r="E1095" s="2" t="s">
        <v>61</v>
      </c>
      <c r="F1095" s="6" t="s">
        <v>38</v>
      </c>
      <c r="G1095" s="10">
        <f t="shared" si="51"/>
        <v>2024</v>
      </c>
      <c r="H1095" s="10">
        <f t="shared" si="52"/>
        <v>1</v>
      </c>
      <c r="I1095" s="10">
        <f t="shared" si="53"/>
        <v>11</v>
      </c>
      <c r="J1095" s="9" t="s">
        <v>779</v>
      </c>
      <c r="K1095" s="2" t="s">
        <v>40</v>
      </c>
      <c r="L1095" s="2">
        <v>367.08</v>
      </c>
      <c r="M1095" s="2" t="s">
        <v>49</v>
      </c>
      <c r="N1095" s="2" t="s">
        <v>41</v>
      </c>
      <c r="O1095" s="2">
        <v>81</v>
      </c>
      <c r="P1095" s="2">
        <v>3</v>
      </c>
    </row>
    <row r="1096" spans="2:16" ht="21" hidden="1" x14ac:dyDescent="0.55000000000000004">
      <c r="B1096" s="2" t="s">
        <v>2750</v>
      </c>
      <c r="C1096" s="2" t="s">
        <v>2751</v>
      </c>
      <c r="D1096" s="2" t="s">
        <v>68</v>
      </c>
      <c r="E1096" s="2" t="s">
        <v>139</v>
      </c>
      <c r="F1096" s="6" t="s">
        <v>317</v>
      </c>
      <c r="G1096" s="10">
        <f t="shared" si="51"/>
        <v>2024</v>
      </c>
      <c r="H1096" s="10">
        <f t="shared" si="52"/>
        <v>1</v>
      </c>
      <c r="I1096" s="10">
        <f t="shared" si="53"/>
        <v>3</v>
      </c>
      <c r="J1096" s="9" t="s">
        <v>2519</v>
      </c>
      <c r="K1096" s="2" t="s">
        <v>33</v>
      </c>
      <c r="L1096" s="2">
        <v>295.14</v>
      </c>
      <c r="M1096" s="2" t="s">
        <v>49</v>
      </c>
      <c r="N1096" s="2" t="s">
        <v>41</v>
      </c>
      <c r="O1096" s="2">
        <v>21</v>
      </c>
      <c r="P1096" s="2">
        <v>2</v>
      </c>
    </row>
    <row r="1097" spans="2:16" ht="21" hidden="1" x14ac:dyDescent="0.55000000000000004">
      <c r="B1097" s="2" t="s">
        <v>2752</v>
      </c>
      <c r="C1097" s="2" t="s">
        <v>2753</v>
      </c>
      <c r="D1097" s="2" t="s">
        <v>23</v>
      </c>
      <c r="E1097" s="2" t="s">
        <v>37</v>
      </c>
      <c r="F1097" s="6" t="s">
        <v>349</v>
      </c>
      <c r="G1097" s="10">
        <f t="shared" si="51"/>
        <v>2024</v>
      </c>
      <c r="H1097" s="10">
        <f t="shared" si="52"/>
        <v>1</v>
      </c>
      <c r="I1097" s="10">
        <f t="shared" si="53"/>
        <v>12</v>
      </c>
      <c r="J1097" s="9" t="s">
        <v>2754</v>
      </c>
      <c r="K1097" s="2" t="s">
        <v>48</v>
      </c>
      <c r="L1097" s="2">
        <v>403.34</v>
      </c>
      <c r="M1097" s="2" t="s">
        <v>19</v>
      </c>
      <c r="N1097" s="2" t="s">
        <v>50</v>
      </c>
      <c r="O1097" s="2">
        <v>67</v>
      </c>
      <c r="P1097" s="2">
        <v>4</v>
      </c>
    </row>
    <row r="1098" spans="2:16" ht="21" hidden="1" x14ac:dyDescent="0.55000000000000004">
      <c r="B1098" s="2" t="s">
        <v>2755</v>
      </c>
      <c r="C1098" s="2" t="s">
        <v>2756</v>
      </c>
      <c r="D1098" s="2" t="s">
        <v>60</v>
      </c>
      <c r="E1098" s="2" t="s">
        <v>74</v>
      </c>
      <c r="F1098" s="6" t="s">
        <v>144</v>
      </c>
      <c r="G1098" s="10">
        <f t="shared" si="51"/>
        <v>2024</v>
      </c>
      <c r="H1098" s="10">
        <f t="shared" si="52"/>
        <v>1</v>
      </c>
      <c r="I1098" s="10">
        <f t="shared" si="53"/>
        <v>7</v>
      </c>
      <c r="J1098" s="9" t="s">
        <v>1437</v>
      </c>
      <c r="K1098" s="2" t="s">
        <v>64</v>
      </c>
      <c r="L1098" s="2">
        <v>282.58999999999997</v>
      </c>
      <c r="M1098" s="2" t="s">
        <v>65</v>
      </c>
      <c r="N1098" s="2" t="s">
        <v>20</v>
      </c>
      <c r="O1098" s="2">
        <v>45</v>
      </c>
      <c r="P1098" s="2">
        <v>1</v>
      </c>
    </row>
    <row r="1099" spans="2:16" ht="21" hidden="1" x14ac:dyDescent="0.55000000000000004">
      <c r="B1099" s="2" t="s">
        <v>2757</v>
      </c>
      <c r="C1099" s="2" t="s">
        <v>2758</v>
      </c>
      <c r="D1099" s="2" t="s">
        <v>53</v>
      </c>
      <c r="E1099" s="2" t="s">
        <v>74</v>
      </c>
      <c r="F1099" s="6" t="s">
        <v>113</v>
      </c>
      <c r="G1099" s="10">
        <f t="shared" si="51"/>
        <v>2024</v>
      </c>
      <c r="H1099" s="10">
        <f t="shared" si="52"/>
        <v>1</v>
      </c>
      <c r="I1099" s="10">
        <f t="shared" si="53"/>
        <v>15</v>
      </c>
      <c r="J1099" s="9" t="s">
        <v>1313</v>
      </c>
      <c r="K1099" s="2" t="s">
        <v>57</v>
      </c>
      <c r="L1099" s="2">
        <v>476.58</v>
      </c>
      <c r="M1099" s="2" t="s">
        <v>49</v>
      </c>
      <c r="N1099" s="2" t="s">
        <v>26</v>
      </c>
      <c r="O1099" s="2">
        <v>64</v>
      </c>
      <c r="P1099" s="2">
        <v>2</v>
      </c>
    </row>
    <row r="1100" spans="2:16" ht="21" hidden="1" x14ac:dyDescent="0.55000000000000004">
      <c r="B1100" s="2" t="s">
        <v>2759</v>
      </c>
      <c r="C1100" s="2" t="s">
        <v>352</v>
      </c>
      <c r="D1100" s="2" t="s">
        <v>117</v>
      </c>
      <c r="E1100" s="2" t="s">
        <v>125</v>
      </c>
      <c r="F1100" s="6" t="s">
        <v>24</v>
      </c>
      <c r="G1100" s="10">
        <f t="shared" si="51"/>
        <v>2024</v>
      </c>
      <c r="H1100" s="10">
        <f t="shared" si="52"/>
        <v>1</v>
      </c>
      <c r="I1100" s="10">
        <f t="shared" si="53"/>
        <v>21</v>
      </c>
      <c r="J1100" s="9" t="s">
        <v>1499</v>
      </c>
      <c r="K1100" s="2" t="s">
        <v>18</v>
      </c>
      <c r="L1100" s="2">
        <v>112.56</v>
      </c>
      <c r="M1100" s="2" t="s">
        <v>19</v>
      </c>
      <c r="N1100" s="2" t="s">
        <v>50</v>
      </c>
      <c r="O1100" s="2">
        <v>21</v>
      </c>
      <c r="P1100" s="2">
        <v>3</v>
      </c>
    </row>
    <row r="1101" spans="2:16" ht="21" hidden="1" x14ac:dyDescent="0.55000000000000004">
      <c r="B1101" s="2" t="s">
        <v>2760</v>
      </c>
      <c r="C1101" s="2" t="s">
        <v>2761</v>
      </c>
      <c r="D1101" s="2" t="s">
        <v>44</v>
      </c>
      <c r="E1101" s="2" t="s">
        <v>45</v>
      </c>
      <c r="F1101" s="6" t="s">
        <v>24</v>
      </c>
      <c r="G1101" s="10">
        <f t="shared" si="51"/>
        <v>2024</v>
      </c>
      <c r="H1101" s="10">
        <f t="shared" si="52"/>
        <v>1</v>
      </c>
      <c r="I1101" s="10">
        <f t="shared" si="53"/>
        <v>21</v>
      </c>
      <c r="J1101" s="9" t="s">
        <v>2639</v>
      </c>
      <c r="K1101" s="2" t="s">
        <v>91</v>
      </c>
      <c r="L1101" s="2">
        <v>280.07</v>
      </c>
      <c r="M1101" s="2" t="s">
        <v>122</v>
      </c>
      <c r="N1101" s="2" t="s">
        <v>26</v>
      </c>
      <c r="O1101" s="2">
        <v>39</v>
      </c>
      <c r="P1101" s="2">
        <v>2</v>
      </c>
    </row>
    <row r="1102" spans="2:16" ht="21" hidden="1" x14ac:dyDescent="0.55000000000000004">
      <c r="B1102" s="2" t="s">
        <v>2762</v>
      </c>
      <c r="C1102" s="2" t="s">
        <v>2763</v>
      </c>
      <c r="D1102" s="2" t="s">
        <v>68</v>
      </c>
      <c r="E1102" s="2" t="s">
        <v>80</v>
      </c>
      <c r="F1102" s="6" t="s">
        <v>55</v>
      </c>
      <c r="G1102" s="10">
        <f t="shared" si="51"/>
        <v>2024</v>
      </c>
      <c r="H1102" s="10">
        <f t="shared" si="52"/>
        <v>1</v>
      </c>
      <c r="I1102" s="10">
        <f t="shared" si="53"/>
        <v>8</v>
      </c>
      <c r="J1102" s="9" t="s">
        <v>2764</v>
      </c>
      <c r="K1102" s="2" t="s">
        <v>33</v>
      </c>
      <c r="L1102" s="2">
        <v>270.63</v>
      </c>
      <c r="M1102" s="2" t="s">
        <v>49</v>
      </c>
      <c r="N1102" s="2" t="s">
        <v>20</v>
      </c>
      <c r="O1102" s="2">
        <v>30</v>
      </c>
      <c r="P1102" s="2"/>
    </row>
    <row r="1103" spans="2:16" ht="21" hidden="1" x14ac:dyDescent="0.55000000000000004">
      <c r="B1103" s="2" t="s">
        <v>2765</v>
      </c>
      <c r="C1103" s="2" t="s">
        <v>2766</v>
      </c>
      <c r="D1103" s="2" t="s">
        <v>53</v>
      </c>
      <c r="E1103" s="2" t="s">
        <v>61</v>
      </c>
      <c r="F1103" s="6" t="s">
        <v>118</v>
      </c>
      <c r="G1103" s="10">
        <f t="shared" si="51"/>
        <v>2024</v>
      </c>
      <c r="H1103" s="10">
        <f t="shared" si="52"/>
        <v>1</v>
      </c>
      <c r="I1103" s="10">
        <f t="shared" si="53"/>
        <v>24</v>
      </c>
      <c r="J1103" s="9" t="s">
        <v>2492</v>
      </c>
      <c r="K1103" s="2" t="s">
        <v>33</v>
      </c>
      <c r="L1103" s="2">
        <v>440.56</v>
      </c>
      <c r="M1103" s="2" t="s">
        <v>49</v>
      </c>
      <c r="N1103" s="2" t="s">
        <v>26</v>
      </c>
      <c r="O1103" s="2">
        <v>42</v>
      </c>
      <c r="P1103" s="2"/>
    </row>
    <row r="1104" spans="2:16" ht="21" hidden="1" x14ac:dyDescent="0.55000000000000004">
      <c r="B1104" s="2" t="s">
        <v>2767</v>
      </c>
      <c r="C1104" s="2" t="s">
        <v>2768</v>
      </c>
      <c r="D1104" s="2" t="s">
        <v>117</v>
      </c>
      <c r="E1104" s="2" t="s">
        <v>80</v>
      </c>
      <c r="F1104" s="6" t="s">
        <v>31</v>
      </c>
      <c r="G1104" s="10">
        <f t="shared" si="51"/>
        <v>2024</v>
      </c>
      <c r="H1104" s="10">
        <f t="shared" si="52"/>
        <v>1</v>
      </c>
      <c r="I1104" s="10">
        <f t="shared" si="53"/>
        <v>14</v>
      </c>
      <c r="J1104" s="9" t="s">
        <v>362</v>
      </c>
      <c r="K1104" s="2" t="s">
        <v>33</v>
      </c>
      <c r="L1104" s="2">
        <v>455.08</v>
      </c>
      <c r="M1104" s="2" t="s">
        <v>65</v>
      </c>
      <c r="N1104" s="2" t="s">
        <v>26</v>
      </c>
      <c r="O1104" s="2">
        <v>35</v>
      </c>
      <c r="P1104" s="2">
        <v>5</v>
      </c>
    </row>
    <row r="1105" spans="2:16" ht="21" hidden="1" x14ac:dyDescent="0.55000000000000004">
      <c r="B1105" s="2" t="s">
        <v>2769</v>
      </c>
      <c r="C1105" s="2" t="s">
        <v>2770</v>
      </c>
      <c r="D1105" s="2" t="s">
        <v>117</v>
      </c>
      <c r="E1105" s="2" t="s">
        <v>15</v>
      </c>
      <c r="F1105" s="6" t="s">
        <v>198</v>
      </c>
      <c r="G1105" s="10">
        <f t="shared" si="51"/>
        <v>2024</v>
      </c>
      <c r="H1105" s="10">
        <f t="shared" si="52"/>
        <v>1</v>
      </c>
      <c r="I1105" s="10">
        <f t="shared" si="53"/>
        <v>4</v>
      </c>
      <c r="J1105" s="9" t="s">
        <v>1082</v>
      </c>
      <c r="K1105" s="2" t="s">
        <v>40</v>
      </c>
      <c r="L1105" s="2">
        <v>207.79</v>
      </c>
      <c r="M1105" s="2" t="s">
        <v>19</v>
      </c>
      <c r="N1105" s="2" t="s">
        <v>41</v>
      </c>
      <c r="O1105" s="2">
        <v>77</v>
      </c>
      <c r="P1105" s="2">
        <v>3</v>
      </c>
    </row>
    <row r="1106" spans="2:16" ht="21" x14ac:dyDescent="0.55000000000000004">
      <c r="B1106" s="2" t="s">
        <v>2771</v>
      </c>
      <c r="C1106" s="2" t="s">
        <v>718</v>
      </c>
      <c r="D1106" s="2" t="s">
        <v>44</v>
      </c>
      <c r="E1106" s="2" t="s">
        <v>54</v>
      </c>
      <c r="F1106" s="6" t="s">
        <v>113</v>
      </c>
      <c r="G1106" s="10">
        <f t="shared" si="51"/>
        <v>2024</v>
      </c>
      <c r="H1106" s="10">
        <f t="shared" si="52"/>
        <v>1</v>
      </c>
      <c r="I1106" s="10">
        <f t="shared" si="53"/>
        <v>15</v>
      </c>
      <c r="J1106" s="9" t="s">
        <v>1752</v>
      </c>
      <c r="K1106" s="2" t="s">
        <v>64</v>
      </c>
      <c r="L1106" s="2">
        <v>450.39</v>
      </c>
      <c r="M1106" s="2" t="s">
        <v>122</v>
      </c>
      <c r="N1106" s="2" t="s">
        <v>50</v>
      </c>
      <c r="O1106" s="2">
        <v>43</v>
      </c>
      <c r="P1106" s="2">
        <v>1</v>
      </c>
    </row>
    <row r="1107" spans="2:16" ht="21" hidden="1" x14ac:dyDescent="0.55000000000000004">
      <c r="B1107" s="2" t="s">
        <v>2772</v>
      </c>
      <c r="C1107" s="2" t="s">
        <v>2773</v>
      </c>
      <c r="D1107" s="2" t="s">
        <v>53</v>
      </c>
      <c r="E1107" s="2" t="s">
        <v>74</v>
      </c>
      <c r="F1107" s="6" t="s">
        <v>62</v>
      </c>
      <c r="G1107" s="10">
        <f t="shared" si="51"/>
        <v>2024</v>
      </c>
      <c r="H1107" s="10">
        <f t="shared" si="52"/>
        <v>1</v>
      </c>
      <c r="I1107" s="10">
        <f t="shared" si="53"/>
        <v>31</v>
      </c>
      <c r="J1107" s="9" t="s">
        <v>914</v>
      </c>
      <c r="K1107" s="2" t="s">
        <v>77</v>
      </c>
      <c r="L1107" s="2">
        <v>103.39</v>
      </c>
      <c r="M1107" s="2" t="s">
        <v>19</v>
      </c>
      <c r="N1107" s="2" t="s">
        <v>26</v>
      </c>
      <c r="O1107" s="2">
        <v>62</v>
      </c>
      <c r="P1107" s="2">
        <v>5</v>
      </c>
    </row>
    <row r="1108" spans="2:16" ht="21" hidden="1" x14ac:dyDescent="0.55000000000000004">
      <c r="B1108" s="2" t="s">
        <v>2774</v>
      </c>
      <c r="C1108" s="2" t="s">
        <v>2775</v>
      </c>
      <c r="D1108" s="2" t="s">
        <v>60</v>
      </c>
      <c r="E1108" s="2" t="s">
        <v>80</v>
      </c>
      <c r="F1108" s="6" t="s">
        <v>62</v>
      </c>
      <c r="G1108" s="10">
        <f t="shared" si="51"/>
        <v>2024</v>
      </c>
      <c r="H1108" s="10">
        <f t="shared" si="52"/>
        <v>1</v>
      </c>
      <c r="I1108" s="10">
        <f t="shared" si="53"/>
        <v>31</v>
      </c>
      <c r="J1108" s="9" t="s">
        <v>2776</v>
      </c>
      <c r="K1108" s="2" t="s">
        <v>48</v>
      </c>
      <c r="L1108" s="2">
        <v>264.77999999999997</v>
      </c>
      <c r="M1108" s="2" t="s">
        <v>122</v>
      </c>
      <c r="N1108" s="2" t="s">
        <v>41</v>
      </c>
      <c r="O1108" s="2">
        <v>24</v>
      </c>
      <c r="P1108" s="2">
        <v>5</v>
      </c>
    </row>
    <row r="1109" spans="2:16" ht="21" hidden="1" x14ac:dyDescent="0.55000000000000004">
      <c r="B1109" s="2" t="s">
        <v>2777</v>
      </c>
      <c r="C1109" s="2" t="s">
        <v>2778</v>
      </c>
      <c r="D1109" s="2" t="s">
        <v>23</v>
      </c>
      <c r="E1109" s="2" t="s">
        <v>89</v>
      </c>
      <c r="F1109" s="6" t="s">
        <v>272</v>
      </c>
      <c r="G1109" s="10">
        <f t="shared" si="51"/>
        <v>2024</v>
      </c>
      <c r="H1109" s="10">
        <f t="shared" si="52"/>
        <v>1</v>
      </c>
      <c r="I1109" s="10">
        <f t="shared" si="53"/>
        <v>1</v>
      </c>
      <c r="J1109" s="9" t="s">
        <v>756</v>
      </c>
      <c r="K1109" s="2" t="s">
        <v>77</v>
      </c>
      <c r="L1109" s="2">
        <v>66.87</v>
      </c>
      <c r="M1109" s="2" t="s">
        <v>19</v>
      </c>
      <c r="N1109" s="2" t="s">
        <v>50</v>
      </c>
      <c r="O1109" s="2">
        <v>62</v>
      </c>
      <c r="P1109" s="2">
        <v>1</v>
      </c>
    </row>
    <row r="1110" spans="2:16" ht="21" hidden="1" x14ac:dyDescent="0.55000000000000004">
      <c r="B1110" s="2" t="s">
        <v>2779</v>
      </c>
      <c r="C1110" s="2" t="s">
        <v>2780</v>
      </c>
      <c r="D1110" s="2" t="s">
        <v>53</v>
      </c>
      <c r="E1110" s="2" t="s">
        <v>74</v>
      </c>
      <c r="F1110" s="6" t="s">
        <v>69</v>
      </c>
      <c r="G1110" s="10">
        <f t="shared" si="51"/>
        <v>2024</v>
      </c>
      <c r="H1110" s="10">
        <f t="shared" si="52"/>
        <v>1</v>
      </c>
      <c r="I1110" s="10">
        <f t="shared" si="53"/>
        <v>27</v>
      </c>
      <c r="J1110" s="9" t="s">
        <v>378</v>
      </c>
      <c r="K1110" s="2" t="s">
        <v>40</v>
      </c>
      <c r="L1110" s="2">
        <v>374</v>
      </c>
      <c r="M1110" s="2" t="s">
        <v>65</v>
      </c>
      <c r="N1110" s="2" t="s">
        <v>41</v>
      </c>
      <c r="O1110" s="2">
        <v>35</v>
      </c>
      <c r="P1110" s="2"/>
    </row>
    <row r="1111" spans="2:16" ht="21" hidden="1" x14ac:dyDescent="0.55000000000000004">
      <c r="B1111" s="2" t="s">
        <v>2781</v>
      </c>
      <c r="C1111" s="2" t="s">
        <v>2623</v>
      </c>
      <c r="D1111" s="2" t="s">
        <v>68</v>
      </c>
      <c r="E1111" s="2" t="s">
        <v>37</v>
      </c>
      <c r="F1111" s="6" t="s">
        <v>62</v>
      </c>
      <c r="G1111" s="10">
        <f t="shared" si="51"/>
        <v>2024</v>
      </c>
      <c r="H1111" s="10">
        <f t="shared" si="52"/>
        <v>1</v>
      </c>
      <c r="I1111" s="10">
        <f t="shared" si="53"/>
        <v>31</v>
      </c>
      <c r="J1111" s="9" t="s">
        <v>158</v>
      </c>
      <c r="K1111" s="2" t="s">
        <v>18</v>
      </c>
      <c r="L1111" s="2">
        <v>357.8</v>
      </c>
      <c r="M1111" s="2" t="s">
        <v>49</v>
      </c>
      <c r="N1111" s="2" t="s">
        <v>41</v>
      </c>
      <c r="O1111" s="2">
        <v>70</v>
      </c>
      <c r="P1111" s="2">
        <v>5</v>
      </c>
    </row>
    <row r="1112" spans="2:16" ht="21" hidden="1" x14ac:dyDescent="0.55000000000000004">
      <c r="B1112" s="2" t="s">
        <v>2782</v>
      </c>
      <c r="C1112" s="2" t="s">
        <v>2783</v>
      </c>
      <c r="D1112" s="2" t="s">
        <v>29</v>
      </c>
      <c r="E1112" s="2" t="s">
        <v>125</v>
      </c>
      <c r="F1112" s="6" t="s">
        <v>75</v>
      </c>
      <c r="G1112" s="10">
        <f t="shared" si="51"/>
        <v>2024</v>
      </c>
      <c r="H1112" s="10">
        <f t="shared" si="52"/>
        <v>1</v>
      </c>
      <c r="I1112" s="10">
        <f t="shared" si="53"/>
        <v>25</v>
      </c>
      <c r="J1112" s="9" t="s">
        <v>2784</v>
      </c>
      <c r="K1112" s="2" t="s">
        <v>64</v>
      </c>
      <c r="L1112" s="2">
        <v>65.77</v>
      </c>
      <c r="M1112" s="2" t="s">
        <v>19</v>
      </c>
      <c r="N1112" s="2" t="s">
        <v>20</v>
      </c>
      <c r="O1112" s="2">
        <v>73</v>
      </c>
      <c r="P1112" s="2">
        <v>3</v>
      </c>
    </row>
    <row r="1113" spans="2:16" ht="21" hidden="1" x14ac:dyDescent="0.55000000000000004">
      <c r="B1113" s="2" t="s">
        <v>2785</v>
      </c>
      <c r="C1113" s="2" t="s">
        <v>2786</v>
      </c>
      <c r="D1113" s="2" t="s">
        <v>23</v>
      </c>
      <c r="E1113" s="2" t="s">
        <v>80</v>
      </c>
      <c r="F1113" s="6" t="s">
        <v>302</v>
      </c>
      <c r="G1113" s="10">
        <f t="shared" si="51"/>
        <v>2024</v>
      </c>
      <c r="H1113" s="10">
        <f t="shared" si="52"/>
        <v>1</v>
      </c>
      <c r="I1113" s="10">
        <f t="shared" si="53"/>
        <v>2</v>
      </c>
      <c r="J1113" s="9" t="s">
        <v>2787</v>
      </c>
      <c r="K1113" s="2" t="s">
        <v>64</v>
      </c>
      <c r="L1113" s="2">
        <v>53.8</v>
      </c>
      <c r="M1113" s="2" t="s">
        <v>122</v>
      </c>
      <c r="N1113" s="2" t="s">
        <v>50</v>
      </c>
      <c r="O1113" s="2">
        <v>16</v>
      </c>
      <c r="P1113" s="2">
        <v>4</v>
      </c>
    </row>
    <row r="1114" spans="2:16" ht="21" hidden="1" x14ac:dyDescent="0.55000000000000004">
      <c r="B1114" s="2" t="s">
        <v>2788</v>
      </c>
      <c r="C1114" s="2" t="s">
        <v>2789</v>
      </c>
      <c r="D1114" s="2" t="s">
        <v>14</v>
      </c>
      <c r="E1114" s="2" t="s">
        <v>89</v>
      </c>
      <c r="F1114" s="6" t="s">
        <v>97</v>
      </c>
      <c r="G1114" s="10">
        <f t="shared" si="51"/>
        <v>2024</v>
      </c>
      <c r="H1114" s="10">
        <f t="shared" si="52"/>
        <v>1</v>
      </c>
      <c r="I1114" s="10">
        <f t="shared" si="53"/>
        <v>23</v>
      </c>
      <c r="J1114" s="9" t="s">
        <v>288</v>
      </c>
      <c r="K1114" s="2" t="s">
        <v>57</v>
      </c>
      <c r="L1114" s="2">
        <v>195.43</v>
      </c>
      <c r="M1114" s="2" t="s">
        <v>65</v>
      </c>
      <c r="N1114" s="2" t="s">
        <v>41</v>
      </c>
      <c r="O1114" s="2">
        <v>24</v>
      </c>
      <c r="P1114" s="2">
        <v>4</v>
      </c>
    </row>
    <row r="1115" spans="2:16" ht="21" hidden="1" x14ac:dyDescent="0.55000000000000004">
      <c r="B1115" s="2" t="s">
        <v>2790</v>
      </c>
      <c r="C1115" s="2" t="s">
        <v>2791</v>
      </c>
      <c r="D1115" s="2" t="s">
        <v>44</v>
      </c>
      <c r="E1115" s="2" t="s">
        <v>80</v>
      </c>
      <c r="F1115" s="6" t="s">
        <v>144</v>
      </c>
      <c r="G1115" s="10">
        <f t="shared" si="51"/>
        <v>2024</v>
      </c>
      <c r="H1115" s="10">
        <f t="shared" si="52"/>
        <v>1</v>
      </c>
      <c r="I1115" s="10">
        <f t="shared" si="53"/>
        <v>7</v>
      </c>
      <c r="J1115" s="9" t="s">
        <v>1200</v>
      </c>
      <c r="K1115" s="2" t="s">
        <v>64</v>
      </c>
      <c r="L1115" s="2">
        <v>56.74</v>
      </c>
      <c r="M1115" s="2" t="s">
        <v>122</v>
      </c>
      <c r="N1115" s="2" t="s">
        <v>26</v>
      </c>
      <c r="O1115" s="2">
        <v>44</v>
      </c>
      <c r="P1115" s="2">
        <v>2</v>
      </c>
    </row>
    <row r="1116" spans="2:16" ht="21" hidden="1" x14ac:dyDescent="0.55000000000000004">
      <c r="B1116" s="2" t="s">
        <v>2792</v>
      </c>
      <c r="C1116" s="2" t="s">
        <v>2793</v>
      </c>
      <c r="D1116" s="2" t="s">
        <v>73</v>
      </c>
      <c r="E1116" s="2" t="s">
        <v>61</v>
      </c>
      <c r="F1116" s="6" t="s">
        <v>129</v>
      </c>
      <c r="G1116" s="10">
        <f t="shared" si="51"/>
        <v>2024</v>
      </c>
      <c r="H1116" s="10">
        <f t="shared" si="52"/>
        <v>1</v>
      </c>
      <c r="I1116" s="10">
        <f t="shared" si="53"/>
        <v>19</v>
      </c>
      <c r="J1116" s="9" t="s">
        <v>2269</v>
      </c>
      <c r="K1116" s="2" t="s">
        <v>57</v>
      </c>
      <c r="L1116" s="2">
        <v>242.48</v>
      </c>
      <c r="M1116" s="2" t="s">
        <v>49</v>
      </c>
      <c r="N1116" s="2" t="s">
        <v>26</v>
      </c>
      <c r="O1116" s="2">
        <v>69</v>
      </c>
      <c r="P1116" s="2"/>
    </row>
    <row r="1117" spans="2:16" ht="21" hidden="1" x14ac:dyDescent="0.55000000000000004">
      <c r="B1117" s="2" t="s">
        <v>2794</v>
      </c>
      <c r="C1117" s="2" t="s">
        <v>2795</v>
      </c>
      <c r="D1117" s="2" t="s">
        <v>117</v>
      </c>
      <c r="E1117" s="2" t="s">
        <v>89</v>
      </c>
      <c r="F1117" s="6" t="s">
        <v>154</v>
      </c>
      <c r="G1117" s="10">
        <f t="shared" si="51"/>
        <v>2024</v>
      </c>
      <c r="H1117" s="10">
        <f t="shared" si="52"/>
        <v>1</v>
      </c>
      <c r="I1117" s="10">
        <f t="shared" si="53"/>
        <v>22</v>
      </c>
      <c r="J1117" s="9" t="s">
        <v>1077</v>
      </c>
      <c r="K1117" s="2" t="s">
        <v>33</v>
      </c>
      <c r="L1117" s="2">
        <v>193.31</v>
      </c>
      <c r="M1117" s="2" t="s">
        <v>122</v>
      </c>
      <c r="N1117" s="2" t="s">
        <v>50</v>
      </c>
      <c r="O1117" s="2">
        <v>87</v>
      </c>
      <c r="P1117" s="2"/>
    </row>
    <row r="1118" spans="2:16" ht="21" hidden="1" x14ac:dyDescent="0.55000000000000004">
      <c r="B1118" s="2" t="s">
        <v>2796</v>
      </c>
      <c r="C1118" s="2" t="s">
        <v>835</v>
      </c>
      <c r="D1118" s="2" t="s">
        <v>73</v>
      </c>
      <c r="E1118" s="2" t="s">
        <v>74</v>
      </c>
      <c r="F1118" s="6" t="s">
        <v>161</v>
      </c>
      <c r="G1118" s="10">
        <f t="shared" si="51"/>
        <v>2024</v>
      </c>
      <c r="H1118" s="10">
        <f t="shared" si="52"/>
        <v>1</v>
      </c>
      <c r="I1118" s="10">
        <f t="shared" si="53"/>
        <v>5</v>
      </c>
      <c r="J1118" s="9" t="s">
        <v>2797</v>
      </c>
      <c r="K1118" s="2" t="s">
        <v>77</v>
      </c>
      <c r="L1118" s="2">
        <v>393.54</v>
      </c>
      <c r="M1118" s="2" t="s">
        <v>49</v>
      </c>
      <c r="N1118" s="2" t="s">
        <v>41</v>
      </c>
      <c r="O1118" s="2">
        <v>86</v>
      </c>
      <c r="P1118" s="2">
        <v>5</v>
      </c>
    </row>
    <row r="1119" spans="2:16" ht="21" hidden="1" x14ac:dyDescent="0.55000000000000004">
      <c r="B1119" s="2" t="s">
        <v>2798</v>
      </c>
      <c r="C1119" s="2" t="s">
        <v>2799</v>
      </c>
      <c r="D1119" s="2" t="s">
        <v>29</v>
      </c>
      <c r="E1119" s="2" t="s">
        <v>139</v>
      </c>
      <c r="F1119" s="6" t="s">
        <v>16</v>
      </c>
      <c r="G1119" s="10">
        <f t="shared" si="51"/>
        <v>2024</v>
      </c>
      <c r="H1119" s="10">
        <f t="shared" si="52"/>
        <v>1</v>
      </c>
      <c r="I1119" s="10">
        <f t="shared" si="53"/>
        <v>9</v>
      </c>
      <c r="J1119" s="9" t="s">
        <v>2800</v>
      </c>
      <c r="K1119" s="2" t="s">
        <v>48</v>
      </c>
      <c r="L1119" s="2">
        <v>441.13</v>
      </c>
      <c r="M1119" s="2" t="s">
        <v>19</v>
      </c>
      <c r="N1119" s="2" t="s">
        <v>26</v>
      </c>
      <c r="O1119" s="2">
        <v>79</v>
      </c>
      <c r="P1119" s="2">
        <v>5</v>
      </c>
    </row>
    <row r="1120" spans="2:16" ht="21" hidden="1" x14ac:dyDescent="0.55000000000000004">
      <c r="B1120" s="2" t="s">
        <v>2801</v>
      </c>
      <c r="C1120" s="2" t="s">
        <v>2802</v>
      </c>
      <c r="D1120" s="2" t="s">
        <v>14</v>
      </c>
      <c r="E1120" s="2" t="s">
        <v>80</v>
      </c>
      <c r="F1120" s="6" t="s">
        <v>272</v>
      </c>
      <c r="G1120" s="10">
        <f t="shared" si="51"/>
        <v>2024</v>
      </c>
      <c r="H1120" s="10">
        <f t="shared" si="52"/>
        <v>1</v>
      </c>
      <c r="I1120" s="10">
        <f t="shared" si="53"/>
        <v>1</v>
      </c>
      <c r="J1120" s="9" t="s">
        <v>1316</v>
      </c>
      <c r="K1120" s="2" t="s">
        <v>91</v>
      </c>
      <c r="L1120" s="2">
        <v>311.25</v>
      </c>
      <c r="M1120" s="2" t="s">
        <v>49</v>
      </c>
      <c r="N1120" s="2" t="s">
        <v>26</v>
      </c>
      <c r="O1120" s="2">
        <v>66</v>
      </c>
      <c r="P1120" s="2">
        <v>5</v>
      </c>
    </row>
    <row r="1121" spans="2:16" ht="21" hidden="1" x14ac:dyDescent="0.55000000000000004">
      <c r="B1121" s="2" t="s">
        <v>2803</v>
      </c>
      <c r="C1121" s="2" t="s">
        <v>2804</v>
      </c>
      <c r="D1121" s="2" t="s">
        <v>106</v>
      </c>
      <c r="E1121" s="2" t="s">
        <v>89</v>
      </c>
      <c r="F1121" s="6" t="s">
        <v>113</v>
      </c>
      <c r="G1121" s="10">
        <f t="shared" si="51"/>
        <v>2024</v>
      </c>
      <c r="H1121" s="10">
        <f t="shared" si="52"/>
        <v>1</v>
      </c>
      <c r="I1121" s="10">
        <f t="shared" si="53"/>
        <v>15</v>
      </c>
      <c r="J1121" s="9" t="s">
        <v>2805</v>
      </c>
      <c r="K1121" s="2" t="s">
        <v>18</v>
      </c>
      <c r="L1121" s="2">
        <v>471.45</v>
      </c>
      <c r="M1121" s="2" t="s">
        <v>65</v>
      </c>
      <c r="N1121" s="2" t="s">
        <v>50</v>
      </c>
      <c r="O1121" s="2">
        <v>23</v>
      </c>
      <c r="P1121" s="2">
        <v>4</v>
      </c>
    </row>
    <row r="1122" spans="2:16" ht="21" hidden="1" x14ac:dyDescent="0.55000000000000004">
      <c r="B1122" s="2" t="s">
        <v>2806</v>
      </c>
      <c r="C1122" s="2" t="s">
        <v>2274</v>
      </c>
      <c r="D1122" s="2" t="s">
        <v>106</v>
      </c>
      <c r="E1122" s="2" t="s">
        <v>15</v>
      </c>
      <c r="F1122" s="6" t="s">
        <v>97</v>
      </c>
      <c r="G1122" s="10">
        <f t="shared" si="51"/>
        <v>2024</v>
      </c>
      <c r="H1122" s="10">
        <f t="shared" si="52"/>
        <v>1</v>
      </c>
      <c r="I1122" s="10">
        <f t="shared" si="53"/>
        <v>23</v>
      </c>
      <c r="J1122" s="9" t="s">
        <v>403</v>
      </c>
      <c r="K1122" s="2" t="s">
        <v>57</v>
      </c>
      <c r="L1122" s="2">
        <v>245.47</v>
      </c>
      <c r="M1122" s="2" t="s">
        <v>122</v>
      </c>
      <c r="N1122" s="2" t="s">
        <v>50</v>
      </c>
      <c r="O1122" s="2">
        <v>52</v>
      </c>
      <c r="P1122" s="2">
        <v>3</v>
      </c>
    </row>
    <row r="1123" spans="2:16" ht="21" hidden="1" x14ac:dyDescent="0.55000000000000004">
      <c r="B1123" s="2" t="s">
        <v>2807</v>
      </c>
      <c r="C1123" s="2" t="s">
        <v>2808</v>
      </c>
      <c r="D1123" s="2" t="s">
        <v>68</v>
      </c>
      <c r="E1123" s="2" t="s">
        <v>74</v>
      </c>
      <c r="F1123" s="6" t="s">
        <v>349</v>
      </c>
      <c r="G1123" s="10">
        <f t="shared" si="51"/>
        <v>2024</v>
      </c>
      <c r="H1123" s="10">
        <f t="shared" si="52"/>
        <v>1</v>
      </c>
      <c r="I1123" s="10">
        <f t="shared" si="53"/>
        <v>12</v>
      </c>
      <c r="J1123" s="9" t="s">
        <v>1683</v>
      </c>
      <c r="K1123" s="2" t="s">
        <v>18</v>
      </c>
      <c r="L1123" s="2">
        <v>448.83</v>
      </c>
      <c r="M1123" s="2" t="s">
        <v>122</v>
      </c>
      <c r="N1123" s="2" t="s">
        <v>20</v>
      </c>
      <c r="O1123" s="2">
        <v>41</v>
      </c>
      <c r="P1123" s="2">
        <v>3</v>
      </c>
    </row>
    <row r="1124" spans="2:16" ht="21" hidden="1" x14ac:dyDescent="0.55000000000000004">
      <c r="B1124" s="2" t="s">
        <v>2809</v>
      </c>
      <c r="C1124" s="2" t="s">
        <v>2810</v>
      </c>
      <c r="D1124" s="2" t="s">
        <v>44</v>
      </c>
      <c r="E1124" s="2" t="s">
        <v>125</v>
      </c>
      <c r="F1124" s="6" t="s">
        <v>238</v>
      </c>
      <c r="G1124" s="10">
        <f t="shared" si="51"/>
        <v>2024</v>
      </c>
      <c r="H1124" s="10">
        <f t="shared" si="52"/>
        <v>1</v>
      </c>
      <c r="I1124" s="10">
        <f t="shared" si="53"/>
        <v>20</v>
      </c>
      <c r="J1124" s="9" t="s">
        <v>2811</v>
      </c>
      <c r="K1124" s="2" t="s">
        <v>33</v>
      </c>
      <c r="L1124" s="2">
        <v>66.12</v>
      </c>
      <c r="M1124" s="2" t="s">
        <v>49</v>
      </c>
      <c r="N1124" s="2" t="s">
        <v>20</v>
      </c>
      <c r="O1124" s="2">
        <v>61</v>
      </c>
      <c r="P1124" s="2">
        <v>2</v>
      </c>
    </row>
    <row r="1125" spans="2:16" ht="21" hidden="1" x14ac:dyDescent="0.55000000000000004">
      <c r="B1125" s="2" t="s">
        <v>2812</v>
      </c>
      <c r="C1125" s="2" t="s">
        <v>2813</v>
      </c>
      <c r="D1125" s="2" t="s">
        <v>106</v>
      </c>
      <c r="E1125" s="2" t="s">
        <v>125</v>
      </c>
      <c r="F1125" s="6" t="s">
        <v>118</v>
      </c>
      <c r="G1125" s="10">
        <f t="shared" si="51"/>
        <v>2024</v>
      </c>
      <c r="H1125" s="10">
        <f t="shared" si="52"/>
        <v>1</v>
      </c>
      <c r="I1125" s="10">
        <f t="shared" si="53"/>
        <v>24</v>
      </c>
      <c r="J1125" s="9" t="s">
        <v>1821</v>
      </c>
      <c r="K1125" s="2" t="s">
        <v>91</v>
      </c>
      <c r="L1125" s="2">
        <v>392.08</v>
      </c>
      <c r="M1125" s="2" t="s">
        <v>49</v>
      </c>
      <c r="N1125" s="2" t="s">
        <v>26</v>
      </c>
      <c r="O1125" s="2">
        <v>74</v>
      </c>
      <c r="P1125" s="2">
        <v>5</v>
      </c>
    </row>
    <row r="1126" spans="2:16" ht="21" hidden="1" x14ac:dyDescent="0.55000000000000004">
      <c r="B1126" s="2" t="s">
        <v>2814</v>
      </c>
      <c r="C1126" s="2" t="s">
        <v>2815</v>
      </c>
      <c r="D1126" s="2" t="s">
        <v>29</v>
      </c>
      <c r="E1126" s="2" t="s">
        <v>89</v>
      </c>
      <c r="F1126" s="6" t="s">
        <v>81</v>
      </c>
      <c r="G1126" s="10">
        <f t="shared" si="51"/>
        <v>2024</v>
      </c>
      <c r="H1126" s="10">
        <f t="shared" si="52"/>
        <v>1</v>
      </c>
      <c r="I1126" s="10">
        <f t="shared" si="53"/>
        <v>18</v>
      </c>
      <c r="J1126" s="9" t="s">
        <v>2269</v>
      </c>
      <c r="K1126" s="2" t="s">
        <v>33</v>
      </c>
      <c r="L1126" s="2">
        <v>134.24</v>
      </c>
      <c r="M1126" s="2" t="s">
        <v>49</v>
      </c>
      <c r="N1126" s="2" t="s">
        <v>50</v>
      </c>
      <c r="O1126" s="2">
        <v>65</v>
      </c>
      <c r="P1126" s="2">
        <v>4</v>
      </c>
    </row>
    <row r="1127" spans="2:16" ht="21" hidden="1" x14ac:dyDescent="0.55000000000000004">
      <c r="B1127" s="2" t="s">
        <v>2816</v>
      </c>
      <c r="C1127" s="2" t="s">
        <v>2678</v>
      </c>
      <c r="D1127" s="2" t="s">
        <v>68</v>
      </c>
      <c r="E1127" s="2" t="s">
        <v>37</v>
      </c>
      <c r="F1127" s="6" t="s">
        <v>180</v>
      </c>
      <c r="G1127" s="10">
        <f t="shared" si="51"/>
        <v>2024</v>
      </c>
      <c r="H1127" s="10">
        <f t="shared" si="52"/>
        <v>1</v>
      </c>
      <c r="I1127" s="10">
        <f t="shared" si="53"/>
        <v>28</v>
      </c>
      <c r="J1127" s="9" t="s">
        <v>956</v>
      </c>
      <c r="K1127" s="2" t="s">
        <v>57</v>
      </c>
      <c r="L1127" s="2">
        <v>260.39</v>
      </c>
      <c r="M1127" s="2" t="s">
        <v>65</v>
      </c>
      <c r="N1127" s="2" t="s">
        <v>41</v>
      </c>
      <c r="O1127" s="2">
        <v>85</v>
      </c>
      <c r="P1127" s="2">
        <v>4</v>
      </c>
    </row>
    <row r="1128" spans="2:16" ht="21" hidden="1" x14ac:dyDescent="0.55000000000000004">
      <c r="B1128" s="2" t="s">
        <v>2817</v>
      </c>
      <c r="C1128" s="2" t="s">
        <v>2818</v>
      </c>
      <c r="D1128" s="2" t="s">
        <v>73</v>
      </c>
      <c r="E1128" s="2" t="s">
        <v>15</v>
      </c>
      <c r="F1128" s="6" t="s">
        <v>24</v>
      </c>
      <c r="G1128" s="10">
        <f t="shared" si="51"/>
        <v>2024</v>
      </c>
      <c r="H1128" s="10">
        <f t="shared" si="52"/>
        <v>1</v>
      </c>
      <c r="I1128" s="10">
        <f t="shared" si="53"/>
        <v>21</v>
      </c>
      <c r="J1128" s="9" t="s">
        <v>177</v>
      </c>
      <c r="K1128" s="2" t="s">
        <v>33</v>
      </c>
      <c r="L1128" s="2">
        <v>486.11</v>
      </c>
      <c r="M1128" s="2" t="s">
        <v>49</v>
      </c>
      <c r="N1128" s="2" t="s">
        <v>41</v>
      </c>
      <c r="O1128" s="2">
        <v>18</v>
      </c>
      <c r="P1128" s="2"/>
    </row>
    <row r="1129" spans="2:16" ht="21" hidden="1" x14ac:dyDescent="0.55000000000000004">
      <c r="B1129" s="2" t="s">
        <v>2819</v>
      </c>
      <c r="C1129" s="2" t="s">
        <v>2820</v>
      </c>
      <c r="D1129" s="2" t="s">
        <v>29</v>
      </c>
      <c r="E1129" s="2" t="s">
        <v>89</v>
      </c>
      <c r="F1129" s="6" t="s">
        <v>55</v>
      </c>
      <c r="G1129" s="10">
        <f t="shared" si="51"/>
        <v>2024</v>
      </c>
      <c r="H1129" s="10">
        <f t="shared" si="52"/>
        <v>1</v>
      </c>
      <c r="I1129" s="10">
        <f t="shared" si="53"/>
        <v>8</v>
      </c>
      <c r="J1129" s="9" t="s">
        <v>2410</v>
      </c>
      <c r="K1129" s="2" t="s">
        <v>57</v>
      </c>
      <c r="L1129" s="2">
        <v>416.61</v>
      </c>
      <c r="M1129" s="2" t="s">
        <v>19</v>
      </c>
      <c r="N1129" s="2" t="s">
        <v>50</v>
      </c>
      <c r="O1129" s="2">
        <v>68</v>
      </c>
      <c r="P1129" s="2">
        <v>4</v>
      </c>
    </row>
    <row r="1130" spans="2:16" ht="21" hidden="1" x14ac:dyDescent="0.55000000000000004">
      <c r="B1130" s="2" t="s">
        <v>2821</v>
      </c>
      <c r="C1130" s="2" t="s">
        <v>2822</v>
      </c>
      <c r="D1130" s="2" t="s">
        <v>23</v>
      </c>
      <c r="E1130" s="2" t="s">
        <v>61</v>
      </c>
      <c r="F1130" s="6" t="s">
        <v>302</v>
      </c>
      <c r="G1130" s="10">
        <f t="shared" si="51"/>
        <v>2024</v>
      </c>
      <c r="H1130" s="10">
        <f t="shared" si="52"/>
        <v>1</v>
      </c>
      <c r="I1130" s="10">
        <f t="shared" si="53"/>
        <v>2</v>
      </c>
      <c r="J1130" s="9" t="s">
        <v>2823</v>
      </c>
      <c r="K1130" s="2" t="s">
        <v>77</v>
      </c>
      <c r="L1130" s="2">
        <v>155.77000000000001</v>
      </c>
      <c r="M1130" s="2" t="s">
        <v>122</v>
      </c>
      <c r="N1130" s="2" t="s">
        <v>20</v>
      </c>
      <c r="O1130" s="2">
        <v>20</v>
      </c>
      <c r="P1130" s="2">
        <v>4</v>
      </c>
    </row>
    <row r="1131" spans="2:16" ht="21" x14ac:dyDescent="0.55000000000000004">
      <c r="B1131" s="2" t="s">
        <v>2824</v>
      </c>
      <c r="C1131" s="2" t="s">
        <v>2825</v>
      </c>
      <c r="D1131" s="2" t="s">
        <v>29</v>
      </c>
      <c r="E1131" s="2" t="s">
        <v>54</v>
      </c>
      <c r="F1131" s="6" t="s">
        <v>118</v>
      </c>
      <c r="G1131" s="10">
        <f t="shared" si="51"/>
        <v>2024</v>
      </c>
      <c r="H1131" s="10">
        <f t="shared" si="52"/>
        <v>1</v>
      </c>
      <c r="I1131" s="10">
        <f t="shared" si="53"/>
        <v>24</v>
      </c>
      <c r="J1131" s="9" t="s">
        <v>724</v>
      </c>
      <c r="K1131" s="2" t="s">
        <v>48</v>
      </c>
      <c r="L1131" s="2">
        <v>338.03</v>
      </c>
      <c r="M1131" s="2" t="s">
        <v>65</v>
      </c>
      <c r="N1131" s="2" t="s">
        <v>26</v>
      </c>
      <c r="O1131" s="2">
        <v>45</v>
      </c>
      <c r="P1131" s="2">
        <v>5</v>
      </c>
    </row>
    <row r="1132" spans="2:16" ht="21" hidden="1" x14ac:dyDescent="0.55000000000000004">
      <c r="B1132" s="2" t="s">
        <v>2826</v>
      </c>
      <c r="C1132" s="2" t="s">
        <v>2827</v>
      </c>
      <c r="D1132" s="2" t="s">
        <v>106</v>
      </c>
      <c r="E1132" s="2" t="s">
        <v>61</v>
      </c>
      <c r="F1132" s="6" t="s">
        <v>81</v>
      </c>
      <c r="G1132" s="10">
        <f t="shared" si="51"/>
        <v>2024</v>
      </c>
      <c r="H1132" s="10">
        <f t="shared" si="52"/>
        <v>1</v>
      </c>
      <c r="I1132" s="10">
        <f t="shared" si="53"/>
        <v>18</v>
      </c>
      <c r="J1132" s="9" t="s">
        <v>2415</v>
      </c>
      <c r="K1132" s="2" t="s">
        <v>91</v>
      </c>
      <c r="L1132" s="2">
        <v>491.68</v>
      </c>
      <c r="M1132" s="2" t="s">
        <v>19</v>
      </c>
      <c r="N1132" s="2" t="s">
        <v>20</v>
      </c>
      <c r="O1132" s="2">
        <v>87</v>
      </c>
      <c r="P1132" s="2">
        <v>4</v>
      </c>
    </row>
    <row r="1133" spans="2:16" ht="21" hidden="1" x14ac:dyDescent="0.55000000000000004">
      <c r="B1133" s="2" t="s">
        <v>2828</v>
      </c>
      <c r="C1133" s="2" t="s">
        <v>2829</v>
      </c>
      <c r="D1133" s="2" t="s">
        <v>29</v>
      </c>
      <c r="E1133" s="2" t="s">
        <v>61</v>
      </c>
      <c r="F1133" s="6" t="s">
        <v>102</v>
      </c>
      <c r="G1133" s="10">
        <f t="shared" si="51"/>
        <v>2024</v>
      </c>
      <c r="H1133" s="10">
        <f t="shared" si="52"/>
        <v>1</v>
      </c>
      <c r="I1133" s="10">
        <f t="shared" si="53"/>
        <v>26</v>
      </c>
      <c r="J1133" s="9" t="s">
        <v>2212</v>
      </c>
      <c r="K1133" s="2" t="s">
        <v>91</v>
      </c>
      <c r="L1133" s="2">
        <v>68.81</v>
      </c>
      <c r="M1133" s="2" t="s">
        <v>65</v>
      </c>
      <c r="N1133" s="2" t="s">
        <v>50</v>
      </c>
      <c r="O1133" s="2">
        <v>29</v>
      </c>
      <c r="P1133" s="2">
        <v>3</v>
      </c>
    </row>
    <row r="1134" spans="2:16" ht="21" hidden="1" x14ac:dyDescent="0.55000000000000004">
      <c r="B1134" s="2" t="s">
        <v>2830</v>
      </c>
      <c r="C1134" s="2" t="s">
        <v>2831</v>
      </c>
      <c r="D1134" s="2" t="s">
        <v>29</v>
      </c>
      <c r="E1134" s="2" t="s">
        <v>74</v>
      </c>
      <c r="F1134" s="6" t="s">
        <v>238</v>
      </c>
      <c r="G1134" s="10">
        <f t="shared" si="51"/>
        <v>2024</v>
      </c>
      <c r="H1134" s="10">
        <f t="shared" si="52"/>
        <v>1</v>
      </c>
      <c r="I1134" s="10">
        <f t="shared" si="53"/>
        <v>20</v>
      </c>
      <c r="J1134" s="9" t="s">
        <v>528</v>
      </c>
      <c r="K1134" s="2" t="s">
        <v>64</v>
      </c>
      <c r="L1134" s="2">
        <v>221.39</v>
      </c>
      <c r="M1134" s="2" t="s">
        <v>19</v>
      </c>
      <c r="N1134" s="2" t="s">
        <v>50</v>
      </c>
      <c r="O1134" s="2">
        <v>29</v>
      </c>
      <c r="P1134" s="2">
        <v>1</v>
      </c>
    </row>
    <row r="1135" spans="2:16" ht="21" hidden="1" x14ac:dyDescent="0.55000000000000004">
      <c r="B1135" s="2" t="s">
        <v>2832</v>
      </c>
      <c r="C1135" s="2" t="s">
        <v>2833</v>
      </c>
      <c r="D1135" s="2" t="s">
        <v>29</v>
      </c>
      <c r="E1135" s="2" t="s">
        <v>45</v>
      </c>
      <c r="F1135" s="6" t="s">
        <v>102</v>
      </c>
      <c r="G1135" s="10">
        <f t="shared" si="51"/>
        <v>2024</v>
      </c>
      <c r="H1135" s="10">
        <f t="shared" si="52"/>
        <v>1</v>
      </c>
      <c r="I1135" s="10">
        <f t="shared" si="53"/>
        <v>26</v>
      </c>
      <c r="J1135" s="9" t="s">
        <v>2834</v>
      </c>
      <c r="K1135" s="2" t="s">
        <v>77</v>
      </c>
      <c r="L1135" s="2">
        <v>165.77</v>
      </c>
      <c r="M1135" s="2" t="s">
        <v>49</v>
      </c>
      <c r="N1135" s="2" t="s">
        <v>50</v>
      </c>
      <c r="O1135" s="2">
        <v>18</v>
      </c>
      <c r="P1135" s="2">
        <v>1</v>
      </c>
    </row>
    <row r="1136" spans="2:16" ht="21" hidden="1" x14ac:dyDescent="0.55000000000000004">
      <c r="B1136" s="2" t="s">
        <v>2835</v>
      </c>
      <c r="C1136" s="2" t="s">
        <v>2836</v>
      </c>
      <c r="D1136" s="2" t="s">
        <v>23</v>
      </c>
      <c r="E1136" s="2" t="s">
        <v>80</v>
      </c>
      <c r="F1136" s="6" t="s">
        <v>16</v>
      </c>
      <c r="G1136" s="10">
        <f t="shared" si="51"/>
        <v>2024</v>
      </c>
      <c r="H1136" s="10">
        <f t="shared" si="52"/>
        <v>1</v>
      </c>
      <c r="I1136" s="10">
        <f t="shared" si="53"/>
        <v>9</v>
      </c>
      <c r="J1136" s="9" t="s">
        <v>2452</v>
      </c>
      <c r="K1136" s="2" t="s">
        <v>18</v>
      </c>
      <c r="L1136" s="2">
        <v>238.45</v>
      </c>
      <c r="M1136" s="2" t="s">
        <v>49</v>
      </c>
      <c r="N1136" s="2" t="s">
        <v>50</v>
      </c>
      <c r="O1136" s="2">
        <v>34</v>
      </c>
      <c r="P1136" s="2">
        <v>1</v>
      </c>
    </row>
    <row r="1137" spans="2:16" ht="21" x14ac:dyDescent="0.55000000000000004">
      <c r="B1137" s="2" t="s">
        <v>2837</v>
      </c>
      <c r="C1137" s="2" t="s">
        <v>2838</v>
      </c>
      <c r="D1137" s="2" t="s">
        <v>68</v>
      </c>
      <c r="E1137" s="2" t="s">
        <v>54</v>
      </c>
      <c r="F1137" s="6" t="s">
        <v>97</v>
      </c>
      <c r="G1137" s="10">
        <f t="shared" si="51"/>
        <v>2024</v>
      </c>
      <c r="H1137" s="10">
        <f t="shared" si="52"/>
        <v>1</v>
      </c>
      <c r="I1137" s="10">
        <f t="shared" si="53"/>
        <v>23</v>
      </c>
      <c r="J1137" s="9" t="s">
        <v>2839</v>
      </c>
      <c r="K1137" s="2" t="s">
        <v>91</v>
      </c>
      <c r="L1137" s="2">
        <v>99.17</v>
      </c>
      <c r="M1137" s="2" t="s">
        <v>122</v>
      </c>
      <c r="N1137" s="2" t="s">
        <v>50</v>
      </c>
      <c r="O1137" s="2">
        <v>42</v>
      </c>
      <c r="P1137" s="2">
        <v>3</v>
      </c>
    </row>
    <row r="1138" spans="2:16" ht="21" hidden="1" x14ac:dyDescent="0.55000000000000004">
      <c r="B1138" s="2" t="s">
        <v>2840</v>
      </c>
      <c r="C1138" s="2" t="s">
        <v>2841</v>
      </c>
      <c r="D1138" s="2" t="s">
        <v>53</v>
      </c>
      <c r="E1138" s="2" t="s">
        <v>15</v>
      </c>
      <c r="F1138" s="6" t="s">
        <v>343</v>
      </c>
      <c r="G1138" s="10">
        <f t="shared" si="51"/>
        <v>2024</v>
      </c>
      <c r="H1138" s="10">
        <f t="shared" si="52"/>
        <v>1</v>
      </c>
      <c r="I1138" s="10">
        <f t="shared" si="53"/>
        <v>13</v>
      </c>
      <c r="J1138" s="9" t="s">
        <v>1982</v>
      </c>
      <c r="K1138" s="2" t="s">
        <v>64</v>
      </c>
      <c r="L1138" s="2">
        <v>170.16</v>
      </c>
      <c r="M1138" s="2" t="s">
        <v>19</v>
      </c>
      <c r="N1138" s="2" t="s">
        <v>20</v>
      </c>
      <c r="O1138" s="2">
        <v>46</v>
      </c>
      <c r="P1138" s="2">
        <v>1</v>
      </c>
    </row>
    <row r="1139" spans="2:16" ht="21" hidden="1" x14ac:dyDescent="0.55000000000000004">
      <c r="B1139" s="2" t="s">
        <v>2842</v>
      </c>
      <c r="C1139" s="2" t="s">
        <v>711</v>
      </c>
      <c r="D1139" s="2" t="s">
        <v>44</v>
      </c>
      <c r="E1139" s="2" t="s">
        <v>89</v>
      </c>
      <c r="F1139" s="6" t="s">
        <v>85</v>
      </c>
      <c r="G1139" s="10">
        <f t="shared" si="51"/>
        <v>2024</v>
      </c>
      <c r="H1139" s="10">
        <f t="shared" si="52"/>
        <v>1</v>
      </c>
      <c r="I1139" s="10">
        <f t="shared" si="53"/>
        <v>16</v>
      </c>
      <c r="J1139" s="9" t="s">
        <v>2843</v>
      </c>
      <c r="K1139" s="2" t="s">
        <v>48</v>
      </c>
      <c r="L1139" s="2">
        <v>264.47000000000003</v>
      </c>
      <c r="M1139" s="2" t="s">
        <v>122</v>
      </c>
      <c r="N1139" s="2" t="s">
        <v>50</v>
      </c>
      <c r="O1139" s="2">
        <v>77</v>
      </c>
      <c r="P1139" s="2">
        <v>3</v>
      </c>
    </row>
    <row r="1140" spans="2:16" ht="21" hidden="1" x14ac:dyDescent="0.55000000000000004">
      <c r="B1140" s="2" t="s">
        <v>2844</v>
      </c>
      <c r="C1140" s="2" t="s">
        <v>2845</v>
      </c>
      <c r="D1140" s="2" t="s">
        <v>106</v>
      </c>
      <c r="E1140" s="2" t="s">
        <v>45</v>
      </c>
      <c r="F1140" s="6" t="s">
        <v>140</v>
      </c>
      <c r="G1140" s="10">
        <f t="shared" si="51"/>
        <v>2024</v>
      </c>
      <c r="H1140" s="10">
        <f t="shared" si="52"/>
        <v>1</v>
      </c>
      <c r="I1140" s="10">
        <f t="shared" si="53"/>
        <v>29</v>
      </c>
      <c r="J1140" s="9" t="s">
        <v>63</v>
      </c>
      <c r="K1140" s="2" t="s">
        <v>77</v>
      </c>
      <c r="L1140" s="2">
        <v>378.48</v>
      </c>
      <c r="M1140" s="2" t="s">
        <v>65</v>
      </c>
      <c r="N1140" s="2" t="s">
        <v>41</v>
      </c>
      <c r="O1140" s="2">
        <v>58</v>
      </c>
      <c r="P1140" s="2">
        <v>3</v>
      </c>
    </row>
    <row r="1141" spans="2:16" ht="21" hidden="1" x14ac:dyDescent="0.55000000000000004">
      <c r="B1141" s="2" t="s">
        <v>2846</v>
      </c>
      <c r="C1141" s="2" t="s">
        <v>2847</v>
      </c>
      <c r="D1141" s="2" t="s">
        <v>60</v>
      </c>
      <c r="E1141" s="2" t="s">
        <v>45</v>
      </c>
      <c r="F1141" s="6" t="s">
        <v>161</v>
      </c>
      <c r="G1141" s="10">
        <f t="shared" si="51"/>
        <v>2024</v>
      </c>
      <c r="H1141" s="10">
        <f t="shared" si="52"/>
        <v>1</v>
      </c>
      <c r="I1141" s="10">
        <f t="shared" si="53"/>
        <v>5</v>
      </c>
      <c r="J1141" s="9" t="s">
        <v>2776</v>
      </c>
      <c r="K1141" s="2" t="s">
        <v>91</v>
      </c>
      <c r="L1141" s="2">
        <v>293.67</v>
      </c>
      <c r="M1141" s="2" t="s">
        <v>49</v>
      </c>
      <c r="N1141" s="2" t="s">
        <v>50</v>
      </c>
      <c r="O1141" s="2">
        <v>52</v>
      </c>
      <c r="P1141" s="2">
        <v>4</v>
      </c>
    </row>
    <row r="1142" spans="2:16" ht="21" hidden="1" x14ac:dyDescent="0.55000000000000004">
      <c r="B1142" s="2" t="s">
        <v>2848</v>
      </c>
      <c r="C1142" s="2" t="s">
        <v>2681</v>
      </c>
      <c r="D1142" s="2" t="s">
        <v>23</v>
      </c>
      <c r="E1142" s="2" t="s">
        <v>45</v>
      </c>
      <c r="F1142" s="6" t="s">
        <v>16</v>
      </c>
      <c r="G1142" s="10">
        <f t="shared" si="51"/>
        <v>2024</v>
      </c>
      <c r="H1142" s="10">
        <f t="shared" si="52"/>
        <v>1</v>
      </c>
      <c r="I1142" s="10">
        <f t="shared" si="53"/>
        <v>9</v>
      </c>
      <c r="J1142" s="9" t="s">
        <v>1627</v>
      </c>
      <c r="K1142" s="2" t="s">
        <v>33</v>
      </c>
      <c r="L1142" s="2">
        <v>223.58</v>
      </c>
      <c r="M1142" s="2" t="s">
        <v>19</v>
      </c>
      <c r="N1142" s="2" t="s">
        <v>50</v>
      </c>
      <c r="O1142" s="2">
        <v>23</v>
      </c>
      <c r="P1142" s="2">
        <v>3</v>
      </c>
    </row>
    <row r="1143" spans="2:16" ht="21" hidden="1" x14ac:dyDescent="0.55000000000000004">
      <c r="B1143" s="2" t="s">
        <v>2849</v>
      </c>
      <c r="C1143" s="2" t="s">
        <v>2850</v>
      </c>
      <c r="D1143" s="2" t="s">
        <v>44</v>
      </c>
      <c r="E1143" s="2" t="s">
        <v>45</v>
      </c>
      <c r="F1143" s="6" t="s">
        <v>161</v>
      </c>
      <c r="G1143" s="10">
        <f t="shared" si="51"/>
        <v>2024</v>
      </c>
      <c r="H1143" s="10">
        <f t="shared" si="52"/>
        <v>1</v>
      </c>
      <c r="I1143" s="10">
        <f t="shared" si="53"/>
        <v>5</v>
      </c>
      <c r="J1143" s="9" t="s">
        <v>2851</v>
      </c>
      <c r="K1143" s="2" t="s">
        <v>40</v>
      </c>
      <c r="L1143" s="2">
        <v>80.48</v>
      </c>
      <c r="M1143" s="2" t="s">
        <v>49</v>
      </c>
      <c r="N1143" s="2" t="s">
        <v>20</v>
      </c>
      <c r="O1143" s="2">
        <v>30</v>
      </c>
      <c r="P1143" s="2"/>
    </row>
    <row r="1144" spans="2:16" ht="21" hidden="1" x14ac:dyDescent="0.55000000000000004">
      <c r="B1144" s="2" t="s">
        <v>2852</v>
      </c>
      <c r="C1144" s="2" t="s">
        <v>2853</v>
      </c>
      <c r="D1144" s="2" t="s">
        <v>60</v>
      </c>
      <c r="E1144" s="2" t="s">
        <v>15</v>
      </c>
      <c r="F1144" s="6" t="s">
        <v>55</v>
      </c>
      <c r="G1144" s="10">
        <f t="shared" si="51"/>
        <v>2024</v>
      </c>
      <c r="H1144" s="10">
        <f t="shared" si="52"/>
        <v>1</v>
      </c>
      <c r="I1144" s="10">
        <f t="shared" si="53"/>
        <v>8</v>
      </c>
      <c r="J1144" s="9" t="s">
        <v>2854</v>
      </c>
      <c r="K1144" s="2" t="s">
        <v>33</v>
      </c>
      <c r="L1144" s="2">
        <v>362.74</v>
      </c>
      <c r="M1144" s="2" t="s">
        <v>49</v>
      </c>
      <c r="N1144" s="2" t="s">
        <v>50</v>
      </c>
      <c r="O1144" s="2">
        <v>68</v>
      </c>
      <c r="P1144" s="2">
        <v>5</v>
      </c>
    </row>
    <row r="1145" spans="2:16" ht="21" hidden="1" x14ac:dyDescent="0.55000000000000004">
      <c r="B1145" s="2" t="s">
        <v>2855</v>
      </c>
      <c r="C1145" s="2" t="s">
        <v>2856</v>
      </c>
      <c r="D1145" s="2" t="s">
        <v>73</v>
      </c>
      <c r="E1145" s="2" t="s">
        <v>80</v>
      </c>
      <c r="F1145" s="6" t="s">
        <v>154</v>
      </c>
      <c r="G1145" s="10">
        <f t="shared" si="51"/>
        <v>2024</v>
      </c>
      <c r="H1145" s="10">
        <f t="shared" si="52"/>
        <v>1</v>
      </c>
      <c r="I1145" s="10">
        <f t="shared" si="53"/>
        <v>22</v>
      </c>
      <c r="J1145" s="9" t="s">
        <v>2857</v>
      </c>
      <c r="K1145" s="2" t="s">
        <v>18</v>
      </c>
      <c r="L1145" s="2">
        <v>56.67</v>
      </c>
      <c r="M1145" s="2" t="s">
        <v>19</v>
      </c>
      <c r="N1145" s="2" t="s">
        <v>50</v>
      </c>
      <c r="O1145" s="2">
        <v>67</v>
      </c>
      <c r="P1145" s="2">
        <v>1</v>
      </c>
    </row>
    <row r="1146" spans="2:16" ht="21" hidden="1" x14ac:dyDescent="0.55000000000000004">
      <c r="B1146" s="2" t="s">
        <v>2858</v>
      </c>
      <c r="C1146" s="2" t="s">
        <v>2859</v>
      </c>
      <c r="D1146" s="2" t="s">
        <v>44</v>
      </c>
      <c r="E1146" s="2" t="s">
        <v>74</v>
      </c>
      <c r="F1146" s="6" t="s">
        <v>180</v>
      </c>
      <c r="G1146" s="10">
        <f t="shared" si="51"/>
        <v>2024</v>
      </c>
      <c r="H1146" s="10">
        <f t="shared" si="52"/>
        <v>1</v>
      </c>
      <c r="I1146" s="10">
        <f t="shared" si="53"/>
        <v>28</v>
      </c>
      <c r="J1146" s="9" t="s">
        <v>158</v>
      </c>
      <c r="K1146" s="2" t="s">
        <v>33</v>
      </c>
      <c r="L1146" s="2">
        <v>144.16</v>
      </c>
      <c r="M1146" s="2" t="s">
        <v>49</v>
      </c>
      <c r="N1146" s="2" t="s">
        <v>50</v>
      </c>
      <c r="O1146" s="2">
        <v>75</v>
      </c>
      <c r="P1146" s="2"/>
    </row>
    <row r="1147" spans="2:16" ht="21" hidden="1" x14ac:dyDescent="0.55000000000000004">
      <c r="B1147" s="2" t="s">
        <v>2860</v>
      </c>
      <c r="C1147" s="2" t="s">
        <v>2861</v>
      </c>
      <c r="D1147" s="2" t="s">
        <v>68</v>
      </c>
      <c r="E1147" s="2" t="s">
        <v>89</v>
      </c>
      <c r="F1147" s="6" t="s">
        <v>161</v>
      </c>
      <c r="G1147" s="10">
        <f t="shared" si="51"/>
        <v>2024</v>
      </c>
      <c r="H1147" s="10">
        <f t="shared" si="52"/>
        <v>1</v>
      </c>
      <c r="I1147" s="10">
        <f t="shared" si="53"/>
        <v>5</v>
      </c>
      <c r="J1147" s="9" t="s">
        <v>1969</v>
      </c>
      <c r="K1147" s="2" t="s">
        <v>18</v>
      </c>
      <c r="L1147" s="2">
        <v>262.79000000000002</v>
      </c>
      <c r="M1147" s="2" t="s">
        <v>19</v>
      </c>
      <c r="N1147" s="2" t="s">
        <v>20</v>
      </c>
      <c r="O1147" s="2">
        <v>41</v>
      </c>
      <c r="P1147" s="2"/>
    </row>
    <row r="1148" spans="2:16" ht="21" hidden="1" x14ac:dyDescent="0.55000000000000004">
      <c r="B1148" s="2" t="s">
        <v>2862</v>
      </c>
      <c r="C1148" s="2" t="s">
        <v>2863</v>
      </c>
      <c r="D1148" s="2" t="s">
        <v>73</v>
      </c>
      <c r="E1148" s="2" t="s">
        <v>89</v>
      </c>
      <c r="F1148" s="6" t="s">
        <v>257</v>
      </c>
      <c r="G1148" s="10">
        <f t="shared" si="51"/>
        <v>2024</v>
      </c>
      <c r="H1148" s="10">
        <f t="shared" si="52"/>
        <v>1</v>
      </c>
      <c r="I1148" s="10">
        <f t="shared" si="53"/>
        <v>10</v>
      </c>
      <c r="J1148" s="9" t="s">
        <v>254</v>
      </c>
      <c r="K1148" s="2" t="s">
        <v>57</v>
      </c>
      <c r="L1148" s="2">
        <v>195.05</v>
      </c>
      <c r="M1148" s="2" t="s">
        <v>122</v>
      </c>
      <c r="N1148" s="2" t="s">
        <v>41</v>
      </c>
      <c r="O1148" s="2">
        <v>50</v>
      </c>
      <c r="P1148" s="2">
        <v>5</v>
      </c>
    </row>
    <row r="1149" spans="2:16" ht="21" hidden="1" x14ac:dyDescent="0.55000000000000004">
      <c r="B1149" s="2" t="s">
        <v>2864</v>
      </c>
      <c r="C1149" s="2" t="s">
        <v>2313</v>
      </c>
      <c r="D1149" s="2" t="s">
        <v>23</v>
      </c>
      <c r="E1149" s="2" t="s">
        <v>15</v>
      </c>
      <c r="F1149" s="6" t="s">
        <v>46</v>
      </c>
      <c r="G1149" s="10">
        <f t="shared" si="51"/>
        <v>2024</v>
      </c>
      <c r="H1149" s="10">
        <f t="shared" si="52"/>
        <v>1</v>
      </c>
      <c r="I1149" s="10">
        <f t="shared" si="53"/>
        <v>17</v>
      </c>
      <c r="J1149" s="9" t="s">
        <v>997</v>
      </c>
      <c r="K1149" s="2" t="s">
        <v>64</v>
      </c>
      <c r="L1149" s="2">
        <v>103.59</v>
      </c>
      <c r="M1149" s="2" t="s">
        <v>122</v>
      </c>
      <c r="N1149" s="2" t="s">
        <v>41</v>
      </c>
      <c r="O1149" s="2">
        <v>17</v>
      </c>
      <c r="P1149" s="2">
        <v>4</v>
      </c>
    </row>
    <row r="1150" spans="2:16" ht="21" x14ac:dyDescent="0.55000000000000004">
      <c r="B1150" s="2" t="s">
        <v>2865</v>
      </c>
      <c r="C1150" s="2" t="s">
        <v>2529</v>
      </c>
      <c r="D1150" s="2" t="s">
        <v>44</v>
      </c>
      <c r="E1150" s="2" t="s">
        <v>54</v>
      </c>
      <c r="F1150" s="6" t="s">
        <v>118</v>
      </c>
      <c r="G1150" s="10">
        <f t="shared" si="51"/>
        <v>2024</v>
      </c>
      <c r="H1150" s="10">
        <f t="shared" si="52"/>
        <v>1</v>
      </c>
      <c r="I1150" s="10">
        <f t="shared" si="53"/>
        <v>24</v>
      </c>
      <c r="J1150" s="9" t="s">
        <v>1386</v>
      </c>
      <c r="K1150" s="2" t="s">
        <v>18</v>
      </c>
      <c r="L1150" s="2">
        <v>134.37</v>
      </c>
      <c r="M1150" s="2" t="s">
        <v>65</v>
      </c>
      <c r="N1150" s="2" t="s">
        <v>50</v>
      </c>
      <c r="O1150" s="2">
        <v>49</v>
      </c>
      <c r="P1150" s="2">
        <v>5</v>
      </c>
    </row>
    <row r="1151" spans="2:16" ht="21" hidden="1" x14ac:dyDescent="0.55000000000000004">
      <c r="B1151" s="2" t="s">
        <v>2866</v>
      </c>
      <c r="C1151" s="2" t="s">
        <v>2867</v>
      </c>
      <c r="D1151" s="2" t="s">
        <v>53</v>
      </c>
      <c r="E1151" s="2" t="s">
        <v>61</v>
      </c>
      <c r="F1151" s="6" t="s">
        <v>154</v>
      </c>
      <c r="G1151" s="10">
        <f t="shared" si="51"/>
        <v>2024</v>
      </c>
      <c r="H1151" s="10">
        <f t="shared" si="52"/>
        <v>1</v>
      </c>
      <c r="I1151" s="10">
        <f t="shared" si="53"/>
        <v>22</v>
      </c>
      <c r="J1151" s="9" t="s">
        <v>2868</v>
      </c>
      <c r="K1151" s="2" t="s">
        <v>91</v>
      </c>
      <c r="L1151" s="2">
        <v>125.73</v>
      </c>
      <c r="M1151" s="2" t="s">
        <v>122</v>
      </c>
      <c r="N1151" s="2" t="s">
        <v>41</v>
      </c>
      <c r="O1151" s="2">
        <v>77</v>
      </c>
      <c r="P1151" s="2">
        <v>4</v>
      </c>
    </row>
    <row r="1152" spans="2:16" ht="21" hidden="1" x14ac:dyDescent="0.55000000000000004">
      <c r="B1152" s="2" t="s">
        <v>2869</v>
      </c>
      <c r="C1152" s="2" t="s">
        <v>2870</v>
      </c>
      <c r="D1152" s="2" t="s">
        <v>44</v>
      </c>
      <c r="E1152" s="2" t="s">
        <v>139</v>
      </c>
      <c r="F1152" s="6" t="s">
        <v>31</v>
      </c>
      <c r="G1152" s="10">
        <f t="shared" si="51"/>
        <v>2024</v>
      </c>
      <c r="H1152" s="10">
        <f t="shared" si="52"/>
        <v>1</v>
      </c>
      <c r="I1152" s="10">
        <f t="shared" si="53"/>
        <v>14</v>
      </c>
      <c r="J1152" s="9" t="s">
        <v>1274</v>
      </c>
      <c r="K1152" s="2" t="s">
        <v>18</v>
      </c>
      <c r="L1152" s="2">
        <v>301.86</v>
      </c>
      <c r="M1152" s="2" t="s">
        <v>122</v>
      </c>
      <c r="N1152" s="2" t="s">
        <v>50</v>
      </c>
      <c r="O1152" s="2">
        <v>20</v>
      </c>
      <c r="P1152" s="2"/>
    </row>
    <row r="1153" spans="2:16" ht="21" hidden="1" x14ac:dyDescent="0.55000000000000004">
      <c r="B1153" s="2" t="s">
        <v>2871</v>
      </c>
      <c r="C1153" s="2" t="s">
        <v>2872</v>
      </c>
      <c r="D1153" s="2" t="s">
        <v>68</v>
      </c>
      <c r="E1153" s="2" t="s">
        <v>74</v>
      </c>
      <c r="F1153" s="6" t="s">
        <v>75</v>
      </c>
      <c r="G1153" s="10">
        <f t="shared" si="51"/>
        <v>2024</v>
      </c>
      <c r="H1153" s="10">
        <f t="shared" si="52"/>
        <v>1</v>
      </c>
      <c r="I1153" s="10">
        <f t="shared" si="53"/>
        <v>25</v>
      </c>
      <c r="J1153" s="9" t="s">
        <v>1502</v>
      </c>
      <c r="K1153" s="2" t="s">
        <v>40</v>
      </c>
      <c r="L1153" s="2">
        <v>74.89</v>
      </c>
      <c r="M1153" s="2" t="s">
        <v>19</v>
      </c>
      <c r="N1153" s="2" t="s">
        <v>26</v>
      </c>
      <c r="O1153" s="2">
        <v>67</v>
      </c>
      <c r="P1153" s="2">
        <v>3</v>
      </c>
    </row>
    <row r="1154" spans="2:16" ht="21" hidden="1" x14ac:dyDescent="0.55000000000000004">
      <c r="B1154" s="2" t="s">
        <v>2873</v>
      </c>
      <c r="C1154" s="2" t="s">
        <v>2874</v>
      </c>
      <c r="D1154" s="2" t="s">
        <v>60</v>
      </c>
      <c r="E1154" s="2" t="s">
        <v>37</v>
      </c>
      <c r="F1154" s="6" t="s">
        <v>69</v>
      </c>
      <c r="G1154" s="10">
        <f t="shared" si="51"/>
        <v>2024</v>
      </c>
      <c r="H1154" s="10">
        <f t="shared" si="52"/>
        <v>1</v>
      </c>
      <c r="I1154" s="10">
        <f t="shared" si="53"/>
        <v>27</v>
      </c>
      <c r="J1154" s="9" t="s">
        <v>580</v>
      </c>
      <c r="K1154" s="2" t="s">
        <v>57</v>
      </c>
      <c r="L1154" s="2">
        <v>346.84</v>
      </c>
      <c r="M1154" s="2" t="s">
        <v>65</v>
      </c>
      <c r="N1154" s="2" t="s">
        <v>20</v>
      </c>
      <c r="O1154" s="2">
        <v>24</v>
      </c>
      <c r="P1154" s="2">
        <v>4</v>
      </c>
    </row>
    <row r="1155" spans="2:16" ht="21" hidden="1" x14ac:dyDescent="0.55000000000000004">
      <c r="B1155" s="2" t="s">
        <v>2875</v>
      </c>
      <c r="C1155" s="2" t="s">
        <v>2876</v>
      </c>
      <c r="D1155" s="2" t="s">
        <v>60</v>
      </c>
      <c r="E1155" s="2" t="s">
        <v>139</v>
      </c>
      <c r="F1155" s="6" t="s">
        <v>317</v>
      </c>
      <c r="G1155" s="10">
        <f t="shared" si="51"/>
        <v>2024</v>
      </c>
      <c r="H1155" s="10">
        <f t="shared" si="52"/>
        <v>1</v>
      </c>
      <c r="I1155" s="10">
        <f t="shared" si="53"/>
        <v>3</v>
      </c>
      <c r="J1155" s="9" t="s">
        <v>2877</v>
      </c>
      <c r="K1155" s="2" t="s">
        <v>40</v>
      </c>
      <c r="L1155" s="2">
        <v>408.05</v>
      </c>
      <c r="M1155" s="2" t="s">
        <v>122</v>
      </c>
      <c r="N1155" s="2" t="s">
        <v>26</v>
      </c>
      <c r="O1155" s="2">
        <v>69</v>
      </c>
      <c r="P1155" s="2">
        <v>3</v>
      </c>
    </row>
    <row r="1156" spans="2:16" ht="21" hidden="1" x14ac:dyDescent="0.55000000000000004">
      <c r="B1156" s="2" t="s">
        <v>2878</v>
      </c>
      <c r="C1156" s="2" t="s">
        <v>2879</v>
      </c>
      <c r="D1156" s="2" t="s">
        <v>23</v>
      </c>
      <c r="E1156" s="2" t="s">
        <v>139</v>
      </c>
      <c r="F1156" s="6" t="s">
        <v>118</v>
      </c>
      <c r="G1156" s="10">
        <f t="shared" ref="G1156:G1202" si="54">YEAR(F1156)</f>
        <v>2024</v>
      </c>
      <c r="H1156" s="10">
        <f t="shared" ref="H1156:H1202" si="55">MONTH(F1156)</f>
        <v>1</v>
      </c>
      <c r="I1156" s="10">
        <f t="shared" ref="I1156:I1202" si="56">DAY(F1156)</f>
        <v>24</v>
      </c>
      <c r="J1156" s="9" t="s">
        <v>1113</v>
      </c>
      <c r="K1156" s="2" t="s">
        <v>18</v>
      </c>
      <c r="L1156" s="2">
        <v>381.25</v>
      </c>
      <c r="M1156" s="2" t="s">
        <v>19</v>
      </c>
      <c r="N1156" s="2" t="s">
        <v>26</v>
      </c>
      <c r="O1156" s="2">
        <v>62</v>
      </c>
      <c r="P1156" s="2">
        <v>1</v>
      </c>
    </row>
    <row r="1157" spans="2:16" ht="21" hidden="1" x14ac:dyDescent="0.55000000000000004">
      <c r="B1157" s="2" t="s">
        <v>2880</v>
      </c>
      <c r="C1157" s="2" t="s">
        <v>1030</v>
      </c>
      <c r="D1157" s="2" t="s">
        <v>68</v>
      </c>
      <c r="E1157" s="2" t="s">
        <v>45</v>
      </c>
      <c r="F1157" s="6" t="s">
        <v>238</v>
      </c>
      <c r="G1157" s="10">
        <f t="shared" si="54"/>
        <v>2024</v>
      </c>
      <c r="H1157" s="10">
        <f t="shared" si="55"/>
        <v>1</v>
      </c>
      <c r="I1157" s="10">
        <f t="shared" si="56"/>
        <v>20</v>
      </c>
      <c r="J1157" s="9" t="s">
        <v>1587</v>
      </c>
      <c r="K1157" s="2" t="s">
        <v>48</v>
      </c>
      <c r="L1157" s="2">
        <v>437.22</v>
      </c>
      <c r="M1157" s="2" t="s">
        <v>19</v>
      </c>
      <c r="N1157" s="2" t="s">
        <v>50</v>
      </c>
      <c r="O1157" s="2">
        <v>73</v>
      </c>
      <c r="P1157" s="2"/>
    </row>
    <row r="1158" spans="2:16" ht="21" hidden="1" x14ac:dyDescent="0.55000000000000004">
      <c r="B1158" s="2" t="s">
        <v>2881</v>
      </c>
      <c r="C1158" s="2" t="s">
        <v>2882</v>
      </c>
      <c r="D1158" s="2" t="s">
        <v>53</v>
      </c>
      <c r="E1158" s="2" t="s">
        <v>89</v>
      </c>
      <c r="F1158" s="6" t="s">
        <v>302</v>
      </c>
      <c r="G1158" s="10">
        <f t="shared" si="54"/>
        <v>2024</v>
      </c>
      <c r="H1158" s="10">
        <f t="shared" si="55"/>
        <v>1</v>
      </c>
      <c r="I1158" s="10">
        <f t="shared" si="56"/>
        <v>2</v>
      </c>
      <c r="J1158" s="9" t="s">
        <v>2883</v>
      </c>
      <c r="K1158" s="2" t="s">
        <v>40</v>
      </c>
      <c r="L1158" s="2">
        <v>492.05</v>
      </c>
      <c r="M1158" s="2" t="s">
        <v>65</v>
      </c>
      <c r="N1158" s="2" t="s">
        <v>50</v>
      </c>
      <c r="O1158" s="2">
        <v>26</v>
      </c>
      <c r="P1158" s="2">
        <v>3</v>
      </c>
    </row>
    <row r="1159" spans="2:16" ht="21" hidden="1" x14ac:dyDescent="0.55000000000000004">
      <c r="B1159" s="2" t="s">
        <v>2884</v>
      </c>
      <c r="C1159" s="2" t="s">
        <v>2885</v>
      </c>
      <c r="D1159" s="2" t="s">
        <v>117</v>
      </c>
      <c r="E1159" s="2" t="s">
        <v>61</v>
      </c>
      <c r="F1159" s="6" t="s">
        <v>473</v>
      </c>
      <c r="G1159" s="10">
        <f t="shared" si="54"/>
        <v>2024</v>
      </c>
      <c r="H1159" s="10">
        <f t="shared" si="55"/>
        <v>1</v>
      </c>
      <c r="I1159" s="10">
        <f t="shared" si="56"/>
        <v>30</v>
      </c>
      <c r="J1159" s="9" t="s">
        <v>1235</v>
      </c>
      <c r="K1159" s="2" t="s">
        <v>18</v>
      </c>
      <c r="L1159" s="2">
        <v>205.01</v>
      </c>
      <c r="M1159" s="2" t="s">
        <v>19</v>
      </c>
      <c r="N1159" s="2" t="s">
        <v>20</v>
      </c>
      <c r="O1159" s="2">
        <v>68</v>
      </c>
      <c r="P1159" s="2">
        <v>3</v>
      </c>
    </row>
    <row r="1160" spans="2:16" ht="21" x14ac:dyDescent="0.55000000000000004">
      <c r="B1160" s="2" t="s">
        <v>2886</v>
      </c>
      <c r="C1160" s="2" t="s">
        <v>2887</v>
      </c>
      <c r="D1160" s="2" t="s">
        <v>68</v>
      </c>
      <c r="E1160" s="2" t="s">
        <v>54</v>
      </c>
      <c r="F1160" s="6" t="s">
        <v>144</v>
      </c>
      <c r="G1160" s="10">
        <f t="shared" si="54"/>
        <v>2024</v>
      </c>
      <c r="H1160" s="10">
        <f t="shared" si="55"/>
        <v>1</v>
      </c>
      <c r="I1160" s="10">
        <f t="shared" si="56"/>
        <v>7</v>
      </c>
      <c r="J1160" s="9" t="s">
        <v>1855</v>
      </c>
      <c r="K1160" s="2" t="s">
        <v>77</v>
      </c>
      <c r="L1160" s="2">
        <v>71.31</v>
      </c>
      <c r="M1160" s="2" t="s">
        <v>49</v>
      </c>
      <c r="N1160" s="2" t="s">
        <v>20</v>
      </c>
      <c r="O1160" s="2">
        <v>16</v>
      </c>
      <c r="P1160" s="2">
        <v>1</v>
      </c>
    </row>
    <row r="1161" spans="2:16" ht="21" hidden="1" x14ac:dyDescent="0.55000000000000004">
      <c r="B1161" s="2" t="s">
        <v>2888</v>
      </c>
      <c r="C1161" s="2" t="s">
        <v>2889</v>
      </c>
      <c r="D1161" s="2" t="s">
        <v>14</v>
      </c>
      <c r="E1161" s="2" t="s">
        <v>15</v>
      </c>
      <c r="F1161" s="6" t="s">
        <v>97</v>
      </c>
      <c r="G1161" s="10">
        <f t="shared" si="54"/>
        <v>2024</v>
      </c>
      <c r="H1161" s="10">
        <f t="shared" si="55"/>
        <v>1</v>
      </c>
      <c r="I1161" s="10">
        <f t="shared" si="56"/>
        <v>23</v>
      </c>
      <c r="J1161" s="9" t="s">
        <v>1195</v>
      </c>
      <c r="K1161" s="2" t="s">
        <v>91</v>
      </c>
      <c r="L1161" s="2">
        <v>128.94999999999999</v>
      </c>
      <c r="M1161" s="2" t="s">
        <v>122</v>
      </c>
      <c r="N1161" s="2" t="s">
        <v>41</v>
      </c>
      <c r="O1161" s="2">
        <v>17</v>
      </c>
      <c r="P1161" s="2">
        <v>5</v>
      </c>
    </row>
    <row r="1162" spans="2:16" ht="21" hidden="1" x14ac:dyDescent="0.55000000000000004">
      <c r="B1162" s="2" t="s">
        <v>2890</v>
      </c>
      <c r="C1162" s="2" t="s">
        <v>2891</v>
      </c>
      <c r="D1162" s="2" t="s">
        <v>23</v>
      </c>
      <c r="E1162" s="2" t="s">
        <v>125</v>
      </c>
      <c r="F1162" s="6" t="s">
        <v>62</v>
      </c>
      <c r="G1162" s="10">
        <f t="shared" si="54"/>
        <v>2024</v>
      </c>
      <c r="H1162" s="10">
        <f t="shared" si="55"/>
        <v>1</v>
      </c>
      <c r="I1162" s="10">
        <f t="shared" si="56"/>
        <v>31</v>
      </c>
      <c r="J1162" s="9" t="s">
        <v>381</v>
      </c>
      <c r="K1162" s="2" t="s">
        <v>57</v>
      </c>
      <c r="L1162" s="2">
        <v>335.33</v>
      </c>
      <c r="M1162" s="2" t="s">
        <v>122</v>
      </c>
      <c r="N1162" s="2" t="s">
        <v>26</v>
      </c>
      <c r="O1162" s="2">
        <v>71</v>
      </c>
      <c r="P1162" s="2"/>
    </row>
    <row r="1163" spans="2:16" ht="21" x14ac:dyDescent="0.55000000000000004">
      <c r="B1163" s="2" t="s">
        <v>2892</v>
      </c>
      <c r="C1163" s="2" t="s">
        <v>2893</v>
      </c>
      <c r="D1163" s="2" t="s">
        <v>68</v>
      </c>
      <c r="E1163" s="2" t="s">
        <v>54</v>
      </c>
      <c r="F1163" s="6" t="s">
        <v>257</v>
      </c>
      <c r="G1163" s="10">
        <f t="shared" si="54"/>
        <v>2024</v>
      </c>
      <c r="H1163" s="10">
        <f t="shared" si="55"/>
        <v>1</v>
      </c>
      <c r="I1163" s="10">
        <f t="shared" si="56"/>
        <v>10</v>
      </c>
      <c r="J1163" s="9" t="s">
        <v>1425</v>
      </c>
      <c r="K1163" s="2" t="s">
        <v>91</v>
      </c>
      <c r="L1163" s="2">
        <v>151.38999999999999</v>
      </c>
      <c r="M1163" s="2" t="s">
        <v>49</v>
      </c>
      <c r="N1163" s="2" t="s">
        <v>50</v>
      </c>
      <c r="O1163" s="2">
        <v>61</v>
      </c>
      <c r="P1163" s="2">
        <v>1</v>
      </c>
    </row>
    <row r="1164" spans="2:16" ht="21" hidden="1" x14ac:dyDescent="0.55000000000000004">
      <c r="B1164" s="2" t="s">
        <v>2894</v>
      </c>
      <c r="C1164" s="2" t="s">
        <v>201</v>
      </c>
      <c r="D1164" s="2" t="s">
        <v>29</v>
      </c>
      <c r="E1164" s="2" t="s">
        <v>45</v>
      </c>
      <c r="F1164" s="6" t="s">
        <v>81</v>
      </c>
      <c r="G1164" s="10">
        <f t="shared" si="54"/>
        <v>2024</v>
      </c>
      <c r="H1164" s="10">
        <f t="shared" si="55"/>
        <v>1</v>
      </c>
      <c r="I1164" s="10">
        <f t="shared" si="56"/>
        <v>18</v>
      </c>
      <c r="J1164" s="9" t="s">
        <v>686</v>
      </c>
      <c r="K1164" s="2" t="s">
        <v>33</v>
      </c>
      <c r="L1164" s="2">
        <v>207.48</v>
      </c>
      <c r="M1164" s="2" t="s">
        <v>65</v>
      </c>
      <c r="N1164" s="2" t="s">
        <v>26</v>
      </c>
      <c r="O1164" s="2">
        <v>36</v>
      </c>
      <c r="P1164" s="2"/>
    </row>
    <row r="1165" spans="2:16" ht="21" hidden="1" x14ac:dyDescent="0.55000000000000004">
      <c r="B1165" s="2" t="s">
        <v>2895</v>
      </c>
      <c r="C1165" s="2" t="s">
        <v>2896</v>
      </c>
      <c r="D1165" s="2" t="s">
        <v>117</v>
      </c>
      <c r="E1165" s="2" t="s">
        <v>125</v>
      </c>
      <c r="F1165" s="6" t="s">
        <v>31</v>
      </c>
      <c r="G1165" s="10">
        <f t="shared" si="54"/>
        <v>2024</v>
      </c>
      <c r="H1165" s="10">
        <f t="shared" si="55"/>
        <v>1</v>
      </c>
      <c r="I1165" s="10">
        <f t="shared" si="56"/>
        <v>14</v>
      </c>
      <c r="J1165" s="9" t="s">
        <v>2897</v>
      </c>
      <c r="K1165" s="2" t="s">
        <v>33</v>
      </c>
      <c r="L1165" s="2">
        <v>91.48</v>
      </c>
      <c r="M1165" s="2" t="s">
        <v>65</v>
      </c>
      <c r="N1165" s="2" t="s">
        <v>41</v>
      </c>
      <c r="O1165" s="2">
        <v>18</v>
      </c>
      <c r="P1165" s="2">
        <v>4</v>
      </c>
    </row>
    <row r="1166" spans="2:16" ht="21" x14ac:dyDescent="0.55000000000000004">
      <c r="B1166" s="2" t="s">
        <v>2898</v>
      </c>
      <c r="C1166" s="2" t="s">
        <v>2899</v>
      </c>
      <c r="D1166" s="2" t="s">
        <v>68</v>
      </c>
      <c r="E1166" s="2" t="s">
        <v>54</v>
      </c>
      <c r="F1166" s="6" t="s">
        <v>69</v>
      </c>
      <c r="G1166" s="10">
        <f t="shared" si="54"/>
        <v>2024</v>
      </c>
      <c r="H1166" s="10">
        <f t="shared" si="55"/>
        <v>1</v>
      </c>
      <c r="I1166" s="10">
        <f t="shared" si="56"/>
        <v>27</v>
      </c>
      <c r="J1166" s="9" t="s">
        <v>2519</v>
      </c>
      <c r="K1166" s="2" t="s">
        <v>77</v>
      </c>
      <c r="L1166" s="2">
        <v>323.57</v>
      </c>
      <c r="M1166" s="2" t="s">
        <v>19</v>
      </c>
      <c r="N1166" s="2" t="s">
        <v>20</v>
      </c>
      <c r="O1166" s="2">
        <v>49</v>
      </c>
      <c r="P1166" s="2">
        <v>4</v>
      </c>
    </row>
    <row r="1167" spans="2:16" ht="21" hidden="1" x14ac:dyDescent="0.55000000000000004">
      <c r="B1167" s="2" t="s">
        <v>2900</v>
      </c>
      <c r="C1167" s="2" t="s">
        <v>2901</v>
      </c>
      <c r="D1167" s="2" t="s">
        <v>73</v>
      </c>
      <c r="E1167" s="2" t="s">
        <v>139</v>
      </c>
      <c r="F1167" s="6" t="s">
        <v>154</v>
      </c>
      <c r="G1167" s="10">
        <f t="shared" si="54"/>
        <v>2024</v>
      </c>
      <c r="H1167" s="10">
        <f t="shared" si="55"/>
        <v>1</v>
      </c>
      <c r="I1167" s="10">
        <f t="shared" si="56"/>
        <v>22</v>
      </c>
      <c r="J1167" s="9" t="s">
        <v>1235</v>
      </c>
      <c r="K1167" s="2" t="s">
        <v>77</v>
      </c>
      <c r="L1167" s="2">
        <v>384.45</v>
      </c>
      <c r="M1167" s="2" t="s">
        <v>65</v>
      </c>
      <c r="N1167" s="2" t="s">
        <v>50</v>
      </c>
      <c r="O1167" s="2">
        <v>34</v>
      </c>
      <c r="P1167" s="2"/>
    </row>
    <row r="1168" spans="2:16" ht="21" hidden="1" x14ac:dyDescent="0.55000000000000004">
      <c r="B1168" s="2" t="s">
        <v>2902</v>
      </c>
      <c r="C1168" s="2" t="s">
        <v>2903</v>
      </c>
      <c r="D1168" s="2" t="s">
        <v>73</v>
      </c>
      <c r="E1168" s="2" t="s">
        <v>80</v>
      </c>
      <c r="F1168" s="6" t="s">
        <v>118</v>
      </c>
      <c r="G1168" s="10">
        <f t="shared" si="54"/>
        <v>2024</v>
      </c>
      <c r="H1168" s="10">
        <f t="shared" si="55"/>
        <v>1</v>
      </c>
      <c r="I1168" s="10">
        <f t="shared" si="56"/>
        <v>24</v>
      </c>
      <c r="J1168" s="9" t="s">
        <v>2904</v>
      </c>
      <c r="K1168" s="2" t="s">
        <v>33</v>
      </c>
      <c r="L1168" s="2">
        <v>414.69</v>
      </c>
      <c r="M1168" s="2" t="s">
        <v>19</v>
      </c>
      <c r="N1168" s="2" t="s">
        <v>20</v>
      </c>
      <c r="O1168" s="2">
        <v>52</v>
      </c>
      <c r="P1168" s="2">
        <v>4</v>
      </c>
    </row>
    <row r="1169" spans="2:16" ht="21" hidden="1" x14ac:dyDescent="0.55000000000000004">
      <c r="B1169" s="2" t="s">
        <v>2905</v>
      </c>
      <c r="C1169" s="2" t="s">
        <v>2906</v>
      </c>
      <c r="D1169" s="2" t="s">
        <v>29</v>
      </c>
      <c r="E1169" s="2" t="s">
        <v>89</v>
      </c>
      <c r="F1169" s="6" t="s">
        <v>46</v>
      </c>
      <c r="G1169" s="10">
        <f t="shared" si="54"/>
        <v>2024</v>
      </c>
      <c r="H1169" s="10">
        <f t="shared" si="55"/>
        <v>1</v>
      </c>
      <c r="I1169" s="10">
        <f t="shared" si="56"/>
        <v>17</v>
      </c>
      <c r="J1169" s="9" t="s">
        <v>540</v>
      </c>
      <c r="K1169" s="2" t="s">
        <v>33</v>
      </c>
      <c r="L1169" s="2">
        <v>145.36000000000001</v>
      </c>
      <c r="M1169" s="2" t="s">
        <v>49</v>
      </c>
      <c r="N1169" s="2" t="s">
        <v>50</v>
      </c>
      <c r="O1169" s="2">
        <v>56</v>
      </c>
      <c r="P1169" s="2">
        <v>3</v>
      </c>
    </row>
    <row r="1170" spans="2:16" ht="21" hidden="1" x14ac:dyDescent="0.55000000000000004">
      <c r="B1170" s="2" t="s">
        <v>2907</v>
      </c>
      <c r="C1170" s="2" t="s">
        <v>2908</v>
      </c>
      <c r="D1170" s="2" t="s">
        <v>14</v>
      </c>
      <c r="E1170" s="2" t="s">
        <v>15</v>
      </c>
      <c r="F1170" s="6" t="s">
        <v>349</v>
      </c>
      <c r="G1170" s="10">
        <f t="shared" si="54"/>
        <v>2024</v>
      </c>
      <c r="H1170" s="10">
        <f t="shared" si="55"/>
        <v>1</v>
      </c>
      <c r="I1170" s="10">
        <f t="shared" si="56"/>
        <v>12</v>
      </c>
      <c r="J1170" s="9" t="s">
        <v>2909</v>
      </c>
      <c r="K1170" s="2" t="s">
        <v>40</v>
      </c>
      <c r="L1170" s="2">
        <v>473.44</v>
      </c>
      <c r="M1170" s="2" t="s">
        <v>65</v>
      </c>
      <c r="N1170" s="2" t="s">
        <v>26</v>
      </c>
      <c r="O1170" s="2">
        <v>41</v>
      </c>
      <c r="P1170" s="2">
        <v>1</v>
      </c>
    </row>
    <row r="1171" spans="2:16" ht="21" hidden="1" x14ac:dyDescent="0.55000000000000004">
      <c r="B1171" s="2" t="s">
        <v>2910</v>
      </c>
      <c r="C1171" s="2" t="s">
        <v>2911</v>
      </c>
      <c r="D1171" s="2" t="s">
        <v>29</v>
      </c>
      <c r="E1171" s="2" t="s">
        <v>80</v>
      </c>
      <c r="F1171" s="6" t="s">
        <v>198</v>
      </c>
      <c r="G1171" s="10">
        <f t="shared" si="54"/>
        <v>2024</v>
      </c>
      <c r="H1171" s="10">
        <f t="shared" si="55"/>
        <v>1</v>
      </c>
      <c r="I1171" s="10">
        <f t="shared" si="56"/>
        <v>4</v>
      </c>
      <c r="J1171" s="9" t="s">
        <v>1428</v>
      </c>
      <c r="K1171" s="2" t="s">
        <v>40</v>
      </c>
      <c r="L1171" s="2">
        <v>346.4</v>
      </c>
      <c r="M1171" s="2" t="s">
        <v>49</v>
      </c>
      <c r="N1171" s="2" t="s">
        <v>41</v>
      </c>
      <c r="O1171" s="2">
        <v>55</v>
      </c>
      <c r="P1171" s="2"/>
    </row>
    <row r="1172" spans="2:16" ht="21" hidden="1" x14ac:dyDescent="0.55000000000000004">
      <c r="B1172" s="2" t="s">
        <v>2912</v>
      </c>
      <c r="C1172" s="2" t="s">
        <v>2913</v>
      </c>
      <c r="D1172" s="2" t="s">
        <v>117</v>
      </c>
      <c r="E1172" s="2" t="s">
        <v>89</v>
      </c>
      <c r="F1172" s="6" t="s">
        <v>132</v>
      </c>
      <c r="G1172" s="10">
        <f t="shared" si="54"/>
        <v>2024</v>
      </c>
      <c r="H1172" s="10">
        <f t="shared" si="55"/>
        <v>1</v>
      </c>
      <c r="I1172" s="10">
        <f t="shared" si="56"/>
        <v>6</v>
      </c>
      <c r="J1172" s="9" t="s">
        <v>2352</v>
      </c>
      <c r="K1172" s="2" t="s">
        <v>57</v>
      </c>
      <c r="L1172" s="2">
        <v>368.89</v>
      </c>
      <c r="M1172" s="2" t="s">
        <v>49</v>
      </c>
      <c r="N1172" s="2" t="s">
        <v>41</v>
      </c>
      <c r="O1172" s="2">
        <v>35</v>
      </c>
      <c r="P1172" s="2">
        <v>3</v>
      </c>
    </row>
    <row r="1173" spans="2:16" ht="21" hidden="1" x14ac:dyDescent="0.55000000000000004">
      <c r="B1173" s="2" t="s">
        <v>2914</v>
      </c>
      <c r="C1173" s="2" t="s">
        <v>2915</v>
      </c>
      <c r="D1173" s="2" t="s">
        <v>44</v>
      </c>
      <c r="E1173" s="2" t="s">
        <v>139</v>
      </c>
      <c r="F1173" s="6" t="s">
        <v>132</v>
      </c>
      <c r="G1173" s="10">
        <f t="shared" si="54"/>
        <v>2024</v>
      </c>
      <c r="H1173" s="10">
        <f t="shared" si="55"/>
        <v>1</v>
      </c>
      <c r="I1173" s="10">
        <f t="shared" si="56"/>
        <v>6</v>
      </c>
      <c r="J1173" s="9" t="s">
        <v>437</v>
      </c>
      <c r="K1173" s="2" t="s">
        <v>40</v>
      </c>
      <c r="L1173" s="2">
        <v>131.38</v>
      </c>
      <c r="M1173" s="2" t="s">
        <v>65</v>
      </c>
      <c r="N1173" s="2" t="s">
        <v>41</v>
      </c>
      <c r="O1173" s="2">
        <v>43</v>
      </c>
      <c r="P1173" s="2"/>
    </row>
    <row r="1174" spans="2:16" ht="21" hidden="1" x14ac:dyDescent="0.55000000000000004">
      <c r="B1174" s="2" t="s">
        <v>2916</v>
      </c>
      <c r="C1174" s="2" t="s">
        <v>1255</v>
      </c>
      <c r="D1174" s="2" t="s">
        <v>73</v>
      </c>
      <c r="E1174" s="2" t="s">
        <v>80</v>
      </c>
      <c r="F1174" s="6" t="s">
        <v>55</v>
      </c>
      <c r="G1174" s="10">
        <f t="shared" si="54"/>
        <v>2024</v>
      </c>
      <c r="H1174" s="10">
        <f t="shared" si="55"/>
        <v>1</v>
      </c>
      <c r="I1174" s="10">
        <f t="shared" si="56"/>
        <v>8</v>
      </c>
      <c r="J1174" s="9" t="s">
        <v>239</v>
      </c>
      <c r="K1174" s="2" t="s">
        <v>40</v>
      </c>
      <c r="L1174" s="2">
        <v>493.01</v>
      </c>
      <c r="M1174" s="2" t="s">
        <v>65</v>
      </c>
      <c r="N1174" s="2" t="s">
        <v>20</v>
      </c>
      <c r="O1174" s="2">
        <v>23</v>
      </c>
      <c r="P1174" s="2"/>
    </row>
    <row r="1175" spans="2:16" ht="21" hidden="1" x14ac:dyDescent="0.55000000000000004">
      <c r="B1175" s="2" t="s">
        <v>2917</v>
      </c>
      <c r="C1175" s="2" t="s">
        <v>2918</v>
      </c>
      <c r="D1175" s="2" t="s">
        <v>44</v>
      </c>
      <c r="E1175" s="2" t="s">
        <v>89</v>
      </c>
      <c r="F1175" s="6" t="s">
        <v>62</v>
      </c>
      <c r="G1175" s="10">
        <f t="shared" si="54"/>
        <v>2024</v>
      </c>
      <c r="H1175" s="10">
        <f t="shared" si="55"/>
        <v>1</v>
      </c>
      <c r="I1175" s="10">
        <f t="shared" si="56"/>
        <v>31</v>
      </c>
      <c r="J1175" s="9" t="s">
        <v>119</v>
      </c>
      <c r="K1175" s="2" t="s">
        <v>33</v>
      </c>
      <c r="L1175" s="2">
        <v>426.34</v>
      </c>
      <c r="M1175" s="2" t="s">
        <v>49</v>
      </c>
      <c r="N1175" s="2" t="s">
        <v>26</v>
      </c>
      <c r="O1175" s="2">
        <v>71</v>
      </c>
      <c r="P1175" s="2"/>
    </row>
    <row r="1176" spans="2:16" ht="21" hidden="1" x14ac:dyDescent="0.55000000000000004">
      <c r="B1176" s="2" t="s">
        <v>2919</v>
      </c>
      <c r="C1176" s="2" t="s">
        <v>848</v>
      </c>
      <c r="D1176" s="2" t="s">
        <v>29</v>
      </c>
      <c r="E1176" s="2" t="s">
        <v>37</v>
      </c>
      <c r="F1176" s="6" t="s">
        <v>24</v>
      </c>
      <c r="G1176" s="10">
        <f t="shared" si="54"/>
        <v>2024</v>
      </c>
      <c r="H1176" s="10">
        <f t="shared" si="55"/>
        <v>1</v>
      </c>
      <c r="I1176" s="10">
        <f t="shared" si="56"/>
        <v>21</v>
      </c>
      <c r="J1176" s="9" t="s">
        <v>1719</v>
      </c>
      <c r="K1176" s="2" t="s">
        <v>64</v>
      </c>
      <c r="L1176" s="2">
        <v>483.53</v>
      </c>
      <c r="M1176" s="2" t="s">
        <v>122</v>
      </c>
      <c r="N1176" s="2" t="s">
        <v>26</v>
      </c>
      <c r="O1176" s="2">
        <v>60</v>
      </c>
      <c r="P1176" s="2">
        <v>1</v>
      </c>
    </row>
    <row r="1177" spans="2:16" ht="21" x14ac:dyDescent="0.55000000000000004">
      <c r="B1177" s="2" t="s">
        <v>2920</v>
      </c>
      <c r="C1177" s="2" t="s">
        <v>2921</v>
      </c>
      <c r="D1177" s="2" t="s">
        <v>68</v>
      </c>
      <c r="E1177" s="2" t="s">
        <v>54</v>
      </c>
      <c r="F1177" s="6" t="s">
        <v>16</v>
      </c>
      <c r="G1177" s="10">
        <f t="shared" si="54"/>
        <v>2024</v>
      </c>
      <c r="H1177" s="10">
        <f t="shared" si="55"/>
        <v>1</v>
      </c>
      <c r="I1177" s="10">
        <f t="shared" si="56"/>
        <v>9</v>
      </c>
      <c r="J1177" s="9" t="s">
        <v>1567</v>
      </c>
      <c r="K1177" s="2" t="s">
        <v>18</v>
      </c>
      <c r="L1177" s="2">
        <v>150.94</v>
      </c>
      <c r="M1177" s="2" t="s">
        <v>49</v>
      </c>
      <c r="N1177" s="2" t="s">
        <v>26</v>
      </c>
      <c r="O1177" s="2">
        <v>88</v>
      </c>
      <c r="P1177" s="2"/>
    </row>
    <row r="1178" spans="2:16" ht="21" hidden="1" x14ac:dyDescent="0.55000000000000004">
      <c r="B1178" s="2" t="s">
        <v>2922</v>
      </c>
      <c r="C1178" s="2" t="s">
        <v>305</v>
      </c>
      <c r="D1178" s="2" t="s">
        <v>29</v>
      </c>
      <c r="E1178" s="2" t="s">
        <v>125</v>
      </c>
      <c r="F1178" s="6" t="s">
        <v>85</v>
      </c>
      <c r="G1178" s="10">
        <f t="shared" si="54"/>
        <v>2024</v>
      </c>
      <c r="H1178" s="10">
        <f t="shared" si="55"/>
        <v>1</v>
      </c>
      <c r="I1178" s="10">
        <f t="shared" si="56"/>
        <v>16</v>
      </c>
      <c r="J1178" s="9" t="s">
        <v>2923</v>
      </c>
      <c r="K1178" s="2" t="s">
        <v>48</v>
      </c>
      <c r="L1178" s="2">
        <v>101.8</v>
      </c>
      <c r="M1178" s="2" t="s">
        <v>19</v>
      </c>
      <c r="N1178" s="2" t="s">
        <v>26</v>
      </c>
      <c r="O1178" s="2">
        <v>74</v>
      </c>
      <c r="P1178" s="2">
        <v>1</v>
      </c>
    </row>
    <row r="1179" spans="2:16" ht="21" hidden="1" x14ac:dyDescent="0.55000000000000004">
      <c r="B1179" s="2" t="s">
        <v>2924</v>
      </c>
      <c r="C1179" s="2" t="s">
        <v>2925</v>
      </c>
      <c r="D1179" s="2" t="s">
        <v>117</v>
      </c>
      <c r="E1179" s="2" t="s">
        <v>139</v>
      </c>
      <c r="F1179" s="6" t="s">
        <v>302</v>
      </c>
      <c r="G1179" s="10">
        <f t="shared" si="54"/>
        <v>2024</v>
      </c>
      <c r="H1179" s="10">
        <f t="shared" si="55"/>
        <v>1</v>
      </c>
      <c r="I1179" s="10">
        <f t="shared" si="56"/>
        <v>2</v>
      </c>
      <c r="J1179" s="9" t="s">
        <v>2203</v>
      </c>
      <c r="K1179" s="2" t="s">
        <v>57</v>
      </c>
      <c r="L1179" s="2">
        <v>166.3</v>
      </c>
      <c r="M1179" s="2" t="s">
        <v>65</v>
      </c>
      <c r="N1179" s="2" t="s">
        <v>50</v>
      </c>
      <c r="O1179" s="2">
        <v>74</v>
      </c>
      <c r="P1179" s="2"/>
    </row>
    <row r="1180" spans="2:16" ht="21" hidden="1" x14ac:dyDescent="0.55000000000000004">
      <c r="B1180" s="2" t="s">
        <v>2926</v>
      </c>
      <c r="C1180" s="2" t="s">
        <v>2927</v>
      </c>
      <c r="D1180" s="2" t="s">
        <v>44</v>
      </c>
      <c r="E1180" s="2" t="s">
        <v>45</v>
      </c>
      <c r="F1180" s="6" t="s">
        <v>302</v>
      </c>
      <c r="G1180" s="10">
        <f t="shared" si="54"/>
        <v>2024</v>
      </c>
      <c r="H1180" s="10">
        <f t="shared" si="55"/>
        <v>1</v>
      </c>
      <c r="I1180" s="10">
        <f t="shared" si="56"/>
        <v>2</v>
      </c>
      <c r="J1180" s="9" t="s">
        <v>2033</v>
      </c>
      <c r="K1180" s="2" t="s">
        <v>77</v>
      </c>
      <c r="L1180" s="2">
        <v>254.57</v>
      </c>
      <c r="M1180" s="2" t="s">
        <v>65</v>
      </c>
      <c r="N1180" s="2" t="s">
        <v>26</v>
      </c>
      <c r="O1180" s="2">
        <v>71</v>
      </c>
      <c r="P1180" s="2">
        <v>3</v>
      </c>
    </row>
    <row r="1181" spans="2:16" ht="21" hidden="1" x14ac:dyDescent="0.55000000000000004">
      <c r="B1181" s="2" t="s">
        <v>2928</v>
      </c>
      <c r="C1181" s="2" t="s">
        <v>2929</v>
      </c>
      <c r="D1181" s="2" t="s">
        <v>117</v>
      </c>
      <c r="E1181" s="2" t="s">
        <v>74</v>
      </c>
      <c r="F1181" s="6" t="s">
        <v>102</v>
      </c>
      <c r="G1181" s="10">
        <f t="shared" si="54"/>
        <v>2024</v>
      </c>
      <c r="H1181" s="10">
        <f t="shared" si="55"/>
        <v>1</v>
      </c>
      <c r="I1181" s="10">
        <f t="shared" si="56"/>
        <v>26</v>
      </c>
      <c r="J1181" s="9" t="s">
        <v>513</v>
      </c>
      <c r="K1181" s="2" t="s">
        <v>57</v>
      </c>
      <c r="L1181" s="2">
        <v>56.64</v>
      </c>
      <c r="M1181" s="2" t="s">
        <v>19</v>
      </c>
      <c r="N1181" s="2" t="s">
        <v>26</v>
      </c>
      <c r="O1181" s="2">
        <v>21</v>
      </c>
      <c r="P1181" s="2">
        <v>3</v>
      </c>
    </row>
    <row r="1182" spans="2:16" ht="21" hidden="1" x14ac:dyDescent="0.55000000000000004">
      <c r="B1182" s="2" t="s">
        <v>2930</v>
      </c>
      <c r="C1182" s="2" t="s">
        <v>2931</v>
      </c>
      <c r="D1182" s="2" t="s">
        <v>60</v>
      </c>
      <c r="E1182" s="2" t="s">
        <v>15</v>
      </c>
      <c r="F1182" s="6" t="s">
        <v>140</v>
      </c>
      <c r="G1182" s="10">
        <f t="shared" si="54"/>
        <v>2024</v>
      </c>
      <c r="H1182" s="10">
        <f t="shared" si="55"/>
        <v>1</v>
      </c>
      <c r="I1182" s="10">
        <f t="shared" si="56"/>
        <v>29</v>
      </c>
      <c r="J1182" s="9" t="s">
        <v>1395</v>
      </c>
      <c r="K1182" s="2" t="s">
        <v>77</v>
      </c>
      <c r="L1182" s="2">
        <v>117.75</v>
      </c>
      <c r="M1182" s="2" t="s">
        <v>65</v>
      </c>
      <c r="N1182" s="2" t="s">
        <v>41</v>
      </c>
      <c r="O1182" s="2">
        <v>73</v>
      </c>
      <c r="P1182" s="2">
        <v>5</v>
      </c>
    </row>
    <row r="1183" spans="2:16" ht="21" hidden="1" x14ac:dyDescent="0.55000000000000004">
      <c r="B1183" s="2" t="s">
        <v>2932</v>
      </c>
      <c r="C1183" s="2" t="s">
        <v>2933</v>
      </c>
      <c r="D1183" s="2" t="s">
        <v>68</v>
      </c>
      <c r="E1183" s="2" t="s">
        <v>15</v>
      </c>
      <c r="F1183" s="6" t="s">
        <v>81</v>
      </c>
      <c r="G1183" s="10">
        <f t="shared" si="54"/>
        <v>2024</v>
      </c>
      <c r="H1183" s="10">
        <f t="shared" si="55"/>
        <v>1</v>
      </c>
      <c r="I1183" s="10">
        <f t="shared" si="56"/>
        <v>18</v>
      </c>
      <c r="J1183" s="9" t="s">
        <v>2934</v>
      </c>
      <c r="K1183" s="2" t="s">
        <v>18</v>
      </c>
      <c r="L1183" s="2">
        <v>271.47000000000003</v>
      </c>
      <c r="M1183" s="2" t="s">
        <v>122</v>
      </c>
      <c r="N1183" s="2" t="s">
        <v>26</v>
      </c>
      <c r="O1183" s="2">
        <v>55</v>
      </c>
      <c r="P1183" s="2"/>
    </row>
    <row r="1184" spans="2:16" ht="21" hidden="1" x14ac:dyDescent="0.55000000000000004">
      <c r="B1184" s="2" t="s">
        <v>2935</v>
      </c>
      <c r="C1184" s="2" t="s">
        <v>2936</v>
      </c>
      <c r="D1184" s="2" t="s">
        <v>23</v>
      </c>
      <c r="E1184" s="2" t="s">
        <v>61</v>
      </c>
      <c r="F1184" s="6" t="s">
        <v>180</v>
      </c>
      <c r="G1184" s="10">
        <f t="shared" si="54"/>
        <v>2024</v>
      </c>
      <c r="H1184" s="10">
        <f t="shared" si="55"/>
        <v>1</v>
      </c>
      <c r="I1184" s="10">
        <f t="shared" si="56"/>
        <v>28</v>
      </c>
      <c r="J1184" s="9" t="s">
        <v>1360</v>
      </c>
      <c r="K1184" s="2" t="s">
        <v>91</v>
      </c>
      <c r="L1184" s="2">
        <v>379.01</v>
      </c>
      <c r="M1184" s="2" t="s">
        <v>49</v>
      </c>
      <c r="N1184" s="2" t="s">
        <v>26</v>
      </c>
      <c r="O1184" s="2">
        <v>59</v>
      </c>
      <c r="P1184" s="2">
        <v>1</v>
      </c>
    </row>
    <row r="1185" spans="2:16" ht="21" hidden="1" x14ac:dyDescent="0.55000000000000004">
      <c r="B1185" s="2" t="s">
        <v>2937</v>
      </c>
      <c r="C1185" s="2" t="s">
        <v>1680</v>
      </c>
      <c r="D1185" s="2" t="s">
        <v>44</v>
      </c>
      <c r="E1185" s="2" t="s">
        <v>89</v>
      </c>
      <c r="F1185" s="6" t="s">
        <v>97</v>
      </c>
      <c r="G1185" s="10">
        <f t="shared" si="54"/>
        <v>2024</v>
      </c>
      <c r="H1185" s="10">
        <f t="shared" si="55"/>
        <v>1</v>
      </c>
      <c r="I1185" s="10">
        <f t="shared" si="56"/>
        <v>23</v>
      </c>
      <c r="J1185" s="9" t="s">
        <v>2839</v>
      </c>
      <c r="K1185" s="2" t="s">
        <v>48</v>
      </c>
      <c r="L1185" s="2">
        <v>332.51</v>
      </c>
      <c r="M1185" s="2" t="s">
        <v>19</v>
      </c>
      <c r="N1185" s="2" t="s">
        <v>41</v>
      </c>
      <c r="O1185" s="2">
        <v>75</v>
      </c>
      <c r="P1185" s="2">
        <v>1</v>
      </c>
    </row>
    <row r="1186" spans="2:16" ht="21" hidden="1" x14ac:dyDescent="0.55000000000000004">
      <c r="B1186" s="2" t="s">
        <v>2938</v>
      </c>
      <c r="C1186" s="2" t="s">
        <v>2939</v>
      </c>
      <c r="D1186" s="2" t="s">
        <v>117</v>
      </c>
      <c r="E1186" s="2" t="s">
        <v>139</v>
      </c>
      <c r="F1186" s="6" t="s">
        <v>85</v>
      </c>
      <c r="G1186" s="10">
        <f t="shared" si="54"/>
        <v>2024</v>
      </c>
      <c r="H1186" s="10">
        <f t="shared" si="55"/>
        <v>1</v>
      </c>
      <c r="I1186" s="10">
        <f t="shared" si="56"/>
        <v>16</v>
      </c>
      <c r="J1186" s="9" t="s">
        <v>470</v>
      </c>
      <c r="K1186" s="2" t="s">
        <v>40</v>
      </c>
      <c r="L1186" s="2">
        <v>83.3</v>
      </c>
      <c r="M1186" s="2" t="s">
        <v>19</v>
      </c>
      <c r="N1186" s="2" t="s">
        <v>26</v>
      </c>
      <c r="O1186" s="2">
        <v>90</v>
      </c>
      <c r="P1186" s="2">
        <v>2</v>
      </c>
    </row>
    <row r="1187" spans="2:16" ht="21" hidden="1" x14ac:dyDescent="0.55000000000000004">
      <c r="B1187" s="2" t="s">
        <v>2940</v>
      </c>
      <c r="C1187" s="2" t="s">
        <v>2941</v>
      </c>
      <c r="D1187" s="2" t="s">
        <v>44</v>
      </c>
      <c r="E1187" s="2" t="s">
        <v>139</v>
      </c>
      <c r="F1187" s="6" t="s">
        <v>46</v>
      </c>
      <c r="G1187" s="10">
        <f t="shared" si="54"/>
        <v>2024</v>
      </c>
      <c r="H1187" s="10">
        <f t="shared" si="55"/>
        <v>1</v>
      </c>
      <c r="I1187" s="10">
        <f t="shared" si="56"/>
        <v>17</v>
      </c>
      <c r="J1187" s="9" t="s">
        <v>1562</v>
      </c>
      <c r="K1187" s="2" t="s">
        <v>91</v>
      </c>
      <c r="L1187" s="2">
        <v>322</v>
      </c>
      <c r="M1187" s="2" t="s">
        <v>65</v>
      </c>
      <c r="N1187" s="2" t="s">
        <v>26</v>
      </c>
      <c r="O1187" s="2">
        <v>56</v>
      </c>
      <c r="P1187" s="2">
        <v>4</v>
      </c>
    </row>
    <row r="1188" spans="2:16" ht="21" hidden="1" x14ac:dyDescent="0.55000000000000004">
      <c r="B1188" s="2" t="s">
        <v>2942</v>
      </c>
      <c r="C1188" s="2" t="s">
        <v>2943</v>
      </c>
      <c r="D1188" s="2" t="s">
        <v>60</v>
      </c>
      <c r="E1188" s="2" t="s">
        <v>89</v>
      </c>
      <c r="F1188" s="6" t="s">
        <v>16</v>
      </c>
      <c r="G1188" s="10">
        <f t="shared" si="54"/>
        <v>2024</v>
      </c>
      <c r="H1188" s="10">
        <f t="shared" si="55"/>
        <v>1</v>
      </c>
      <c r="I1188" s="10">
        <f t="shared" si="56"/>
        <v>9</v>
      </c>
      <c r="J1188" s="9" t="s">
        <v>2944</v>
      </c>
      <c r="K1188" s="2" t="s">
        <v>91</v>
      </c>
      <c r="L1188" s="2">
        <v>154.09</v>
      </c>
      <c r="M1188" s="2" t="s">
        <v>65</v>
      </c>
      <c r="N1188" s="2" t="s">
        <v>50</v>
      </c>
      <c r="O1188" s="2">
        <v>87</v>
      </c>
      <c r="P1188" s="2">
        <v>4</v>
      </c>
    </row>
    <row r="1189" spans="2:16" ht="21" hidden="1" x14ac:dyDescent="0.55000000000000004">
      <c r="B1189" s="2" t="s">
        <v>2945</v>
      </c>
      <c r="C1189" s="2" t="s">
        <v>2946</v>
      </c>
      <c r="D1189" s="2" t="s">
        <v>44</v>
      </c>
      <c r="E1189" s="2" t="s">
        <v>89</v>
      </c>
      <c r="F1189" s="6" t="s">
        <v>154</v>
      </c>
      <c r="G1189" s="10">
        <f t="shared" si="54"/>
        <v>2024</v>
      </c>
      <c r="H1189" s="10">
        <f t="shared" si="55"/>
        <v>1</v>
      </c>
      <c r="I1189" s="10">
        <f t="shared" si="56"/>
        <v>22</v>
      </c>
      <c r="J1189" s="9" t="s">
        <v>387</v>
      </c>
      <c r="K1189" s="2" t="s">
        <v>57</v>
      </c>
      <c r="L1189" s="2">
        <v>260.79000000000002</v>
      </c>
      <c r="M1189" s="2" t="s">
        <v>122</v>
      </c>
      <c r="N1189" s="2" t="s">
        <v>26</v>
      </c>
      <c r="O1189" s="2">
        <v>86</v>
      </c>
      <c r="P1189" s="2"/>
    </row>
    <row r="1190" spans="2:16" ht="21" hidden="1" x14ac:dyDescent="0.55000000000000004">
      <c r="B1190" s="2" t="s">
        <v>2947</v>
      </c>
      <c r="C1190" s="2" t="s">
        <v>2948</v>
      </c>
      <c r="D1190" s="2" t="s">
        <v>68</v>
      </c>
      <c r="E1190" s="2" t="s">
        <v>15</v>
      </c>
      <c r="F1190" s="6" t="s">
        <v>473</v>
      </c>
      <c r="G1190" s="10">
        <f t="shared" si="54"/>
        <v>2024</v>
      </c>
      <c r="H1190" s="10">
        <f t="shared" si="55"/>
        <v>1</v>
      </c>
      <c r="I1190" s="10">
        <f t="shared" si="56"/>
        <v>30</v>
      </c>
      <c r="J1190" s="9" t="s">
        <v>452</v>
      </c>
      <c r="K1190" s="2" t="s">
        <v>91</v>
      </c>
      <c r="L1190" s="2">
        <v>174.34</v>
      </c>
      <c r="M1190" s="2" t="s">
        <v>19</v>
      </c>
      <c r="N1190" s="2" t="s">
        <v>50</v>
      </c>
      <c r="O1190" s="2">
        <v>32</v>
      </c>
      <c r="P1190" s="2">
        <v>1</v>
      </c>
    </row>
    <row r="1191" spans="2:16" ht="21" hidden="1" x14ac:dyDescent="0.55000000000000004">
      <c r="B1191" s="2" t="s">
        <v>2949</v>
      </c>
      <c r="C1191" s="2" t="s">
        <v>2950</v>
      </c>
      <c r="D1191" s="2" t="s">
        <v>60</v>
      </c>
      <c r="E1191" s="2" t="s">
        <v>80</v>
      </c>
      <c r="F1191" s="6" t="s">
        <v>180</v>
      </c>
      <c r="G1191" s="10">
        <f t="shared" si="54"/>
        <v>2024</v>
      </c>
      <c r="H1191" s="10">
        <f t="shared" si="55"/>
        <v>1</v>
      </c>
      <c r="I1191" s="10">
        <f t="shared" si="56"/>
        <v>28</v>
      </c>
      <c r="J1191" s="9" t="s">
        <v>2951</v>
      </c>
      <c r="K1191" s="2" t="s">
        <v>64</v>
      </c>
      <c r="L1191" s="2">
        <v>364.03</v>
      </c>
      <c r="M1191" s="2" t="s">
        <v>49</v>
      </c>
      <c r="N1191" s="2" t="s">
        <v>20</v>
      </c>
      <c r="O1191" s="2">
        <v>25</v>
      </c>
      <c r="P1191" s="2"/>
    </row>
    <row r="1192" spans="2:16" ht="21" hidden="1" x14ac:dyDescent="0.55000000000000004">
      <c r="B1192" s="2" t="s">
        <v>2952</v>
      </c>
      <c r="C1192" s="2" t="s">
        <v>2953</v>
      </c>
      <c r="D1192" s="2" t="s">
        <v>44</v>
      </c>
      <c r="E1192" s="2" t="s">
        <v>80</v>
      </c>
      <c r="F1192" s="6" t="s">
        <v>302</v>
      </c>
      <c r="G1192" s="10">
        <f t="shared" si="54"/>
        <v>2024</v>
      </c>
      <c r="H1192" s="10">
        <f t="shared" si="55"/>
        <v>1</v>
      </c>
      <c r="I1192" s="10">
        <f t="shared" si="56"/>
        <v>2</v>
      </c>
      <c r="J1192" s="9" t="s">
        <v>1128</v>
      </c>
      <c r="K1192" s="2" t="s">
        <v>77</v>
      </c>
      <c r="L1192" s="2">
        <v>173.96</v>
      </c>
      <c r="M1192" s="2" t="s">
        <v>65</v>
      </c>
      <c r="N1192" s="2" t="s">
        <v>26</v>
      </c>
      <c r="O1192" s="2">
        <v>57</v>
      </c>
      <c r="P1192" s="2"/>
    </row>
    <row r="1193" spans="2:16" ht="21" hidden="1" x14ac:dyDescent="0.55000000000000004">
      <c r="B1193" s="2" t="s">
        <v>2954</v>
      </c>
      <c r="C1193" s="2" t="s">
        <v>2955</v>
      </c>
      <c r="D1193" s="2" t="s">
        <v>44</v>
      </c>
      <c r="E1193" s="2" t="s">
        <v>125</v>
      </c>
      <c r="F1193" s="6" t="s">
        <v>140</v>
      </c>
      <c r="G1193" s="10">
        <f t="shared" si="54"/>
        <v>2024</v>
      </c>
      <c r="H1193" s="10">
        <f t="shared" si="55"/>
        <v>1</v>
      </c>
      <c r="I1193" s="10">
        <f t="shared" si="56"/>
        <v>29</v>
      </c>
      <c r="J1193" s="9" t="s">
        <v>621</v>
      </c>
      <c r="K1193" s="2" t="s">
        <v>57</v>
      </c>
      <c r="L1193" s="2">
        <v>126.61</v>
      </c>
      <c r="M1193" s="2" t="s">
        <v>122</v>
      </c>
      <c r="N1193" s="2" t="s">
        <v>50</v>
      </c>
      <c r="O1193" s="2">
        <v>70</v>
      </c>
      <c r="P1193" s="2">
        <v>4</v>
      </c>
    </row>
    <row r="1194" spans="2:16" ht="21" x14ac:dyDescent="0.55000000000000004">
      <c r="B1194" s="2" t="s">
        <v>2956</v>
      </c>
      <c r="C1194" s="2" t="s">
        <v>2957</v>
      </c>
      <c r="D1194" s="2" t="s">
        <v>60</v>
      </c>
      <c r="E1194" s="2" t="s">
        <v>54</v>
      </c>
      <c r="F1194" s="6" t="s">
        <v>16</v>
      </c>
      <c r="G1194" s="10">
        <f t="shared" si="54"/>
        <v>2024</v>
      </c>
      <c r="H1194" s="10">
        <f t="shared" si="55"/>
        <v>1</v>
      </c>
      <c r="I1194" s="10">
        <f t="shared" si="56"/>
        <v>9</v>
      </c>
      <c r="J1194" s="9" t="s">
        <v>2800</v>
      </c>
      <c r="K1194" s="2" t="s">
        <v>57</v>
      </c>
      <c r="L1194" s="2">
        <v>357.8</v>
      </c>
      <c r="M1194" s="2" t="s">
        <v>49</v>
      </c>
      <c r="N1194" s="2" t="s">
        <v>20</v>
      </c>
      <c r="O1194" s="2">
        <v>42</v>
      </c>
      <c r="P1194" s="2">
        <v>1</v>
      </c>
    </row>
    <row r="1195" spans="2:16" ht="21" hidden="1" x14ac:dyDescent="0.55000000000000004">
      <c r="B1195" s="2" t="s">
        <v>2958</v>
      </c>
      <c r="C1195" s="2" t="s">
        <v>2927</v>
      </c>
      <c r="D1195" s="2" t="s">
        <v>29</v>
      </c>
      <c r="E1195" s="2" t="s">
        <v>61</v>
      </c>
      <c r="F1195" s="6" t="s">
        <v>238</v>
      </c>
      <c r="G1195" s="10">
        <f t="shared" si="54"/>
        <v>2024</v>
      </c>
      <c r="H1195" s="10">
        <f t="shared" si="55"/>
        <v>1</v>
      </c>
      <c r="I1195" s="10">
        <f t="shared" si="56"/>
        <v>20</v>
      </c>
      <c r="J1195" s="9" t="s">
        <v>356</v>
      </c>
      <c r="K1195" s="2" t="s">
        <v>33</v>
      </c>
      <c r="L1195" s="2">
        <v>248.38</v>
      </c>
      <c r="M1195" s="2" t="s">
        <v>65</v>
      </c>
      <c r="N1195" s="2" t="s">
        <v>50</v>
      </c>
      <c r="O1195" s="2">
        <v>75</v>
      </c>
      <c r="P1195" s="2">
        <v>1</v>
      </c>
    </row>
    <row r="1196" spans="2:16" ht="21" hidden="1" x14ac:dyDescent="0.55000000000000004">
      <c r="B1196" s="2" t="s">
        <v>2959</v>
      </c>
      <c r="C1196" s="2" t="s">
        <v>2960</v>
      </c>
      <c r="D1196" s="2" t="s">
        <v>29</v>
      </c>
      <c r="E1196" s="2" t="s">
        <v>61</v>
      </c>
      <c r="F1196" s="6" t="s">
        <v>102</v>
      </c>
      <c r="G1196" s="10">
        <f t="shared" si="54"/>
        <v>2024</v>
      </c>
      <c r="H1196" s="10">
        <f t="shared" si="55"/>
        <v>1</v>
      </c>
      <c r="I1196" s="10">
        <f t="shared" si="56"/>
        <v>26</v>
      </c>
      <c r="J1196" s="9" t="s">
        <v>733</v>
      </c>
      <c r="K1196" s="2" t="s">
        <v>48</v>
      </c>
      <c r="L1196" s="2">
        <v>389.27</v>
      </c>
      <c r="M1196" s="2" t="s">
        <v>49</v>
      </c>
      <c r="N1196" s="2" t="s">
        <v>20</v>
      </c>
      <c r="O1196" s="2">
        <v>86</v>
      </c>
      <c r="P1196" s="2">
        <v>4</v>
      </c>
    </row>
    <row r="1197" spans="2:16" ht="21" hidden="1" x14ac:dyDescent="0.55000000000000004">
      <c r="B1197" s="2" t="s">
        <v>2961</v>
      </c>
      <c r="C1197" s="2" t="s">
        <v>2962</v>
      </c>
      <c r="D1197" s="2" t="s">
        <v>53</v>
      </c>
      <c r="E1197" s="2" t="s">
        <v>80</v>
      </c>
      <c r="F1197" s="6" t="s">
        <v>81</v>
      </c>
      <c r="G1197" s="10">
        <f t="shared" si="54"/>
        <v>2024</v>
      </c>
      <c r="H1197" s="10">
        <f t="shared" si="55"/>
        <v>1</v>
      </c>
      <c r="I1197" s="10">
        <f t="shared" si="56"/>
        <v>18</v>
      </c>
      <c r="J1197" s="9" t="s">
        <v>866</v>
      </c>
      <c r="K1197" s="2" t="s">
        <v>33</v>
      </c>
      <c r="L1197" s="2">
        <v>179.34</v>
      </c>
      <c r="M1197" s="2" t="s">
        <v>65</v>
      </c>
      <c r="N1197" s="2" t="s">
        <v>26</v>
      </c>
      <c r="O1197" s="2">
        <v>52</v>
      </c>
      <c r="P1197" s="2">
        <v>2</v>
      </c>
    </row>
    <row r="1198" spans="2:16" ht="21" hidden="1" x14ac:dyDescent="0.55000000000000004">
      <c r="B1198" s="2" t="s">
        <v>2963</v>
      </c>
      <c r="C1198" s="2" t="s">
        <v>2964</v>
      </c>
      <c r="D1198" s="2" t="s">
        <v>117</v>
      </c>
      <c r="E1198" s="2" t="s">
        <v>89</v>
      </c>
      <c r="F1198" s="6" t="s">
        <v>272</v>
      </c>
      <c r="G1198" s="10">
        <f t="shared" si="54"/>
        <v>2024</v>
      </c>
      <c r="H1198" s="10">
        <f t="shared" si="55"/>
        <v>1</v>
      </c>
      <c r="I1198" s="10">
        <f t="shared" si="56"/>
        <v>1</v>
      </c>
      <c r="J1198" s="9" t="s">
        <v>470</v>
      </c>
      <c r="K1198" s="2" t="s">
        <v>57</v>
      </c>
      <c r="L1198" s="2">
        <v>170.7</v>
      </c>
      <c r="M1198" s="2" t="s">
        <v>65</v>
      </c>
      <c r="N1198" s="2" t="s">
        <v>41</v>
      </c>
      <c r="O1198" s="2">
        <v>71</v>
      </c>
      <c r="P1198" s="2">
        <v>5</v>
      </c>
    </row>
    <row r="1199" spans="2:16" ht="21" hidden="1" x14ac:dyDescent="0.55000000000000004">
      <c r="B1199" s="2" t="s">
        <v>2965</v>
      </c>
      <c r="C1199" s="2" t="s">
        <v>2966</v>
      </c>
      <c r="D1199" s="2" t="s">
        <v>29</v>
      </c>
      <c r="E1199" s="2" t="s">
        <v>61</v>
      </c>
      <c r="F1199" s="6" t="s">
        <v>46</v>
      </c>
      <c r="G1199" s="10">
        <f t="shared" si="54"/>
        <v>2024</v>
      </c>
      <c r="H1199" s="10">
        <f t="shared" si="55"/>
        <v>1</v>
      </c>
      <c r="I1199" s="10">
        <f t="shared" si="56"/>
        <v>17</v>
      </c>
      <c r="J1199" s="9" t="s">
        <v>2868</v>
      </c>
      <c r="K1199" s="2" t="s">
        <v>64</v>
      </c>
      <c r="L1199" s="2">
        <v>268.23</v>
      </c>
      <c r="M1199" s="2" t="s">
        <v>49</v>
      </c>
      <c r="N1199" s="2" t="s">
        <v>20</v>
      </c>
      <c r="O1199" s="2">
        <v>18</v>
      </c>
      <c r="P1199" s="2">
        <v>4</v>
      </c>
    </row>
    <row r="1200" spans="2:16" ht="21" hidden="1" x14ac:dyDescent="0.55000000000000004">
      <c r="B1200" s="2" t="s">
        <v>2967</v>
      </c>
      <c r="C1200" s="2" t="s">
        <v>2968</v>
      </c>
      <c r="D1200" s="2" t="s">
        <v>73</v>
      </c>
      <c r="E1200" s="2" t="s">
        <v>37</v>
      </c>
      <c r="F1200" s="6" t="s">
        <v>132</v>
      </c>
      <c r="G1200" s="10">
        <f t="shared" si="54"/>
        <v>2024</v>
      </c>
      <c r="H1200" s="10">
        <f t="shared" si="55"/>
        <v>1</v>
      </c>
      <c r="I1200" s="10">
        <f t="shared" si="56"/>
        <v>6</v>
      </c>
      <c r="J1200" s="9" t="s">
        <v>2969</v>
      </c>
      <c r="K1200" s="2" t="s">
        <v>64</v>
      </c>
      <c r="L1200" s="2">
        <v>371.99</v>
      </c>
      <c r="M1200" s="2" t="s">
        <v>19</v>
      </c>
      <c r="N1200" s="2" t="s">
        <v>20</v>
      </c>
      <c r="O1200" s="2">
        <v>81</v>
      </c>
      <c r="P1200" s="2">
        <v>2</v>
      </c>
    </row>
    <row r="1201" spans="2:16" ht="21" hidden="1" x14ac:dyDescent="0.55000000000000004">
      <c r="B1201" s="2" t="s">
        <v>2970</v>
      </c>
      <c r="C1201" s="2" t="s">
        <v>2971</v>
      </c>
      <c r="D1201" s="2" t="s">
        <v>117</v>
      </c>
      <c r="E1201" s="2" t="s">
        <v>61</v>
      </c>
      <c r="F1201" s="6" t="s">
        <v>31</v>
      </c>
      <c r="G1201" s="10">
        <f t="shared" si="54"/>
        <v>2024</v>
      </c>
      <c r="H1201" s="10">
        <f t="shared" si="55"/>
        <v>1</v>
      </c>
      <c r="I1201" s="10">
        <f t="shared" si="56"/>
        <v>14</v>
      </c>
      <c r="J1201" s="9" t="s">
        <v>692</v>
      </c>
      <c r="K1201" s="2" t="s">
        <v>40</v>
      </c>
      <c r="L1201" s="2">
        <v>169.32</v>
      </c>
      <c r="M1201" s="2" t="s">
        <v>19</v>
      </c>
      <c r="N1201" s="2" t="s">
        <v>41</v>
      </c>
      <c r="O1201" s="2">
        <v>80</v>
      </c>
      <c r="P1201" s="2">
        <v>3</v>
      </c>
    </row>
    <row r="1202" spans="2:16" ht="21" hidden="1" x14ac:dyDescent="0.55000000000000004">
      <c r="B1202" s="2" t="s">
        <v>2972</v>
      </c>
      <c r="C1202" s="2" t="s">
        <v>2973</v>
      </c>
      <c r="D1202" s="2" t="s">
        <v>73</v>
      </c>
      <c r="E1202" s="2" t="s">
        <v>139</v>
      </c>
      <c r="F1202" s="6" t="s">
        <v>132</v>
      </c>
      <c r="G1202" s="10">
        <f t="shared" si="54"/>
        <v>2024</v>
      </c>
      <c r="H1202" s="10">
        <f t="shared" si="55"/>
        <v>1</v>
      </c>
      <c r="I1202" s="10">
        <f t="shared" si="56"/>
        <v>6</v>
      </c>
      <c r="J1202" s="9" t="s">
        <v>1872</v>
      </c>
      <c r="K1202" s="2" t="s">
        <v>57</v>
      </c>
      <c r="L1202" s="2">
        <v>95.21</v>
      </c>
      <c r="M1202" s="2" t="s">
        <v>65</v>
      </c>
      <c r="N1202" s="2" t="s">
        <v>26</v>
      </c>
      <c r="O1202" s="2">
        <v>49</v>
      </c>
      <c r="P1202" s="2"/>
    </row>
  </sheetData>
  <autoFilter ref="B2:P1202" xr:uid="{C1783040-1259-46A8-9CE0-BC694E59A534}">
    <filterColumn colId="3">
      <filters>
        <filter val="Tanta"/>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1CA9F-B69A-40DA-ABDD-B7F9BA2B3A83}">
  <dimension ref="A4:W37"/>
  <sheetViews>
    <sheetView showGridLines="0" tabSelected="1" zoomScaleNormal="100" workbookViewId="0">
      <selection activeCell="C23" sqref="C23"/>
    </sheetView>
  </sheetViews>
  <sheetFormatPr defaultRowHeight="14.25" x14ac:dyDescent="0.2"/>
  <cols>
    <col min="2" max="2" width="16.75" bestFit="1" customWidth="1"/>
    <col min="3" max="3" width="20.25" bestFit="1" customWidth="1"/>
    <col min="4" max="4" width="20.125" bestFit="1" customWidth="1"/>
    <col min="7" max="7" width="17.25" bestFit="1" customWidth="1"/>
    <col min="8" max="8" width="16.125" bestFit="1" customWidth="1"/>
    <col min="9" max="9" width="7" bestFit="1" customWidth="1"/>
    <col min="10" max="10" width="8.25" bestFit="1" customWidth="1"/>
    <col min="11" max="12" width="11.375" bestFit="1" customWidth="1"/>
    <col min="13" max="13" width="16.75" bestFit="1" customWidth="1"/>
    <col min="14" max="14" width="16.125" bestFit="1" customWidth="1"/>
    <col min="15" max="15" width="6.25" bestFit="1" customWidth="1"/>
    <col min="16" max="16" width="8.25" bestFit="1" customWidth="1"/>
    <col min="17" max="18" width="11.375" bestFit="1" customWidth="1"/>
    <col min="19" max="19" width="14.625" bestFit="1" customWidth="1"/>
    <col min="20" max="20" width="16.75" bestFit="1" customWidth="1"/>
    <col min="21" max="21" width="12.875" customWidth="1"/>
    <col min="22" max="22" width="13.125" bestFit="1" customWidth="1"/>
    <col min="23" max="23" width="20.125" bestFit="1" customWidth="1"/>
    <col min="24" max="1202" width="16.125" bestFit="1" customWidth="1"/>
    <col min="1203" max="1203" width="11.375" bestFit="1" customWidth="1"/>
  </cols>
  <sheetData>
    <row r="4" spans="1:23" x14ac:dyDescent="0.2">
      <c r="A4">
        <v>1</v>
      </c>
      <c r="B4" t="s">
        <v>2980</v>
      </c>
      <c r="F4">
        <v>2</v>
      </c>
      <c r="G4" t="s">
        <v>2986</v>
      </c>
      <c r="L4">
        <v>3</v>
      </c>
      <c r="M4" t="s">
        <v>2988</v>
      </c>
      <c r="R4">
        <v>4</v>
      </c>
      <c r="S4" t="s">
        <v>2989</v>
      </c>
      <c r="U4">
        <v>5</v>
      </c>
      <c r="V4" t="s">
        <v>2991</v>
      </c>
    </row>
    <row r="5" spans="1:23" x14ac:dyDescent="0.2">
      <c r="B5" t="s">
        <v>2983</v>
      </c>
      <c r="C5" t="s">
        <v>2993</v>
      </c>
      <c r="D5" t="s">
        <v>2992</v>
      </c>
      <c r="G5" s="13" t="s">
        <v>2983</v>
      </c>
      <c r="H5" s="13" t="s">
        <v>2984</v>
      </c>
      <c r="M5" s="13" t="s">
        <v>2983</v>
      </c>
      <c r="N5" s="13" t="s">
        <v>2984</v>
      </c>
      <c r="S5" s="13" t="s">
        <v>2981</v>
      </c>
      <c r="T5" t="s">
        <v>2983</v>
      </c>
      <c r="V5" s="13" t="s">
        <v>2981</v>
      </c>
      <c r="W5" t="s">
        <v>2992</v>
      </c>
    </row>
    <row r="6" spans="1:23" x14ac:dyDescent="0.2">
      <c r="B6" s="11">
        <v>1200</v>
      </c>
      <c r="C6" s="11">
        <v>1200</v>
      </c>
      <c r="D6" s="11">
        <v>326628.30000000051</v>
      </c>
      <c r="G6" s="13" t="s">
        <v>2981</v>
      </c>
      <c r="H6" t="s">
        <v>41</v>
      </c>
      <c r="I6" t="s">
        <v>26</v>
      </c>
      <c r="J6" t="s">
        <v>50</v>
      </c>
      <c r="K6" t="s">
        <v>2982</v>
      </c>
      <c r="M6" s="13" t="s">
        <v>2981</v>
      </c>
      <c r="N6" t="s">
        <v>41</v>
      </c>
      <c r="O6" t="s">
        <v>26</v>
      </c>
      <c r="P6" t="s">
        <v>50</v>
      </c>
      <c r="Q6" t="s">
        <v>2982</v>
      </c>
      <c r="S6" s="14" t="s">
        <v>89</v>
      </c>
      <c r="T6" s="11">
        <v>135</v>
      </c>
      <c r="V6" s="14">
        <v>1</v>
      </c>
      <c r="W6" s="11">
        <v>12626.300000000001</v>
      </c>
    </row>
    <row r="7" spans="1:23" x14ac:dyDescent="0.2">
      <c r="B7">
        <f>GETPIVOTDATA("Count of Order ID",$B$5)</f>
        <v>1200</v>
      </c>
      <c r="C7">
        <f>GETPIVOTDATA("Count of Customer ID",$B$5)</f>
        <v>1200</v>
      </c>
      <c r="D7" s="17">
        <f>GETPIVOTDATA("Sum of Amount (EGP)",$B$5)</f>
        <v>326628.30000000051</v>
      </c>
      <c r="G7" s="14" t="s">
        <v>44</v>
      </c>
      <c r="H7" s="15">
        <v>3.7158469945355189E-2</v>
      </c>
      <c r="I7" s="15">
        <v>4.2622950819672129E-2</v>
      </c>
      <c r="J7" s="15">
        <v>5.0273224043715849E-2</v>
      </c>
      <c r="K7" s="15">
        <v>0.13005464480874318</v>
      </c>
      <c r="M7" s="14" t="s">
        <v>65</v>
      </c>
      <c r="N7" s="11">
        <v>82</v>
      </c>
      <c r="O7" s="11">
        <v>83</v>
      </c>
      <c r="P7" s="11">
        <v>78</v>
      </c>
      <c r="Q7" s="11">
        <v>243</v>
      </c>
      <c r="S7" s="14" t="s">
        <v>80</v>
      </c>
      <c r="T7" s="11">
        <v>130</v>
      </c>
      <c r="V7" s="14">
        <v>2</v>
      </c>
      <c r="W7" s="11">
        <v>10501.989999999996</v>
      </c>
    </row>
    <row r="8" spans="1:23" x14ac:dyDescent="0.2">
      <c r="G8" s="14" t="s">
        <v>73</v>
      </c>
      <c r="H8" s="15">
        <v>3.4972677595628415E-2</v>
      </c>
      <c r="I8" s="15">
        <v>4.480874316939891E-2</v>
      </c>
      <c r="J8" s="15">
        <v>3.169398907103825E-2</v>
      </c>
      <c r="K8" s="15">
        <v>0.11147540983606558</v>
      </c>
      <c r="M8" s="14" t="s">
        <v>122</v>
      </c>
      <c r="N8" s="11">
        <v>70</v>
      </c>
      <c r="O8" s="11">
        <v>74</v>
      </c>
      <c r="P8" s="11">
        <v>87</v>
      </c>
      <c r="Q8" s="11">
        <v>231</v>
      </c>
      <c r="S8" s="14" t="s">
        <v>45</v>
      </c>
      <c r="T8" s="11">
        <v>125</v>
      </c>
      <c r="V8" s="14">
        <v>3</v>
      </c>
      <c r="W8" s="11">
        <v>8060.03</v>
      </c>
    </row>
    <row r="9" spans="1:23" x14ac:dyDescent="0.2">
      <c r="G9" s="14" t="s">
        <v>23</v>
      </c>
      <c r="H9" s="15">
        <v>2.9508196721311476E-2</v>
      </c>
      <c r="I9" s="15">
        <v>4.6994535519125684E-2</v>
      </c>
      <c r="J9" s="15">
        <v>3.2786885245901641E-2</v>
      </c>
      <c r="K9" s="15">
        <v>0.10928961748633879</v>
      </c>
      <c r="M9" s="14" t="s">
        <v>19</v>
      </c>
      <c r="N9" s="11">
        <v>77</v>
      </c>
      <c r="O9" s="11">
        <v>85</v>
      </c>
      <c r="P9" s="11">
        <v>68</v>
      </c>
      <c r="Q9" s="11">
        <v>230</v>
      </c>
      <c r="S9" s="14" t="s">
        <v>74</v>
      </c>
      <c r="T9" s="11">
        <v>125</v>
      </c>
      <c r="V9" s="14">
        <v>4</v>
      </c>
      <c r="W9" s="11">
        <v>11261.07</v>
      </c>
    </row>
    <row r="10" spans="1:23" x14ac:dyDescent="0.2">
      <c r="G10" s="14" t="s">
        <v>68</v>
      </c>
      <c r="H10" s="15">
        <v>3.9344262295081971E-2</v>
      </c>
      <c r="I10" s="15">
        <v>3.3879781420765025E-2</v>
      </c>
      <c r="J10" s="15">
        <v>3.169398907103825E-2</v>
      </c>
      <c r="K10" s="15">
        <v>0.10491803278688525</v>
      </c>
      <c r="M10" s="14" t="s">
        <v>49</v>
      </c>
      <c r="N10" s="11">
        <v>68</v>
      </c>
      <c r="O10" s="11">
        <v>74</v>
      </c>
      <c r="P10" s="11">
        <v>69</v>
      </c>
      <c r="Q10" s="11">
        <v>211</v>
      </c>
      <c r="S10" s="14" t="s">
        <v>61</v>
      </c>
      <c r="T10" s="11">
        <v>119</v>
      </c>
      <c r="V10" s="14">
        <v>5</v>
      </c>
      <c r="W10" s="11">
        <v>14292.220000000003</v>
      </c>
    </row>
    <row r="11" spans="1:23" x14ac:dyDescent="0.2">
      <c r="G11" s="14" t="s">
        <v>29</v>
      </c>
      <c r="H11" s="15">
        <v>3.0601092896174863E-2</v>
      </c>
      <c r="I11" s="15">
        <v>2.7322404371584699E-2</v>
      </c>
      <c r="J11" s="15">
        <v>4.6994535519125684E-2</v>
      </c>
      <c r="K11" s="15">
        <v>0.10491803278688525</v>
      </c>
      <c r="M11" s="14" t="s">
        <v>2982</v>
      </c>
      <c r="N11" s="11">
        <v>297</v>
      </c>
      <c r="O11" s="11">
        <v>316</v>
      </c>
      <c r="P11" s="11">
        <v>302</v>
      </c>
      <c r="Q11" s="11">
        <v>915</v>
      </c>
      <c r="S11" s="14" t="s">
        <v>54</v>
      </c>
      <c r="T11" s="11">
        <v>118</v>
      </c>
      <c r="V11" s="14">
        <v>6</v>
      </c>
      <c r="W11" s="11">
        <v>10497.679999999998</v>
      </c>
    </row>
    <row r="12" spans="1:23" x14ac:dyDescent="0.2">
      <c r="G12" s="14" t="s">
        <v>53</v>
      </c>
      <c r="H12" s="15">
        <v>2.9508196721311476E-2</v>
      </c>
      <c r="I12" s="15">
        <v>3.2786885245901641E-2</v>
      </c>
      <c r="J12" s="15">
        <v>3.0601092896174863E-2</v>
      </c>
      <c r="K12" s="15">
        <v>9.2896174863387984E-2</v>
      </c>
      <c r="S12" s="14" t="s">
        <v>139</v>
      </c>
      <c r="T12" s="11">
        <v>116</v>
      </c>
      <c r="V12" s="14">
        <v>7</v>
      </c>
      <c r="W12" s="11">
        <v>9073.869999999999</v>
      </c>
    </row>
    <row r="13" spans="1:23" x14ac:dyDescent="0.2">
      <c r="G13" s="14" t="s">
        <v>117</v>
      </c>
      <c r="H13" s="15">
        <v>3.4972677595628415E-2</v>
      </c>
      <c r="I13" s="15">
        <v>3.169398907103825E-2</v>
      </c>
      <c r="J13" s="15">
        <v>2.5136612021857924E-2</v>
      </c>
      <c r="K13" s="15">
        <v>9.1803278688524587E-2</v>
      </c>
      <c r="S13" s="14" t="s">
        <v>37</v>
      </c>
      <c r="T13" s="11">
        <v>114</v>
      </c>
      <c r="V13" s="14">
        <v>8</v>
      </c>
      <c r="W13" s="11">
        <v>11700.439999999997</v>
      </c>
    </row>
    <row r="14" spans="1:23" x14ac:dyDescent="0.2">
      <c r="G14" s="14" t="s">
        <v>60</v>
      </c>
      <c r="H14" s="15">
        <v>2.9508196721311476E-2</v>
      </c>
      <c r="I14" s="15">
        <v>2.6229508196721311E-2</v>
      </c>
      <c r="J14" s="15">
        <v>3.4972677595628415E-2</v>
      </c>
      <c r="K14" s="15">
        <v>9.0710382513661203E-2</v>
      </c>
      <c r="S14" s="14" t="s">
        <v>15</v>
      </c>
      <c r="T14" s="11">
        <v>111</v>
      </c>
      <c r="V14" s="14">
        <v>9</v>
      </c>
      <c r="W14" s="11">
        <v>12914.25</v>
      </c>
    </row>
    <row r="15" spans="1:23" x14ac:dyDescent="0.2">
      <c r="G15" s="14" t="s">
        <v>14</v>
      </c>
      <c r="H15" s="15">
        <v>3.4972677595628415E-2</v>
      </c>
      <c r="I15" s="15">
        <v>3.169398907103825E-2</v>
      </c>
      <c r="J15" s="15">
        <v>2.4043715846994537E-2</v>
      </c>
      <c r="K15" s="15">
        <v>9.0710382513661203E-2</v>
      </c>
      <c r="S15" s="14" t="s">
        <v>125</v>
      </c>
      <c r="T15" s="11">
        <v>107</v>
      </c>
      <c r="V15" s="14">
        <v>10</v>
      </c>
      <c r="W15" s="11">
        <v>9508.619999999999</v>
      </c>
    </row>
    <row r="16" spans="1:23" x14ac:dyDescent="0.2">
      <c r="G16" s="14" t="s">
        <v>106</v>
      </c>
      <c r="H16" s="15">
        <v>2.4043715846994537E-2</v>
      </c>
      <c r="I16" s="15">
        <v>2.7322404371584699E-2</v>
      </c>
      <c r="J16" s="15">
        <v>2.185792349726776E-2</v>
      </c>
      <c r="K16" s="15">
        <v>7.3224043715846995E-2</v>
      </c>
      <c r="S16" s="14" t="s">
        <v>2982</v>
      </c>
      <c r="T16" s="11">
        <v>1200</v>
      </c>
      <c r="V16" s="14">
        <v>11</v>
      </c>
      <c r="W16" s="11">
        <v>10669.04</v>
      </c>
    </row>
    <row r="17" spans="7:23" x14ac:dyDescent="0.2">
      <c r="G17" s="14" t="s">
        <v>2982</v>
      </c>
      <c r="H17" s="15">
        <v>0.32459016393442625</v>
      </c>
      <c r="I17" s="15">
        <v>0.34535519125683062</v>
      </c>
      <c r="J17" s="15">
        <v>0.33005464480874319</v>
      </c>
      <c r="K17" s="15">
        <v>1</v>
      </c>
      <c r="V17" s="14">
        <v>12</v>
      </c>
      <c r="W17" s="11">
        <v>9845.7900000000027</v>
      </c>
    </row>
    <row r="18" spans="7:23" x14ac:dyDescent="0.2">
      <c r="V18" s="14">
        <v>13</v>
      </c>
      <c r="W18" s="11">
        <v>10693.539999999999</v>
      </c>
    </row>
    <row r="19" spans="7:23" x14ac:dyDescent="0.2">
      <c r="V19" s="14">
        <v>14</v>
      </c>
      <c r="W19" s="11">
        <v>10390.91</v>
      </c>
    </row>
    <row r="20" spans="7:23" x14ac:dyDescent="0.2">
      <c r="V20" s="14">
        <v>15</v>
      </c>
      <c r="W20" s="11">
        <v>9411.9900000000016</v>
      </c>
    </row>
    <row r="21" spans="7:23" x14ac:dyDescent="0.2">
      <c r="V21" s="14">
        <v>16</v>
      </c>
      <c r="W21" s="11">
        <v>9836.5399999999972</v>
      </c>
    </row>
    <row r="22" spans="7:23" x14ac:dyDescent="0.2">
      <c r="V22" s="14">
        <v>17</v>
      </c>
      <c r="W22" s="11">
        <v>13039.18</v>
      </c>
    </row>
    <row r="23" spans="7:23" x14ac:dyDescent="0.2">
      <c r="V23" s="14">
        <v>18</v>
      </c>
      <c r="W23" s="11">
        <v>7448.3300000000008</v>
      </c>
    </row>
    <row r="24" spans="7:23" x14ac:dyDescent="0.2">
      <c r="V24" s="14">
        <v>19</v>
      </c>
      <c r="W24" s="11">
        <v>12586.97</v>
      </c>
    </row>
    <row r="25" spans="7:23" x14ac:dyDescent="0.2">
      <c r="V25" s="14">
        <v>20</v>
      </c>
      <c r="W25" s="11">
        <v>9064.9499999999989</v>
      </c>
    </row>
    <row r="26" spans="7:23" x14ac:dyDescent="0.2">
      <c r="V26" s="14">
        <v>21</v>
      </c>
      <c r="W26" s="11">
        <v>9958.2800000000007</v>
      </c>
    </row>
    <row r="27" spans="7:23" x14ac:dyDescent="0.2">
      <c r="V27" s="14">
        <v>22</v>
      </c>
      <c r="W27" s="11">
        <v>10402.130000000001</v>
      </c>
    </row>
    <row r="28" spans="7:23" x14ac:dyDescent="0.2">
      <c r="V28" s="14">
        <v>23</v>
      </c>
      <c r="W28" s="11">
        <v>9044.1000000000022</v>
      </c>
    </row>
    <row r="29" spans="7:23" x14ac:dyDescent="0.2">
      <c r="V29" s="14">
        <v>24</v>
      </c>
      <c r="W29" s="11">
        <v>11229.840000000002</v>
      </c>
    </row>
    <row r="30" spans="7:23" x14ac:dyDescent="0.2">
      <c r="V30" s="14">
        <v>25</v>
      </c>
      <c r="W30" s="11">
        <v>10691.7</v>
      </c>
    </row>
    <row r="31" spans="7:23" x14ac:dyDescent="0.2">
      <c r="V31" s="14">
        <v>26</v>
      </c>
      <c r="W31" s="11">
        <v>13458.419999999998</v>
      </c>
    </row>
    <row r="32" spans="7:23" x14ac:dyDescent="0.2">
      <c r="V32" s="14">
        <v>27</v>
      </c>
      <c r="W32" s="11">
        <v>12977.479999999996</v>
      </c>
    </row>
    <row r="33" spans="22:23" x14ac:dyDescent="0.2">
      <c r="V33" s="14">
        <v>28</v>
      </c>
      <c r="W33" s="11">
        <v>8532.89</v>
      </c>
    </row>
    <row r="34" spans="22:23" x14ac:dyDescent="0.2">
      <c r="V34" s="14">
        <v>29</v>
      </c>
      <c r="W34" s="11">
        <v>8095.1599999999971</v>
      </c>
    </row>
    <row r="35" spans="22:23" x14ac:dyDescent="0.2">
      <c r="V35" s="14">
        <v>30</v>
      </c>
      <c r="W35" s="11">
        <v>8513.0200000000023</v>
      </c>
    </row>
    <row r="36" spans="22:23" x14ac:dyDescent="0.2">
      <c r="V36" s="14">
        <v>31</v>
      </c>
      <c r="W36" s="11">
        <v>10301.57</v>
      </c>
    </row>
    <row r="37" spans="22:23" x14ac:dyDescent="0.2">
      <c r="V37" s="14" t="s">
        <v>2982</v>
      </c>
      <c r="W37" s="11">
        <v>326628.3</v>
      </c>
    </row>
  </sheetData>
  <conditionalFormatting pivot="1" sqref="H7:H17">
    <cfRule type="cellIs" dxfId="4" priority="3" operator="greaterThan">
      <formula>0.0315</formula>
    </cfRule>
  </conditionalFormatting>
  <conditionalFormatting pivot="1" sqref="I7:I17">
    <cfRule type="cellIs" dxfId="3" priority="2" operator="greaterThan">
      <formula>0.0355</formula>
    </cfRule>
  </conditionalFormatting>
  <conditionalFormatting pivot="1" sqref="J7:J17">
    <cfRule type="cellIs" dxfId="2" priority="1" operator="greaterThan">
      <formula>0.0375</formula>
    </cfRule>
  </conditionalFormatting>
  <pageMargins left="0.7" right="0.7" top="0.75" bottom="0.75" header="0.3" footer="0.3"/>
  <pageSetup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E4A00-9049-4495-89D0-FC3DBBE47C5E}">
  <dimension ref="A1"/>
  <sheetViews>
    <sheetView zoomScale="71" zoomScaleNormal="71" workbookViewId="0">
      <selection activeCell="F23" sqref="F23"/>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B7DD9-2DE7-48C1-8EB6-933B0126F9C7}">
  <dimension ref="A1"/>
  <sheetViews>
    <sheetView zoomScale="90" zoomScaleNormal="90" workbookViewId="0">
      <selection activeCell="T13" sqref="T13"/>
    </sheetView>
  </sheetViews>
  <sheetFormatPr defaultRowHeight="14.25" x14ac:dyDescent="0.2"/>
  <cols>
    <col min="1" max="16384" width="9" style="1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Row Data</vt:lpstr>
      <vt:lpstr>Q</vt:lpstr>
      <vt:lpstr>Data Cleaning</vt:lpstr>
      <vt:lpstr>Data Analysis</vt:lpstr>
      <vt:lpstr>Data Viz</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TechnoPlus</cp:lastModifiedBy>
  <dcterms:created xsi:type="dcterms:W3CDTF">2015-06-05T18:17:20Z</dcterms:created>
  <dcterms:modified xsi:type="dcterms:W3CDTF">2025-07-16T20:39:17Z</dcterms:modified>
</cp:coreProperties>
</file>